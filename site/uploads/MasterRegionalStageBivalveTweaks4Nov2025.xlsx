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9"/>
  <workbookPr codeName="ThisWorkbook" autoCompressPictures="0"/>
  <mc:AlternateContent xmlns:mc="http://schemas.openxmlformats.org/markup-compatibility/2006">
    <mc:Choice Requires="x15">
      <x15ac:absPath xmlns:x15ac="http://schemas.microsoft.com/office/spreadsheetml/2010/11/ac" url="/Users/jogg/Dropbox/GeoGPT-Treatise/TREATISE volumes with FINAL parsing and post-edits/"/>
    </mc:Choice>
  </mc:AlternateContent>
  <xr:revisionPtr revIDLastSave="0" documentId="13_ncr:1_{4B0E4DEF-FF41-EB4C-9B75-BC142708F0E3}" xr6:coauthVersionLast="47" xr6:coauthVersionMax="47" xr10:uidLastSave="{00000000-0000-0000-0000-000000000000}"/>
  <bookViews>
    <workbookView xWindow="1980" yWindow="560" windowWidth="31660" windowHeight="18080" activeTab="1" xr2:uid="{E7831716-5693-564B-8261-27F6E464054E}"/>
  </bookViews>
  <sheets>
    <sheet name="Master_Chronostrat" sheetId="16" r:id="rId1"/>
    <sheet name="Geological stages" sheetId="15" r:id="rId2"/>
  </sheets>
  <definedNames>
    <definedName name="c_noms">#REF!</definedName>
    <definedName name="d_noms">#REF!</definedName>
    <definedName name="l_noms">OFFSET(d_noms,0,0,COUNTA(c_noms)-1,1)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1352" i="15" l="1"/>
  <c r="I1352" i="15" s="1"/>
  <c r="K1352" i="15"/>
  <c r="H1352" i="15"/>
  <c r="Q1351" i="15"/>
  <c r="K1351" i="15"/>
  <c r="I1351" i="15"/>
  <c r="H1351" i="15"/>
  <c r="F1351" i="15"/>
  <c r="E1351" i="15"/>
  <c r="F1352" i="15"/>
  <c r="E1352" i="15"/>
  <c r="Q1350" i="15"/>
  <c r="I1350" i="15" s="1"/>
  <c r="K1350" i="15"/>
  <c r="H1350" i="15"/>
  <c r="F1350" i="15"/>
  <c r="E1350" i="15"/>
  <c r="Q1394" i="15"/>
  <c r="I1394" i="15" s="1"/>
  <c r="K1394" i="15"/>
  <c r="H1394" i="15" s="1"/>
  <c r="Q1393" i="15"/>
  <c r="I1393" i="15" s="1"/>
  <c r="K1393" i="15"/>
  <c r="H1393" i="15" s="1"/>
  <c r="Q1399" i="15"/>
  <c r="I1399" i="15" s="1"/>
  <c r="K1399" i="15"/>
  <c r="H1399" i="15" s="1"/>
  <c r="Q1398" i="15"/>
  <c r="I1398" i="15" s="1"/>
  <c r="K1398" i="15"/>
  <c r="H1398" i="15" s="1"/>
  <c r="Q696" i="15"/>
  <c r="I696" i="15" s="1"/>
  <c r="K696" i="15"/>
  <c r="H696" i="15" s="1"/>
  <c r="Q684" i="15"/>
  <c r="I684" i="15" s="1"/>
  <c r="K684" i="15"/>
  <c r="H684" i="15" s="1"/>
  <c r="Q683" i="15"/>
  <c r="I683" i="15" s="1"/>
  <c r="K683" i="15"/>
  <c r="H683" i="15" s="1"/>
  <c r="Q316" i="15"/>
  <c r="I316" i="15" s="1"/>
  <c r="K316" i="15"/>
  <c r="H316" i="15" s="1"/>
  <c r="Q471" i="15"/>
  <c r="I471" i="15" s="1"/>
  <c r="K471" i="15"/>
  <c r="H471" i="15" s="1"/>
  <c r="Q456" i="15"/>
  <c r="I456" i="15" s="1"/>
  <c r="K456" i="15"/>
  <c r="H456" i="15" s="1"/>
  <c r="Q643" i="15"/>
  <c r="I643" i="15" s="1"/>
  <c r="K643" i="15"/>
  <c r="H643" i="15" s="1"/>
  <c r="Q646" i="15"/>
  <c r="I646" i="15" s="1"/>
  <c r="K646" i="15"/>
  <c r="H646" i="15" s="1"/>
  <c r="Q632" i="15"/>
  <c r="I632" i="15" s="1"/>
  <c r="K632" i="15"/>
  <c r="H632" i="15" s="1"/>
  <c r="Q633" i="15"/>
  <c r="I633" i="15" s="1"/>
  <c r="K633" i="15"/>
  <c r="H633" i="15" s="1"/>
  <c r="Q644" i="15"/>
  <c r="I644" i="15" s="1"/>
  <c r="K644" i="15"/>
  <c r="H644" i="15" s="1"/>
  <c r="Q533" i="15"/>
  <c r="I533" i="15" s="1"/>
  <c r="K533" i="15"/>
  <c r="H533" i="15" s="1"/>
  <c r="Q551" i="15"/>
  <c r="I551" i="15" s="1"/>
  <c r="Q550" i="15"/>
  <c r="I550" i="15" s="1"/>
  <c r="K551" i="15"/>
  <c r="H551" i="15" s="1"/>
  <c r="K550" i="15"/>
  <c r="H550" i="15" s="1"/>
  <c r="K379" i="15"/>
  <c r="H379" i="15" s="1"/>
  <c r="Q380" i="15"/>
  <c r="I380" i="15" s="1"/>
  <c r="Q379" i="15"/>
  <c r="I379" i="15" s="1"/>
  <c r="K380" i="15"/>
  <c r="H380" i="15" s="1"/>
  <c r="Q808" i="15"/>
  <c r="I808" i="15" s="1"/>
  <c r="K808" i="15"/>
  <c r="H808" i="15" s="1"/>
  <c r="Q527" i="15"/>
  <c r="I527" i="15" s="1"/>
  <c r="K527" i="15"/>
  <c r="H527" i="15" s="1"/>
  <c r="Q569" i="15"/>
  <c r="I569" i="15" s="1"/>
  <c r="K569" i="15"/>
  <c r="H569" i="15" s="1"/>
  <c r="Q462" i="15"/>
  <c r="I462" i="15" s="1"/>
  <c r="K462" i="15"/>
  <c r="H462" i="15" s="1"/>
  <c r="Q467" i="15"/>
  <c r="I467" i="15" s="1"/>
  <c r="K467" i="15"/>
  <c r="H467" i="15" s="1"/>
  <c r="Q468" i="15"/>
  <c r="I468" i="15" s="1"/>
  <c r="Q466" i="15"/>
  <c r="I466" i="15" s="1"/>
  <c r="K468" i="15"/>
  <c r="H468" i="15" s="1"/>
  <c r="K466" i="15"/>
  <c r="H466" i="15" s="1"/>
  <c r="Q476" i="15"/>
  <c r="I476" i="15" s="1"/>
  <c r="Q475" i="15"/>
  <c r="I475" i="15" s="1"/>
  <c r="K475" i="15"/>
  <c r="H475" i="15" s="1"/>
  <c r="K476" i="15"/>
  <c r="H476" i="15" s="1"/>
  <c r="Q496" i="15"/>
  <c r="I496" i="15" s="1"/>
  <c r="K496" i="15"/>
  <c r="H496" i="15" s="1"/>
  <c r="Q485" i="15"/>
  <c r="I485" i="15" s="1"/>
  <c r="K485" i="15"/>
  <c r="H485" i="15" s="1"/>
  <c r="Q565" i="15"/>
  <c r="K565" i="15"/>
  <c r="Q543" i="15"/>
  <c r="I543" i="15" s="1"/>
  <c r="K543" i="15"/>
  <c r="H543" i="15" s="1"/>
  <c r="Q541" i="15"/>
  <c r="I541" i="15" s="1"/>
  <c r="K541" i="15"/>
  <c r="H541" i="15" s="1"/>
  <c r="Q542" i="15"/>
  <c r="I542" i="15" s="1"/>
  <c r="K542" i="15"/>
  <c r="H542" i="15" s="1"/>
  <c r="Q555" i="15"/>
  <c r="I555" i="15" s="1"/>
  <c r="K555" i="15"/>
  <c r="H555" i="15" s="1"/>
  <c r="Q556" i="15"/>
  <c r="I556" i="15" s="1"/>
  <c r="K556" i="15"/>
  <c r="H556" i="15" s="1"/>
  <c r="Q621" i="15"/>
  <c r="I621" i="15" s="1"/>
  <c r="K621" i="15"/>
  <c r="H621" i="15" s="1"/>
  <c r="Q505" i="15"/>
  <c r="I505" i="15" s="1"/>
  <c r="K505" i="15"/>
  <c r="H505" i="15" s="1"/>
  <c r="Q516" i="15"/>
  <c r="I516" i="15" s="1"/>
  <c r="K516" i="15"/>
  <c r="H516" i="15" s="1"/>
  <c r="Q697" i="15"/>
  <c r="I697" i="15" s="1"/>
  <c r="K697" i="15"/>
  <c r="H697" i="15" s="1"/>
  <c r="Q695" i="15"/>
  <c r="I695" i="15" s="1"/>
  <c r="K695" i="15"/>
  <c r="H695" i="15" s="1"/>
  <c r="Q832" i="15" l="1"/>
  <c r="I832" i="15" s="1"/>
  <c r="K832" i="15"/>
  <c r="H832" i="15" s="1"/>
  <c r="Q834" i="15"/>
  <c r="I834" i="15" s="1"/>
  <c r="K834" i="15"/>
  <c r="H834" i="15" s="1"/>
  <c r="Q771" i="15"/>
  <c r="I771" i="15" s="1"/>
  <c r="K771" i="15"/>
  <c r="H771" i="15" s="1"/>
  <c r="K754" i="15"/>
  <c r="Q772" i="15"/>
  <c r="I772" i="15" s="1"/>
  <c r="K772" i="15"/>
  <c r="H772" i="15" s="1"/>
  <c r="Q775" i="15"/>
  <c r="I775" i="15" s="1"/>
  <c r="K775" i="15"/>
  <c r="H775" i="15" s="1"/>
  <c r="Q773" i="15"/>
  <c r="I773" i="15" s="1"/>
  <c r="K773" i="15"/>
  <c r="H773" i="15" s="1"/>
  <c r="Q787" i="15"/>
  <c r="Q794" i="15"/>
  <c r="I794" i="15" s="1"/>
  <c r="K794" i="15"/>
  <c r="H794" i="15" s="1"/>
  <c r="Q806" i="15"/>
  <c r="I806" i="15" s="1"/>
  <c r="K806" i="15"/>
  <c r="H806" i="15" s="1"/>
  <c r="Q805" i="15"/>
  <c r="I805" i="15" s="1"/>
  <c r="K805" i="15"/>
  <c r="H805" i="15" s="1"/>
  <c r="Q804" i="15"/>
  <c r="I804" i="15" s="1"/>
  <c r="K804" i="15"/>
  <c r="H804" i="15" s="1"/>
  <c r="Q818" i="15"/>
  <c r="Q837" i="15"/>
  <c r="I837" i="15" s="1"/>
  <c r="K837" i="15"/>
  <c r="H837" i="15" s="1"/>
  <c r="Q836" i="15"/>
  <c r="I836" i="15" s="1"/>
  <c r="K836" i="15"/>
  <c r="H836" i="15" s="1"/>
  <c r="Q1118" i="15"/>
  <c r="I1118" i="15" s="1"/>
  <c r="K1118" i="15"/>
  <c r="H1118" i="15" s="1"/>
  <c r="Q1437" i="15"/>
  <c r="I1437" i="15" s="1"/>
  <c r="Q1436" i="15"/>
  <c r="I1436" i="15" s="1"/>
  <c r="K1437" i="15"/>
  <c r="H1437" i="15" s="1"/>
  <c r="K1436" i="15"/>
  <c r="H1436" i="15" s="1"/>
  <c r="Q1462" i="15"/>
  <c r="I1462" i="15" s="1"/>
  <c r="Q1461" i="15"/>
  <c r="I1461" i="15" s="1"/>
  <c r="K1461" i="15"/>
  <c r="H1461" i="15" s="1"/>
  <c r="K1462" i="15"/>
  <c r="H1462" i="15" s="1"/>
  <c r="K1297" i="15"/>
  <c r="H1297" i="15" s="1"/>
  <c r="Q1297" i="15"/>
  <c r="I1297" i="15" s="1"/>
  <c r="Q1298" i="15"/>
  <c r="I1298" i="15" s="1"/>
  <c r="K1298" i="15"/>
  <c r="H1298" i="15" s="1"/>
  <c r="Q1411" i="15"/>
  <c r="I1411" i="15" s="1"/>
  <c r="K1411" i="15"/>
  <c r="H1411" i="15" s="1"/>
  <c r="Q1409" i="15"/>
  <c r="I1409" i="15" s="1"/>
  <c r="K1409" i="15"/>
  <c r="H1409" i="15" s="1"/>
  <c r="Q1522" i="15"/>
  <c r="I1522" i="15" s="1"/>
  <c r="K1521" i="15"/>
  <c r="H1521" i="15" s="1"/>
  <c r="Q1521" i="15"/>
  <c r="I1521" i="15" s="1"/>
  <c r="K1522" i="15"/>
  <c r="H1522" i="15" s="1"/>
  <c r="Q1539" i="15"/>
  <c r="I1539" i="15" s="1"/>
  <c r="K1539" i="15"/>
  <c r="H1539" i="15" s="1"/>
  <c r="Q1538" i="15"/>
  <c r="I1538" i="15" s="1"/>
  <c r="K1538" i="15"/>
  <c r="H1538" i="15" s="1"/>
  <c r="Q1537" i="15"/>
  <c r="I1537" i="15" s="1"/>
  <c r="K1537" i="15"/>
  <c r="H1537" i="15" s="1"/>
  <c r="Q1536" i="15"/>
  <c r="I1536" i="15" s="1"/>
  <c r="K1536" i="15"/>
  <c r="H1536" i="15" s="1"/>
  <c r="Q1541" i="15"/>
  <c r="I1541" i="15" s="1"/>
  <c r="K1541" i="15"/>
  <c r="H1541" i="15" s="1"/>
  <c r="Q1540" i="15"/>
  <c r="I1540" i="15" s="1"/>
  <c r="K1540" i="15"/>
  <c r="H1540" i="15" s="1"/>
  <c r="K1502" i="15"/>
  <c r="H1502" i="15" s="1"/>
  <c r="Q1503" i="15"/>
  <c r="I1503" i="15" s="1"/>
  <c r="K1503" i="15"/>
  <c r="H1503" i="15" s="1"/>
  <c r="Q1504" i="15"/>
  <c r="I1504" i="15" s="1"/>
  <c r="K1505" i="15"/>
  <c r="H1505" i="15" s="1"/>
  <c r="K1514" i="15" l="1"/>
  <c r="H1514" i="15" s="1"/>
  <c r="Q1514" i="15"/>
  <c r="I1514" i="15" s="1"/>
  <c r="K1515" i="15"/>
  <c r="H1515" i="15" s="1"/>
  <c r="Q1515" i="15"/>
  <c r="I1515" i="15" s="1"/>
  <c r="K1516" i="15"/>
  <c r="H1516" i="15" s="1"/>
  <c r="Q1516" i="15"/>
  <c r="I1516" i="15" s="1"/>
  <c r="K1517" i="15"/>
  <c r="H1517" i="15" s="1"/>
  <c r="Q1517" i="15"/>
  <c r="I1517" i="15" s="1"/>
  <c r="K1518" i="15"/>
  <c r="H1518" i="15" s="1"/>
  <c r="Q1518" i="15"/>
  <c r="I1518" i="15" s="1"/>
  <c r="Q1513" i="15"/>
  <c r="I1513" i="15" s="1"/>
  <c r="K1513" i="15"/>
  <c r="H1513" i="15" s="1"/>
  <c r="Q1526" i="15"/>
  <c r="I1526" i="15" s="1"/>
  <c r="K1526" i="15"/>
  <c r="H1526" i="15" s="1"/>
  <c r="Q1527" i="15"/>
  <c r="I1527" i="15" s="1"/>
  <c r="K1527" i="15"/>
  <c r="H1527" i="15" s="1"/>
  <c r="Q1506" i="15"/>
  <c r="I1506" i="15" s="1"/>
  <c r="Q1502" i="15"/>
  <c r="I1502" i="15" s="1"/>
  <c r="Q1505" i="15"/>
  <c r="I1505" i="15" s="1"/>
  <c r="K1504" i="15"/>
  <c r="H1504" i="15" s="1"/>
  <c r="K1506" i="15"/>
  <c r="H1506" i="15" s="1"/>
  <c r="Q1498" i="15"/>
  <c r="I1498" i="15" s="1"/>
  <c r="Q1497" i="15"/>
  <c r="I1497" i="15" s="1"/>
  <c r="K1496" i="15"/>
  <c r="H1496" i="15" s="1"/>
  <c r="K1495" i="15"/>
  <c r="H1495" i="15" s="1"/>
  <c r="Q1496" i="15"/>
  <c r="I1496" i="15" s="1"/>
  <c r="Q1495" i="15"/>
  <c r="I1495" i="15" s="1"/>
  <c r="K1497" i="15"/>
  <c r="H1497" i="15" s="1"/>
  <c r="K1498" i="15"/>
  <c r="H1498" i="15" s="1"/>
  <c r="K1486" i="15"/>
  <c r="H1486" i="15" s="1"/>
  <c r="K1485" i="15"/>
  <c r="H1485" i="15" s="1"/>
  <c r="Q1486" i="15"/>
  <c r="I1486" i="15" s="1"/>
  <c r="Q1487" i="15"/>
  <c r="I1487" i="15" s="1"/>
  <c r="Q1489" i="15"/>
  <c r="I1489" i="15" s="1"/>
  <c r="K1488" i="15"/>
  <c r="H1488" i="15" s="1"/>
  <c r="Q1485" i="15"/>
  <c r="I1485" i="15" s="1"/>
  <c r="Q1488" i="15"/>
  <c r="I1488" i="15" s="1"/>
  <c r="K1487" i="15"/>
  <c r="H1487" i="15" s="1"/>
  <c r="K1489" i="15"/>
  <c r="H1489" i="15" s="1"/>
  <c r="K1473" i="15"/>
  <c r="H1473" i="15" s="1"/>
  <c r="Q1473" i="15"/>
  <c r="I1473" i="15" s="1"/>
  <c r="Q1426" i="15"/>
  <c r="I1426" i="15" s="1"/>
  <c r="K1425" i="15"/>
  <c r="H1425" i="15" s="1"/>
  <c r="Q1425" i="15"/>
  <c r="I1425" i="15" s="1"/>
  <c r="K1426" i="15"/>
  <c r="H1426" i="15" s="1"/>
  <c r="Q1402" i="15"/>
  <c r="I1402" i="15" s="1"/>
  <c r="K1401" i="15"/>
  <c r="H1401" i="15" s="1"/>
  <c r="Q1401" i="15"/>
  <c r="I1401" i="15" s="1"/>
  <c r="K1402" i="15"/>
  <c r="H1402" i="15" s="1"/>
  <c r="Q1475" i="15"/>
  <c r="I1475" i="15" s="1"/>
  <c r="K1475" i="15"/>
  <c r="H1475" i="15" s="1"/>
  <c r="Q1380" i="15"/>
  <c r="I1380" i="15" s="1"/>
  <c r="K1380" i="15"/>
  <c r="H1380" i="15" s="1"/>
  <c r="Q1507" i="15"/>
  <c r="I1507" i="15" s="1"/>
  <c r="K1507" i="15"/>
  <c r="H1507" i="15" s="1"/>
  <c r="K1493" i="15"/>
  <c r="K1492" i="15"/>
  <c r="H1492" i="15" s="1"/>
  <c r="K1491" i="15"/>
  <c r="H1491" i="15" s="1"/>
  <c r="K1531" i="15"/>
  <c r="K1529" i="15"/>
  <c r="K1528" i="15"/>
  <c r="H1528" i="15" s="1"/>
  <c r="K1525" i="15"/>
  <c r="H1525" i="15" s="1"/>
  <c r="Q1545" i="15"/>
  <c r="Q1548" i="15"/>
  <c r="Q1547" i="15"/>
  <c r="I1547" i="15" s="1"/>
  <c r="K1547" i="15"/>
  <c r="H1547" i="15" s="1"/>
  <c r="Q1418" i="15"/>
  <c r="I1418" i="15" s="1"/>
  <c r="K1418" i="15"/>
  <c r="H1418" i="15" s="1"/>
  <c r="Q1442" i="15"/>
  <c r="I1442" i="15" s="1"/>
  <c r="K1442" i="15"/>
  <c r="H1442" i="15" s="1"/>
  <c r="Q1454" i="15"/>
  <c r="I1454" i="15" s="1"/>
  <c r="K1454" i="15"/>
  <c r="H1454" i="15" s="1"/>
  <c r="Q1479" i="15"/>
  <c r="I1479" i="15" s="1"/>
  <c r="K1479" i="15"/>
  <c r="H1479" i="15" s="1"/>
  <c r="Q1528" i="15"/>
  <c r="I1528" i="15" s="1"/>
  <c r="Q1491" i="15"/>
  <c r="I1491" i="15" s="1"/>
  <c r="Q1492" i="15"/>
  <c r="I1492" i="15" s="1"/>
  <c r="Q1525" i="15"/>
  <c r="I1525" i="15" s="1"/>
  <c r="Q1520" i="15"/>
  <c r="I1520" i="15" s="1"/>
  <c r="K1520" i="15"/>
  <c r="H1520" i="15" s="1"/>
  <c r="Q1532" i="15"/>
  <c r="I1532" i="15" s="1"/>
  <c r="K1532" i="15"/>
  <c r="H1532" i="15" s="1"/>
  <c r="Q1523" i="15"/>
  <c r="I1523" i="15" s="1"/>
  <c r="K1523" i="15"/>
  <c r="H1523" i="15" s="1"/>
  <c r="Q1449" i="15"/>
  <c r="I1449" i="15" s="1"/>
  <c r="Q1448" i="15"/>
  <c r="I1448" i="15" s="1"/>
  <c r="K1449" i="15"/>
  <c r="H1449" i="15" s="1"/>
  <c r="K1448" i="15"/>
  <c r="H1448" i="15" s="1"/>
  <c r="Q782" i="15"/>
  <c r="I782" i="15" s="1"/>
  <c r="K782" i="15"/>
  <c r="H782" i="15" s="1"/>
  <c r="Q1021" i="15"/>
  <c r="I1021" i="15" s="1"/>
  <c r="K1021" i="15"/>
  <c r="H1021" i="15" s="1"/>
  <c r="Q994" i="15"/>
  <c r="I994" i="15" s="1"/>
  <c r="K994" i="15"/>
  <c r="H994" i="15" s="1"/>
  <c r="Q988" i="15"/>
  <c r="I988" i="15" s="1"/>
  <c r="K988" i="15"/>
  <c r="H988" i="15" s="1"/>
  <c r="Q1045" i="15"/>
  <c r="I1045" i="15" s="1"/>
  <c r="K1045" i="15"/>
  <c r="H1045" i="15" s="1"/>
  <c r="Q1342" i="15"/>
  <c r="I1342" i="15" s="1"/>
  <c r="Q1341" i="15"/>
  <c r="I1341" i="15" s="1"/>
  <c r="K1342" i="15"/>
  <c r="H1342" i="15" s="1"/>
  <c r="K1341" i="15"/>
  <c r="H1341" i="15" s="1"/>
  <c r="Q1316" i="15"/>
  <c r="I1316" i="15" s="1"/>
  <c r="Q1315" i="15"/>
  <c r="I1315" i="15" s="1"/>
  <c r="K1316" i="15"/>
  <c r="H1316" i="15" s="1"/>
  <c r="K1315" i="15"/>
  <c r="H1315" i="15" s="1"/>
  <c r="Q1290" i="15"/>
  <c r="I1290" i="15" s="1"/>
  <c r="K1290" i="15"/>
  <c r="H1290" i="15" s="1"/>
  <c r="Q1228" i="15"/>
  <c r="I1228" i="15" s="1"/>
  <c r="Q1227" i="15"/>
  <c r="I1227" i="15" s="1"/>
  <c r="K1228" i="15"/>
  <c r="H1228" i="15" s="1"/>
  <c r="K1227" i="15"/>
  <c r="H1227" i="15" s="1"/>
  <c r="Q1191" i="15"/>
  <c r="I1191" i="15" s="1"/>
  <c r="Q1190" i="15"/>
  <c r="I1190" i="15" s="1"/>
  <c r="K1191" i="15"/>
  <c r="H1191" i="15" s="1"/>
  <c r="K1190" i="15"/>
  <c r="H1190" i="15" s="1"/>
  <c r="Q1128" i="15"/>
  <c r="I1128" i="15" s="1"/>
  <c r="Q1127" i="15"/>
  <c r="I1127" i="15" s="1"/>
  <c r="K1128" i="15"/>
  <c r="H1128" i="15" s="1"/>
  <c r="K1127" i="15"/>
  <c r="H1127" i="15" s="1"/>
  <c r="Q1150" i="15"/>
  <c r="I1150" i="15" s="1"/>
  <c r="Q1149" i="15"/>
  <c r="I1149" i="15" s="1"/>
  <c r="K1150" i="15"/>
  <c r="H1150" i="15" s="1"/>
  <c r="K1149" i="15"/>
  <c r="H1149" i="15" s="1"/>
  <c r="Q1144" i="15"/>
  <c r="I1144" i="15" s="1"/>
  <c r="Q1143" i="15"/>
  <c r="I1143" i="15" s="1"/>
  <c r="K1144" i="15"/>
  <c r="H1144" i="15" s="1"/>
  <c r="K1143" i="15"/>
  <c r="H1143" i="15" s="1"/>
  <c r="Q1079" i="15"/>
  <c r="I1079" i="15" s="1"/>
  <c r="K1079" i="15"/>
  <c r="H1079" i="15" s="1"/>
  <c r="K570" i="15"/>
  <c r="H570" i="15" s="1"/>
  <c r="Q570" i="15"/>
  <c r="I570" i="15" s="1"/>
  <c r="Q568" i="15"/>
  <c r="I568" i="15" s="1"/>
  <c r="K568" i="15"/>
  <c r="H568" i="15" s="1"/>
  <c r="Q1557" i="15"/>
  <c r="Q1542" i="15"/>
  <c r="Q1519" i="15"/>
  <c r="K1542" i="15"/>
  <c r="K1519" i="15"/>
  <c r="K1508" i="15"/>
  <c r="K1490" i="15"/>
  <c r="Q1472" i="15"/>
  <c r="K1447" i="15"/>
  <c r="Q1408" i="15"/>
  <c r="K1405" i="15"/>
  <c r="H1405" i="15" s="1"/>
  <c r="Q1368" i="15"/>
  <c r="I1368" i="15" s="1"/>
  <c r="K1368" i="15"/>
  <c r="H1368" i="15" s="1"/>
  <c r="Q1340" i="15"/>
  <c r="I1340" i="15" s="1"/>
  <c r="K1340" i="15"/>
  <c r="H1340" i="15" s="1"/>
  <c r="Q1364" i="15"/>
  <c r="I1364" i="15" s="1"/>
  <c r="K1364" i="15"/>
  <c r="H1364" i="15" s="1"/>
  <c r="Q1366" i="15"/>
  <c r="I1366" i="15" s="1"/>
  <c r="K1366" i="15"/>
  <c r="H1366" i="15" s="1"/>
  <c r="Q1291" i="15"/>
  <c r="I1291" i="15" s="1"/>
  <c r="Q1289" i="15"/>
  <c r="I1289" i="15" s="1"/>
  <c r="K1291" i="15"/>
  <c r="H1291" i="15" s="1"/>
  <c r="K1289" i="15"/>
  <c r="H1289" i="15" s="1"/>
  <c r="Q1268" i="15"/>
  <c r="I1268" i="15" s="1"/>
  <c r="Q1267" i="15"/>
  <c r="I1267" i="15" s="1"/>
  <c r="K1268" i="15"/>
  <c r="H1268" i="15" s="1"/>
  <c r="K1267" i="15"/>
  <c r="H1267" i="15" s="1"/>
  <c r="Q1199" i="15"/>
  <c r="I1199" i="15" s="1"/>
  <c r="K1199" i="15"/>
  <c r="H1199" i="15" s="1"/>
  <c r="Q1257" i="15"/>
  <c r="I1257" i="15" s="1"/>
  <c r="K1257" i="15"/>
  <c r="H1257" i="15" s="1"/>
  <c r="Q945" i="15"/>
  <c r="I945" i="15" s="1"/>
  <c r="K945" i="15"/>
  <c r="H945" i="15" s="1"/>
  <c r="Q751" i="15"/>
  <c r="I751" i="15" s="1"/>
  <c r="K751" i="15"/>
  <c r="H751" i="15" s="1"/>
  <c r="Q634" i="15"/>
  <c r="I634" i="15" s="1"/>
  <c r="K634" i="15"/>
  <c r="H634" i="15" s="1"/>
  <c r="Q645" i="15"/>
  <c r="I645" i="15" s="1"/>
  <c r="K645" i="15"/>
  <c r="H645" i="15" s="1"/>
  <c r="Q486" i="15"/>
  <c r="I486" i="15" s="1"/>
  <c r="Q484" i="15"/>
  <c r="I484" i="15" s="1"/>
  <c r="K486" i="15"/>
  <c r="H486" i="15" s="1"/>
  <c r="K484" i="15"/>
  <c r="H484" i="15" s="1"/>
  <c r="Q277" i="15"/>
  <c r="I277" i="15" s="1"/>
  <c r="K277" i="15"/>
  <c r="H277" i="15" s="1"/>
  <c r="Q788" i="15"/>
  <c r="I788" i="15" s="1"/>
  <c r="K788" i="15"/>
  <c r="Q789" i="15"/>
  <c r="I789" i="15" s="1"/>
  <c r="K789" i="15"/>
  <c r="Q774" i="15"/>
  <c r="I774" i="15" s="1"/>
  <c r="Q776" i="15"/>
  <c r="Q777" i="15"/>
  <c r="Q766" i="15"/>
  <c r="I766" i="15" s="1"/>
  <c r="Q738" i="15"/>
  <c r="K743" i="15"/>
  <c r="Q743" i="15"/>
  <c r="Q756" i="15"/>
  <c r="K757" i="15"/>
  <c r="H757" i="15" s="1"/>
  <c r="Q757" i="15"/>
  <c r="I757" i="15" s="1"/>
  <c r="K766" i="15"/>
  <c r="H766" i="15" s="1"/>
  <c r="Q767" i="15"/>
  <c r="K767" i="15"/>
  <c r="Q1444" i="15"/>
  <c r="I1444" i="15" s="1"/>
  <c r="K1444" i="15"/>
  <c r="H1444" i="15" s="1"/>
  <c r="Q1329" i="15"/>
  <c r="I1329" i="15" s="1"/>
  <c r="K1329" i="15"/>
  <c r="H1329" i="15" s="1"/>
  <c r="Q1123" i="15"/>
  <c r="I1123" i="15" s="1"/>
  <c r="K1123" i="15"/>
  <c r="H1123" i="15" s="1"/>
  <c r="Q1122" i="15"/>
  <c r="I1122" i="15" s="1"/>
  <c r="K1122" i="15"/>
  <c r="H1122" i="15" s="1"/>
  <c r="Q1089" i="15"/>
  <c r="I1089" i="15" s="1"/>
  <c r="K1089" i="15"/>
  <c r="H1089" i="15" s="1"/>
  <c r="Q1092" i="15"/>
  <c r="I1092" i="15" s="1"/>
  <c r="K1092" i="15"/>
  <c r="H1092" i="15" s="1"/>
  <c r="Q1114" i="15"/>
  <c r="I1114" i="15" s="1"/>
  <c r="K1114" i="15"/>
  <c r="H1114" i="15" s="1"/>
  <c r="Q1104" i="15"/>
  <c r="I1104" i="15" s="1"/>
  <c r="K1104" i="15"/>
  <c r="H1104" i="15" s="1"/>
  <c r="Q1095" i="15"/>
  <c r="I1095" i="15" s="1"/>
  <c r="K1095" i="15"/>
  <c r="H1095" i="15" s="1"/>
  <c r="Q1046" i="15"/>
  <c r="I1046" i="15" s="1"/>
  <c r="K1046" i="15"/>
  <c r="H1046" i="15" s="1"/>
  <c r="Q1101" i="15"/>
  <c r="I1101" i="15" s="1"/>
  <c r="K1101" i="15"/>
  <c r="H1101" i="15" s="1"/>
  <c r="Q1100" i="15"/>
  <c r="I1100" i="15" s="1"/>
  <c r="K1100" i="15"/>
  <c r="H1100" i="15" s="1"/>
  <c r="Q1077" i="15"/>
  <c r="I1077" i="15" s="1"/>
  <c r="K1077" i="15"/>
  <c r="H1077" i="15" s="1"/>
  <c r="Q990" i="15"/>
  <c r="I990" i="15" s="1"/>
  <c r="K990" i="15"/>
  <c r="H990" i="15" s="1"/>
  <c r="Q989" i="15"/>
  <c r="I989" i="15" s="1"/>
  <c r="K989" i="15"/>
  <c r="H989" i="15" s="1"/>
  <c r="Q911" i="15"/>
  <c r="I911" i="15" s="1"/>
  <c r="K911" i="15"/>
  <c r="H911" i="15" s="1"/>
  <c r="K909" i="15"/>
  <c r="H909" i="15" s="1"/>
  <c r="K910" i="15"/>
  <c r="H910" i="15" s="1"/>
  <c r="Q881" i="15"/>
  <c r="I881" i="15" s="1"/>
  <c r="K881" i="15"/>
  <c r="H881" i="15" s="1"/>
  <c r="Q886" i="15"/>
  <c r="I886" i="15" s="1"/>
  <c r="K886" i="15"/>
  <c r="H886" i="15" s="1"/>
  <c r="Q910" i="15"/>
  <c r="I910" i="15" s="1"/>
  <c r="Q761" i="15"/>
  <c r="I761" i="15" s="1"/>
  <c r="K761" i="15"/>
  <c r="H761" i="15" s="1"/>
  <c r="Q765" i="15"/>
  <c r="I765" i="15" s="1"/>
  <c r="K765" i="15"/>
  <c r="H765" i="15" s="1"/>
  <c r="Q784" i="15"/>
  <c r="I784" i="15" s="1"/>
  <c r="K784" i="15"/>
  <c r="H784" i="15" s="1"/>
  <c r="Q749" i="15"/>
  <c r="I749" i="15" s="1"/>
  <c r="Q748" i="15"/>
  <c r="I748" i="15" s="1"/>
  <c r="K748" i="15"/>
  <c r="H748" i="15" s="1"/>
  <c r="K749" i="15"/>
  <c r="H749" i="15" s="1"/>
  <c r="Q750" i="15"/>
  <c r="Q730" i="15"/>
  <c r="I730" i="15" s="1"/>
  <c r="Q732" i="15"/>
  <c r="I732" i="15" s="1"/>
  <c r="Q731" i="15"/>
  <c r="I731" i="15" s="1"/>
  <c r="K731" i="15"/>
  <c r="H731" i="15" s="1"/>
  <c r="K732" i="15"/>
  <c r="H732" i="15" s="1"/>
  <c r="K730" i="15"/>
  <c r="H730" i="15" s="1"/>
  <c r="Q717" i="15"/>
  <c r="I717" i="15" s="1"/>
  <c r="K717" i="15"/>
  <c r="H717" i="15" s="1"/>
  <c r="Q686" i="15"/>
  <c r="I686" i="15" s="1"/>
  <c r="K686" i="15"/>
  <c r="H686" i="15" s="1"/>
  <c r="Q699" i="15"/>
  <c r="I699" i="15" s="1"/>
  <c r="K699" i="15"/>
  <c r="H699" i="15" s="1"/>
  <c r="Q658" i="15"/>
  <c r="I658" i="15" s="1"/>
  <c r="K658" i="15"/>
  <c r="H658" i="15" s="1"/>
  <c r="Q630" i="15"/>
  <c r="I630" i="15" s="1"/>
  <c r="Q629" i="15"/>
  <c r="I629" i="15" s="1"/>
  <c r="K630" i="15"/>
  <c r="H630" i="15" s="1"/>
  <c r="K629" i="15"/>
  <c r="H629" i="15" s="1"/>
  <c r="Q610" i="15"/>
  <c r="I610" i="15" s="1"/>
  <c r="K610" i="15"/>
  <c r="H610" i="15" s="1"/>
  <c r="Q593" i="15"/>
  <c r="I593" i="15" s="1"/>
  <c r="K593" i="15"/>
  <c r="H593" i="15" s="1"/>
  <c r="Q576" i="15"/>
  <c r="I576" i="15" s="1"/>
  <c r="K576" i="15"/>
  <c r="H576" i="15" s="1"/>
  <c r="Q528" i="15"/>
  <c r="I528" i="15" s="1"/>
  <c r="Q526" i="15"/>
  <c r="I526" i="15" s="1"/>
  <c r="K528" i="15"/>
  <c r="H528" i="15" s="1"/>
  <c r="K526" i="15"/>
  <c r="H526" i="15" s="1"/>
  <c r="Q497" i="15"/>
  <c r="I497" i="15" s="1"/>
  <c r="Q495" i="15"/>
  <c r="I495" i="15" s="1"/>
  <c r="K495" i="15"/>
  <c r="H495" i="15" s="1"/>
  <c r="K497" i="15"/>
  <c r="H497" i="15" s="1"/>
  <c r="K434" i="15"/>
  <c r="H434" i="15" s="1"/>
  <c r="K433" i="15"/>
  <c r="H433" i="15" s="1"/>
  <c r="Q435" i="15"/>
  <c r="I435" i="15" s="1"/>
  <c r="Q434" i="15"/>
  <c r="I434" i="15" s="1"/>
  <c r="Q433" i="15"/>
  <c r="I433" i="15" s="1"/>
  <c r="K435" i="15"/>
  <c r="H435" i="15" s="1"/>
  <c r="Q438" i="15"/>
  <c r="I438" i="15" s="1"/>
  <c r="K438" i="15"/>
  <c r="H438" i="15" s="1"/>
  <c r="Q276" i="15"/>
  <c r="I276" i="15" s="1"/>
  <c r="Q275" i="15"/>
  <c r="I275" i="15" s="1"/>
  <c r="K276" i="15"/>
  <c r="H276" i="15" s="1"/>
  <c r="K275" i="15"/>
  <c r="H275" i="15" s="1"/>
  <c r="Q1553" i="15"/>
  <c r="I1553" i="15" s="1"/>
  <c r="K1552" i="15"/>
  <c r="H1552" i="15" s="1"/>
  <c r="Q1552" i="15"/>
  <c r="I1552" i="15" s="1"/>
  <c r="K1553" i="15"/>
  <c r="H1553" i="15" s="1"/>
  <c r="Q1469" i="15"/>
  <c r="I1469" i="15" s="1"/>
  <c r="K1469" i="15"/>
  <c r="H1469" i="15" s="1"/>
  <c r="Q1470" i="15"/>
  <c r="I1470" i="15" s="1"/>
  <c r="K1470" i="15"/>
  <c r="H1470" i="15" s="1"/>
  <c r="Q1476" i="15"/>
  <c r="I1476" i="15" s="1"/>
  <c r="K1474" i="15"/>
  <c r="H1474" i="15" s="1"/>
  <c r="K1476" i="15"/>
  <c r="H1476" i="15" s="1"/>
  <c r="Q1474" i="15"/>
  <c r="I1474" i="15" s="1"/>
  <c r="Q1412" i="15"/>
  <c r="I1412" i="15" s="1"/>
  <c r="K1410" i="15"/>
  <c r="H1410" i="15" s="1"/>
  <c r="Q1410" i="15"/>
  <c r="I1410" i="15" s="1"/>
  <c r="K1412" i="15"/>
  <c r="H1412" i="15" s="1"/>
  <c r="Q1416" i="15"/>
  <c r="I1416" i="15" s="1"/>
  <c r="Q1415" i="15"/>
  <c r="I1415" i="15" s="1"/>
  <c r="K1416" i="15"/>
  <c r="H1416" i="15" s="1"/>
  <c r="K1415" i="15"/>
  <c r="H1415" i="15" s="1"/>
  <c r="Q1365" i="15"/>
  <c r="I1365" i="15" s="1"/>
  <c r="K1365" i="15"/>
  <c r="H1365" i="15" s="1"/>
  <c r="Q1363" i="15"/>
  <c r="I1363" i="15" s="1"/>
  <c r="K1363" i="15"/>
  <c r="H1363" i="15" s="1"/>
  <c r="Q1330" i="15"/>
  <c r="I1330" i="15" s="1"/>
  <c r="K1330" i="15"/>
  <c r="H1330" i="15" s="1"/>
  <c r="Q1328" i="15"/>
  <c r="I1328" i="15" s="1"/>
  <c r="K1328" i="15"/>
  <c r="H1328" i="15" s="1"/>
  <c r="Q1303" i="15"/>
  <c r="I1303" i="15" s="1"/>
  <c r="K1303" i="15"/>
  <c r="H1303" i="15" s="1"/>
  <c r="Q1304" i="15"/>
  <c r="I1304" i="15" s="1"/>
  <c r="K1304" i="15"/>
  <c r="H1304" i="15" s="1"/>
  <c r="Q1305" i="15"/>
  <c r="I1305" i="15" s="1"/>
  <c r="K1305" i="15"/>
  <c r="H1305" i="15" s="1"/>
  <c r="Q1306" i="15"/>
  <c r="I1306" i="15" s="1"/>
  <c r="K1306" i="15"/>
  <c r="H1306" i="15" s="1"/>
  <c r="Q1282" i="15"/>
  <c r="I1282" i="15" s="1"/>
  <c r="K1282" i="15"/>
  <c r="H1282" i="15" s="1"/>
  <c r="Q1281" i="15"/>
  <c r="I1281" i="15" s="1"/>
  <c r="K1281" i="15"/>
  <c r="H1281" i="15" s="1"/>
  <c r="K1254" i="15"/>
  <c r="H1254" i="15" s="1"/>
  <c r="Q1255" i="15"/>
  <c r="I1255" i="15" s="1"/>
  <c r="Q1256" i="15"/>
  <c r="I1256" i="15" s="1"/>
  <c r="Q1254" i="15"/>
  <c r="I1254" i="15" s="1"/>
  <c r="K1255" i="15"/>
  <c r="H1255" i="15" s="1"/>
  <c r="K1256" i="15"/>
  <c r="H1256" i="15" s="1"/>
  <c r="K1198" i="15"/>
  <c r="H1198" i="15" s="1"/>
  <c r="Q1196" i="15"/>
  <c r="I1196" i="15" s="1"/>
  <c r="K1196" i="15"/>
  <c r="H1196" i="15" s="1"/>
  <c r="Q1197" i="15"/>
  <c r="I1197" i="15" s="1"/>
  <c r="K1197" i="15"/>
  <c r="H1197" i="15" s="1"/>
  <c r="Q1198" i="15"/>
  <c r="I1198" i="15" s="1"/>
  <c r="Q967" i="15"/>
  <c r="I967" i="15" s="1"/>
  <c r="K967" i="15"/>
  <c r="H967" i="15" s="1"/>
  <c r="Q966" i="15"/>
  <c r="I966" i="15" s="1"/>
  <c r="K966" i="15"/>
  <c r="H966" i="15" s="1"/>
  <c r="Q1183" i="15"/>
  <c r="I1183" i="15" s="1"/>
  <c r="K1183" i="15"/>
  <c r="H1183" i="15" s="1"/>
  <c r="Q1182" i="15"/>
  <c r="I1182" i="15" s="1"/>
  <c r="K1182" i="15"/>
  <c r="H1182" i="15" s="1"/>
  <c r="Q1181" i="15"/>
  <c r="I1181" i="15" s="1"/>
  <c r="K1181" i="15"/>
  <c r="H1181" i="15" s="1"/>
  <c r="T1169" i="15"/>
  <c r="Q1169" i="15"/>
  <c r="I1169" i="15" s="1"/>
  <c r="K1169" i="15"/>
  <c r="H1169" i="15" s="1"/>
  <c r="Q1161" i="15"/>
  <c r="I1161" i="15" s="1"/>
  <c r="K1161" i="15"/>
  <c r="H1161" i="15" s="1"/>
  <c r="Q1172" i="15"/>
  <c r="I1172" i="15" s="1"/>
  <c r="Q1171" i="15"/>
  <c r="I1171" i="15" s="1"/>
  <c r="Q1170" i="15"/>
  <c r="I1170" i="15" s="1"/>
  <c r="K1172" i="15"/>
  <c r="H1172" i="15" s="1"/>
  <c r="K1171" i="15"/>
  <c r="H1171" i="15" s="1"/>
  <c r="K1170" i="15"/>
  <c r="H1170" i="15" s="1"/>
  <c r="Q1163" i="15"/>
  <c r="I1163" i="15" s="1"/>
  <c r="Q1162" i="15"/>
  <c r="I1162" i="15" s="1"/>
  <c r="K1163" i="15"/>
  <c r="H1163" i="15" s="1"/>
  <c r="K1162" i="15"/>
  <c r="H1162" i="15" s="1"/>
  <c r="Q1142" i="15"/>
  <c r="I1142" i="15" s="1"/>
  <c r="Q1141" i="15"/>
  <c r="I1141" i="15" s="1"/>
  <c r="K1142" i="15"/>
  <c r="H1142" i="15" s="1"/>
  <c r="K1141" i="15"/>
  <c r="H1141" i="15" s="1"/>
  <c r="Q1148" i="15"/>
  <c r="I1148" i="15" s="1"/>
  <c r="K1148" i="15"/>
  <c r="H1148" i="15" s="1"/>
  <c r="Q1152" i="15"/>
  <c r="I1152" i="15" s="1"/>
  <c r="K1152" i="15"/>
  <c r="H1152" i="15" s="1"/>
  <c r="Q1126" i="15"/>
  <c r="I1126" i="15" s="1"/>
  <c r="K1126" i="15"/>
  <c r="H1126" i="15" s="1"/>
  <c r="Q1134" i="15"/>
  <c r="I1134" i="15" s="1"/>
  <c r="K1134" i="15"/>
  <c r="H1134" i="15" s="1"/>
  <c r="Q1120" i="15"/>
  <c r="I1120" i="15" s="1"/>
  <c r="Q1119" i="15"/>
  <c r="I1119" i="15" s="1"/>
  <c r="K1120" i="15"/>
  <c r="H1120" i="15" s="1"/>
  <c r="K1119" i="15"/>
  <c r="H1119" i="15" s="1"/>
  <c r="Q1121" i="15"/>
  <c r="I1121" i="15" s="1"/>
  <c r="O1121" i="15"/>
  <c r="K1121" i="15"/>
  <c r="H1121" i="15" s="1"/>
  <c r="Q1112" i="15"/>
  <c r="I1112" i="15" s="1"/>
  <c r="Q1111" i="15"/>
  <c r="I1111" i="15" s="1"/>
  <c r="Q1110" i="15"/>
  <c r="I1110" i="15" s="1"/>
  <c r="K1112" i="15"/>
  <c r="H1112" i="15" s="1"/>
  <c r="K1111" i="15"/>
  <c r="H1111" i="15" s="1"/>
  <c r="K1110" i="15"/>
  <c r="H1110" i="15" s="1"/>
  <c r="Q1102" i="15"/>
  <c r="I1102" i="15" s="1"/>
  <c r="K1102" i="15"/>
  <c r="H1102" i="15" s="1"/>
  <c r="Q1099" i="15"/>
  <c r="I1099" i="15" s="1"/>
  <c r="K1099" i="15"/>
  <c r="H1099" i="15" s="1"/>
  <c r="Q1093" i="15"/>
  <c r="I1093" i="15" s="1"/>
  <c r="Q1091" i="15"/>
  <c r="I1091" i="15" s="1"/>
  <c r="Q1090" i="15"/>
  <c r="I1090" i="15" s="1"/>
  <c r="K1093" i="15"/>
  <c r="H1093" i="15" s="1"/>
  <c r="K1091" i="15"/>
  <c r="H1091" i="15" s="1"/>
  <c r="K1090" i="15"/>
  <c r="H1090" i="15" s="1"/>
  <c r="Q1078" i="15"/>
  <c r="I1078" i="15" s="1"/>
  <c r="Q1076" i="15"/>
  <c r="I1076" i="15" s="1"/>
  <c r="K1078" i="15"/>
  <c r="H1078" i="15" s="1"/>
  <c r="K1076" i="15"/>
  <c r="H1076" i="15" s="1"/>
  <c r="Q1066" i="15"/>
  <c r="I1066" i="15" s="1"/>
  <c r="K1066" i="15"/>
  <c r="H1066" i="15" s="1"/>
  <c r="Q1069" i="15"/>
  <c r="I1069" i="15" s="1"/>
  <c r="Q1068" i="15"/>
  <c r="I1068" i="15" s="1"/>
  <c r="Q1067" i="15"/>
  <c r="I1067" i="15" s="1"/>
  <c r="K1069" i="15"/>
  <c r="H1069" i="15" s="1"/>
  <c r="K1068" i="15"/>
  <c r="H1068" i="15" s="1"/>
  <c r="K1067" i="15"/>
  <c r="H1067" i="15" s="1"/>
  <c r="Q1056" i="15"/>
  <c r="I1056" i="15" s="1"/>
  <c r="Q1055" i="15"/>
  <c r="I1055" i="15" s="1"/>
  <c r="Q1054" i="15"/>
  <c r="I1054" i="15" s="1"/>
  <c r="K1056" i="15"/>
  <c r="H1056" i="15" s="1"/>
  <c r="K1055" i="15"/>
  <c r="H1055" i="15" s="1"/>
  <c r="K1054" i="15"/>
  <c r="H1054" i="15" s="1"/>
  <c r="Q1047" i="15"/>
  <c r="I1047" i="15" s="1"/>
  <c r="K1047" i="15"/>
  <c r="H1047" i="15" s="1"/>
  <c r="Q1044" i="15"/>
  <c r="I1044" i="15" s="1"/>
  <c r="K1044" i="15"/>
  <c r="H1044" i="15" s="1"/>
  <c r="Q1043" i="15"/>
  <c r="I1043" i="15" s="1"/>
  <c r="K1043" i="15"/>
  <c r="H1043" i="15" s="1"/>
  <c r="Q1016" i="15"/>
  <c r="I1016" i="15" s="1"/>
  <c r="K1016" i="15"/>
  <c r="H1016" i="15" s="1"/>
  <c r="Q1015" i="15"/>
  <c r="I1015" i="15" s="1"/>
  <c r="K1015" i="15"/>
  <c r="H1015" i="15" s="1"/>
  <c r="Q1014" i="15"/>
  <c r="I1014" i="15" s="1"/>
  <c r="K1014" i="15"/>
  <c r="H1014" i="15" s="1"/>
  <c r="Q1024" i="15"/>
  <c r="I1024" i="15" s="1"/>
  <c r="K1024" i="15"/>
  <c r="H1024" i="15" s="1"/>
  <c r="Q1023" i="15"/>
  <c r="I1023" i="15" s="1"/>
  <c r="K1023" i="15"/>
  <c r="H1023" i="15" s="1"/>
  <c r="Q1022" i="15"/>
  <c r="I1022" i="15" s="1"/>
  <c r="K1022" i="15"/>
  <c r="H1022" i="15" s="1"/>
  <c r="Q993" i="15"/>
  <c r="I993" i="15" s="1"/>
  <c r="K993" i="15"/>
  <c r="H993" i="15" s="1"/>
  <c r="Q992" i="15"/>
  <c r="I992" i="15" s="1"/>
  <c r="K992" i="15"/>
  <c r="H992" i="15" s="1"/>
  <c r="Q991" i="15"/>
  <c r="I991" i="15" s="1"/>
  <c r="K991" i="15"/>
  <c r="H991" i="15" s="1"/>
  <c r="Q986" i="15"/>
  <c r="I986" i="15" s="1"/>
  <c r="K986" i="15"/>
  <c r="H986" i="15" s="1"/>
  <c r="Q985" i="15"/>
  <c r="I985" i="15" s="1"/>
  <c r="K985" i="15"/>
  <c r="H985" i="15" s="1"/>
  <c r="Q984" i="15"/>
  <c r="I984" i="15" s="1"/>
  <c r="K984" i="15"/>
  <c r="H984" i="15" s="1"/>
  <c r="Q1026" i="15"/>
  <c r="I1026" i="15" s="1"/>
  <c r="K1026" i="15"/>
  <c r="H1026" i="15" s="1"/>
  <c r="Q996" i="15"/>
  <c r="I996" i="15" s="1"/>
  <c r="K996" i="15"/>
  <c r="H996" i="15" s="1"/>
  <c r="Q953" i="15"/>
  <c r="I953" i="15" s="1"/>
  <c r="K953" i="15"/>
  <c r="H953" i="15" s="1"/>
  <c r="Q951" i="15"/>
  <c r="I951" i="15" s="1"/>
  <c r="Q950" i="15"/>
  <c r="I950" i="15" s="1"/>
  <c r="K951" i="15"/>
  <c r="H951" i="15" s="1"/>
  <c r="K950" i="15"/>
  <c r="H950" i="15" s="1"/>
  <c r="Q943" i="15"/>
  <c r="I943" i="15" s="1"/>
  <c r="K943" i="15"/>
  <c r="H943" i="15" s="1"/>
  <c r="Q944" i="15"/>
  <c r="I944" i="15" s="1"/>
  <c r="K944" i="15"/>
  <c r="H944" i="15" s="1"/>
  <c r="Q923" i="15"/>
  <c r="I923" i="15" s="1"/>
  <c r="K923" i="15"/>
  <c r="H923" i="15" s="1"/>
  <c r="Q922" i="15"/>
  <c r="I922" i="15" s="1"/>
  <c r="K922" i="15"/>
  <c r="H922" i="15" s="1"/>
  <c r="Q928" i="15"/>
  <c r="I928" i="15" s="1"/>
  <c r="Q927" i="15"/>
  <c r="I927" i="15" s="1"/>
  <c r="K928" i="15"/>
  <c r="H928" i="15" s="1"/>
  <c r="K927" i="15"/>
  <c r="H927" i="15" s="1"/>
  <c r="Q897" i="15"/>
  <c r="I897" i="15" s="1"/>
  <c r="Q896" i="15"/>
  <c r="I896" i="15" s="1"/>
  <c r="Q895" i="15"/>
  <c r="I895" i="15" s="1"/>
  <c r="K897" i="15"/>
  <c r="H897" i="15" s="1"/>
  <c r="K896" i="15"/>
  <c r="H896" i="15" s="1"/>
  <c r="K895" i="15"/>
  <c r="H895" i="15" s="1"/>
  <c r="Q870" i="15"/>
  <c r="I870" i="15" s="1"/>
  <c r="K870" i="15"/>
  <c r="H870" i="15" s="1"/>
  <c r="Q868" i="15"/>
  <c r="I868" i="15" s="1"/>
  <c r="K868" i="15"/>
  <c r="H868" i="15" s="1"/>
  <c r="Q867" i="15"/>
  <c r="I867" i="15" s="1"/>
  <c r="K867" i="15"/>
  <c r="H867" i="15" s="1"/>
  <c r="Q854" i="15"/>
  <c r="I854" i="15" s="1"/>
  <c r="K854" i="15"/>
  <c r="H854" i="15" s="1"/>
  <c r="Q853" i="15"/>
  <c r="I853" i="15" s="1"/>
  <c r="K853" i="15"/>
  <c r="H853" i="15" s="1"/>
  <c r="I776" i="15"/>
  <c r="K776" i="15"/>
  <c r="H776" i="15" s="1"/>
  <c r="K774" i="15"/>
  <c r="H774" i="15" s="1"/>
  <c r="Q815" i="15"/>
  <c r="I815" i="15" s="1"/>
  <c r="K815" i="15"/>
  <c r="H815" i="15" s="1"/>
  <c r="Q814" i="15"/>
  <c r="I814" i="15" s="1"/>
  <c r="K814" i="15"/>
  <c r="H814" i="15" s="1"/>
  <c r="Q813" i="15"/>
  <c r="I813" i="15" s="1"/>
  <c r="K813" i="15"/>
  <c r="H813" i="15" s="1"/>
  <c r="Q823" i="15"/>
  <c r="I823" i="15" s="1"/>
  <c r="K823" i="15"/>
  <c r="H823" i="15" s="1"/>
  <c r="Q822" i="15"/>
  <c r="I822" i="15" s="1"/>
  <c r="K822" i="15"/>
  <c r="H822" i="15" s="1"/>
  <c r="Q830" i="15"/>
  <c r="I830" i="15" s="1"/>
  <c r="K830" i="15"/>
  <c r="H830" i="15" s="1"/>
  <c r="Q812" i="15"/>
  <c r="I812" i="15" s="1"/>
  <c r="K812" i="15"/>
  <c r="H812" i="15" s="1"/>
  <c r="Q798" i="15"/>
  <c r="I798" i="15" s="1"/>
  <c r="K798" i="15"/>
  <c r="H798" i="15" s="1"/>
  <c r="Q797" i="15"/>
  <c r="I797" i="15" s="1"/>
  <c r="K797" i="15"/>
  <c r="H797" i="15" s="1"/>
  <c r="Q764" i="15"/>
  <c r="I764" i="15" s="1"/>
  <c r="K764" i="15"/>
  <c r="H764" i="15" s="1"/>
  <c r="Q763" i="15"/>
  <c r="I763" i="15" s="1"/>
  <c r="K763" i="15"/>
  <c r="H763" i="15" s="1"/>
  <c r="Q781" i="15"/>
  <c r="I781" i="15" s="1"/>
  <c r="K781" i="15"/>
  <c r="H781" i="15" s="1"/>
  <c r="Q780" i="15"/>
  <c r="I780" i="15" s="1"/>
  <c r="K780" i="15"/>
  <c r="H780" i="15" s="1"/>
  <c r="Q759" i="15"/>
  <c r="I759" i="15" s="1"/>
  <c r="K759" i="15"/>
  <c r="H759" i="15" s="1"/>
  <c r="Q758" i="15"/>
  <c r="I758" i="15" s="1"/>
  <c r="K758" i="15"/>
  <c r="H758" i="15" s="1"/>
  <c r="Q744" i="15"/>
  <c r="I744" i="15" s="1"/>
  <c r="K744" i="15"/>
  <c r="H744" i="15" s="1"/>
  <c r="Q729" i="15"/>
  <c r="I729" i="15" s="1"/>
  <c r="K729" i="15"/>
  <c r="H729" i="15" s="1"/>
  <c r="Q670" i="15" l="1"/>
  <c r="I670" i="15" s="1"/>
  <c r="K670" i="15"/>
  <c r="H670" i="15" s="1"/>
  <c r="Q666" i="15"/>
  <c r="I666" i="15" s="1"/>
  <c r="K666" i="15"/>
  <c r="H666" i="15" s="1"/>
  <c r="Q661" i="15"/>
  <c r="I661" i="15" s="1"/>
  <c r="Q656" i="15"/>
  <c r="I656" i="15" s="1"/>
  <c r="K661" i="15"/>
  <c r="H661" i="15" s="1"/>
  <c r="K656" i="15"/>
  <c r="H656" i="15" s="1"/>
  <c r="Q637" i="15"/>
  <c r="I637" i="15" s="1"/>
  <c r="Q636" i="15"/>
  <c r="I636" i="15" s="1"/>
  <c r="K637" i="15"/>
  <c r="H637" i="15" s="1"/>
  <c r="K636" i="15"/>
  <c r="H636" i="15" s="1"/>
  <c r="Q622" i="15"/>
  <c r="I622" i="15" s="1"/>
  <c r="Q620" i="15"/>
  <c r="I620" i="15" s="1"/>
  <c r="K622" i="15"/>
  <c r="H622" i="15" s="1"/>
  <c r="K620" i="15"/>
  <c r="H620" i="15" s="1"/>
  <c r="Q617" i="15"/>
  <c r="I617" i="15" s="1"/>
  <c r="Q616" i="15"/>
  <c r="I616" i="15" s="1"/>
  <c r="K617" i="15"/>
  <c r="H617" i="15" s="1"/>
  <c r="K616" i="15"/>
  <c r="H616" i="15" s="1"/>
  <c r="Q611" i="15"/>
  <c r="I611" i="15" s="1"/>
  <c r="Q609" i="15"/>
  <c r="I609" i="15" s="1"/>
  <c r="K611" i="15"/>
  <c r="H611" i="15" s="1"/>
  <c r="K609" i="15"/>
  <c r="H609" i="15" s="1"/>
  <c r="Q605" i="15"/>
  <c r="Q604" i="15"/>
  <c r="I604" i="15" s="1"/>
  <c r="Q603" i="15"/>
  <c r="I603" i="15" s="1"/>
  <c r="K605" i="15"/>
  <c r="H605" i="15" s="1"/>
  <c r="I605" i="15"/>
  <c r="K604" i="15"/>
  <c r="H604" i="15" s="1"/>
  <c r="K603" i="15"/>
  <c r="H603" i="15" s="1"/>
  <c r="Q600" i="15"/>
  <c r="I600" i="15" s="1"/>
  <c r="K600" i="15"/>
  <c r="H600" i="15" s="1"/>
  <c r="Q599" i="15"/>
  <c r="I599" i="15" s="1"/>
  <c r="K599" i="15"/>
  <c r="H599" i="15" s="1"/>
  <c r="Q598" i="15"/>
  <c r="I598" i="15" s="1"/>
  <c r="K598" i="15"/>
  <c r="H598" i="15" s="1"/>
  <c r="Q594" i="15"/>
  <c r="I594" i="15" s="1"/>
  <c r="K594" i="15"/>
  <c r="H594" i="15" s="1"/>
  <c r="Q592" i="15"/>
  <c r="I592" i="15" s="1"/>
  <c r="K592" i="15"/>
  <c r="H592" i="15" s="1"/>
  <c r="K577" i="15"/>
  <c r="H577" i="15" s="1"/>
  <c r="K575" i="15"/>
  <c r="H575" i="15" s="1"/>
  <c r="Q577" i="15"/>
  <c r="I577" i="15" s="1"/>
  <c r="Q575" i="15"/>
  <c r="I575" i="15" s="1"/>
  <c r="I565" i="15"/>
  <c r="H565" i="15"/>
  <c r="Q566" i="15"/>
  <c r="I566" i="15" s="1"/>
  <c r="K566" i="15"/>
  <c r="H566" i="15" s="1"/>
  <c r="Q539" i="15"/>
  <c r="I539" i="15" s="1"/>
  <c r="Q538" i="15"/>
  <c r="I538" i="15" s="1"/>
  <c r="K538" i="15"/>
  <c r="H538" i="15" s="1"/>
  <c r="K539" i="15"/>
  <c r="H539" i="15" s="1"/>
  <c r="Q534" i="15"/>
  <c r="I534" i="15" s="1"/>
  <c r="K534" i="15"/>
  <c r="H534" i="15" s="1"/>
  <c r="Q532" i="15"/>
  <c r="I532" i="15" s="1"/>
  <c r="K532" i="15"/>
  <c r="H532" i="15" s="1"/>
  <c r="Q517" i="15"/>
  <c r="I517" i="15" s="1"/>
  <c r="Q515" i="15"/>
  <c r="I515" i="15" s="1"/>
  <c r="K517" i="15"/>
  <c r="H517" i="15" s="1"/>
  <c r="K515" i="15"/>
  <c r="H515" i="15" s="1"/>
  <c r="Q506" i="15"/>
  <c r="I506" i="15" s="1"/>
  <c r="K506" i="15"/>
  <c r="H506" i="15" s="1"/>
  <c r="Q504" i="15"/>
  <c r="I504" i="15" s="1"/>
  <c r="K504" i="15"/>
  <c r="H504" i="15" s="1"/>
  <c r="K448" i="15"/>
  <c r="H448" i="15" s="1"/>
  <c r="Q463" i="15"/>
  <c r="I463" i="15" s="1"/>
  <c r="K463" i="15"/>
  <c r="H463" i="15" s="1"/>
  <c r="Q461" i="15"/>
  <c r="I461" i="15" s="1"/>
  <c r="K461" i="15"/>
  <c r="H461" i="15" s="1"/>
  <c r="I449" i="15"/>
  <c r="K449" i="15"/>
  <c r="H449" i="15" s="1"/>
  <c r="Q448" i="15"/>
  <c r="I448" i="15" s="1"/>
  <c r="Q987" i="15"/>
  <c r="I987" i="15" s="1"/>
  <c r="K987" i="15"/>
  <c r="H987" i="15" s="1"/>
  <c r="O5" i="15"/>
  <c r="Q1640" i="15"/>
  <c r="I1640" i="15" s="1"/>
  <c r="Q1639" i="15"/>
  <c r="I1639" i="15" s="1"/>
  <c r="Q1638" i="15"/>
  <c r="I1638" i="15" s="1"/>
  <c r="Q1637" i="15"/>
  <c r="I1637" i="15" s="1"/>
  <c r="Q1636" i="15"/>
  <c r="I1636" i="15" s="1"/>
  <c r="Q1635" i="15"/>
  <c r="I1635" i="15" s="1"/>
  <c r="Q1634" i="15"/>
  <c r="I1634" i="15" s="1"/>
  <c r="Q1633" i="15"/>
  <c r="I1633" i="15" s="1"/>
  <c r="Q1632" i="15"/>
  <c r="I1632" i="15" s="1"/>
  <c r="Q1631" i="15"/>
  <c r="I1631" i="15" s="1"/>
  <c r="Q1630" i="15"/>
  <c r="I1630" i="15" s="1"/>
  <c r="Q1629" i="15"/>
  <c r="I1629" i="15" s="1"/>
  <c r="Q1628" i="15"/>
  <c r="I1628" i="15" s="1"/>
  <c r="Q1627" i="15"/>
  <c r="I1627" i="15" s="1"/>
  <c r="Q1626" i="15"/>
  <c r="I1626" i="15" s="1"/>
  <c r="Q1625" i="15"/>
  <c r="I1625" i="15" s="1"/>
  <c r="Q1624" i="15"/>
  <c r="I1624" i="15" s="1"/>
  <c r="Q1623" i="15"/>
  <c r="I1623" i="15" s="1"/>
  <c r="Q1622" i="15"/>
  <c r="I1622" i="15" s="1"/>
  <c r="Q1621" i="15"/>
  <c r="I1621" i="15" s="1"/>
  <c r="Q1620" i="15"/>
  <c r="I1620" i="15" s="1"/>
  <c r="Q1619" i="15"/>
  <c r="I1619" i="15" s="1"/>
  <c r="Q1618" i="15"/>
  <c r="I1618" i="15" s="1"/>
  <c r="Q1617" i="15"/>
  <c r="I1617" i="15" s="1"/>
  <c r="Q1616" i="15"/>
  <c r="I1616" i="15" s="1"/>
  <c r="Q1615" i="15"/>
  <c r="I1615" i="15" s="1"/>
  <c r="Q1614" i="15"/>
  <c r="I1614" i="15" s="1"/>
  <c r="Q1613" i="15"/>
  <c r="I1613" i="15" s="1"/>
  <c r="Q1612" i="15"/>
  <c r="I1612" i="15" s="1"/>
  <c r="Q1611" i="15"/>
  <c r="I1611" i="15" s="1"/>
  <c r="Q1610" i="15"/>
  <c r="I1610" i="15" s="1"/>
  <c r="Q1609" i="15"/>
  <c r="I1609" i="15" s="1"/>
  <c r="Q1608" i="15"/>
  <c r="I1608" i="15" s="1"/>
  <c r="Q1607" i="15"/>
  <c r="I1607" i="15" s="1"/>
  <c r="Q1606" i="15"/>
  <c r="I1606" i="15" s="1"/>
  <c r="Q1605" i="15"/>
  <c r="I1605" i="15" s="1"/>
  <c r="Q1604" i="15"/>
  <c r="I1604" i="15" s="1"/>
  <c r="Q1603" i="15"/>
  <c r="I1603" i="15" s="1"/>
  <c r="Q1602" i="15"/>
  <c r="I1602" i="15" s="1"/>
  <c r="Q1601" i="15"/>
  <c r="I1601" i="15" s="1"/>
  <c r="Q1600" i="15"/>
  <c r="I1600" i="15" s="1"/>
  <c r="Q1599" i="15"/>
  <c r="I1599" i="15" s="1"/>
  <c r="Q1598" i="15"/>
  <c r="I1598" i="15" s="1"/>
  <c r="Q1597" i="15"/>
  <c r="I1597" i="15" s="1"/>
  <c r="Q1596" i="15"/>
  <c r="I1596" i="15" s="1"/>
  <c r="Q1595" i="15"/>
  <c r="I1595" i="15" s="1"/>
  <c r="Q1594" i="15"/>
  <c r="I1594" i="15" s="1"/>
  <c r="Q1593" i="15"/>
  <c r="I1593" i="15" s="1"/>
  <c r="Q1592" i="15"/>
  <c r="I1592" i="15" s="1"/>
  <c r="Q1591" i="15"/>
  <c r="I1591" i="15" s="1"/>
  <c r="Q1590" i="15"/>
  <c r="I1590" i="15" s="1"/>
  <c r="Q1589" i="15"/>
  <c r="I1589" i="15" s="1"/>
  <c r="Q1588" i="15"/>
  <c r="I1588" i="15" s="1"/>
  <c r="Q1587" i="15"/>
  <c r="I1587" i="15" s="1"/>
  <c r="Q1586" i="15"/>
  <c r="I1586" i="15" s="1"/>
  <c r="Q1585" i="15"/>
  <c r="I1585" i="15" s="1"/>
  <c r="Q1584" i="15"/>
  <c r="I1584" i="15" s="1"/>
  <c r="Q1583" i="15"/>
  <c r="I1583" i="15" s="1"/>
  <c r="Q1582" i="15"/>
  <c r="I1582" i="15" s="1"/>
  <c r="Q1581" i="15"/>
  <c r="I1581" i="15" s="1"/>
  <c r="Q1580" i="15"/>
  <c r="I1580" i="15" s="1"/>
  <c r="Q1579" i="15"/>
  <c r="I1579" i="15" s="1"/>
  <c r="Q1578" i="15"/>
  <c r="I1578" i="15" s="1"/>
  <c r="Q1577" i="15"/>
  <c r="I1577" i="15" s="1"/>
  <c r="Q1576" i="15"/>
  <c r="I1576" i="15" s="1"/>
  <c r="Q1575" i="15"/>
  <c r="I1575" i="15" s="1"/>
  <c r="Q1574" i="15"/>
  <c r="I1574" i="15" s="1"/>
  <c r="Q1573" i="15"/>
  <c r="I1573" i="15" s="1"/>
  <c r="Q1572" i="15"/>
  <c r="I1572" i="15" s="1"/>
  <c r="Q1571" i="15"/>
  <c r="I1571" i="15" s="1"/>
  <c r="Q1570" i="15"/>
  <c r="I1570" i="15" s="1"/>
  <c r="Q1569" i="15"/>
  <c r="I1569" i="15" s="1"/>
  <c r="Q1568" i="15"/>
  <c r="I1568" i="15" s="1"/>
  <c r="Q1567" i="15"/>
  <c r="I1567" i="15" s="1"/>
  <c r="Q1566" i="15"/>
  <c r="I1566" i="15" s="1"/>
  <c r="Q1565" i="15"/>
  <c r="I1565" i="15" s="1"/>
  <c r="Q1564" i="15"/>
  <c r="I1564" i="15" s="1"/>
  <c r="Q1563" i="15"/>
  <c r="I1563" i="15" s="1"/>
  <c r="Q1562" i="15"/>
  <c r="I1562" i="15" s="1"/>
  <c r="Q1561" i="15"/>
  <c r="I1561" i="15" s="1"/>
  <c r="Q1560" i="15"/>
  <c r="I1560" i="15" s="1"/>
  <c r="Q1559" i="15"/>
  <c r="I1559" i="15" s="1"/>
  <c r="Q1558" i="15"/>
  <c r="I1558" i="15" s="1"/>
  <c r="I1557" i="15"/>
  <c r="Q1556" i="15"/>
  <c r="I1556" i="15" s="1"/>
  <c r="Q1546" i="15"/>
  <c r="I1546" i="15" s="1"/>
  <c r="I1545" i="15"/>
  <c r="Q1555" i="15"/>
  <c r="I1555" i="15" s="1"/>
  <c r="I1548" i="15"/>
  <c r="Q1554" i="15"/>
  <c r="I1554" i="15" s="1"/>
  <c r="Q1551" i="15"/>
  <c r="I1551" i="15" s="1"/>
  <c r="Q1550" i="15"/>
  <c r="I1550" i="15" s="1"/>
  <c r="Q1549" i="15"/>
  <c r="I1549" i="15" s="1"/>
  <c r="I1542" i="15"/>
  <c r="Q1529" i="15"/>
  <c r="I1529" i="15" s="1"/>
  <c r="Q1531" i="15"/>
  <c r="I1531" i="15" s="1"/>
  <c r="I1519" i="15"/>
  <c r="Q1544" i="15"/>
  <c r="I1544" i="15" s="1"/>
  <c r="Q1543" i="15"/>
  <c r="I1543" i="15" s="1"/>
  <c r="Q1530" i="15"/>
  <c r="I1530" i="15" s="1"/>
  <c r="Q1535" i="15"/>
  <c r="I1535" i="15" s="1"/>
  <c r="Q1534" i="15"/>
  <c r="I1534" i="15" s="1"/>
  <c r="Q1508" i="15"/>
  <c r="I1508" i="15" s="1"/>
  <c r="Q1524" i="15"/>
  <c r="I1524" i="15" s="1"/>
  <c r="Q1533" i="15"/>
  <c r="I1533" i="15" s="1"/>
  <c r="Q1512" i="15"/>
  <c r="I1512" i="15" s="1"/>
  <c r="Q1511" i="15"/>
  <c r="I1511" i="15" s="1"/>
  <c r="Q1510" i="15"/>
  <c r="I1510" i="15" s="1"/>
  <c r="Q1490" i="15"/>
  <c r="I1490" i="15" s="1"/>
  <c r="Q1493" i="15"/>
  <c r="I1493" i="15" s="1"/>
  <c r="Q1509" i="15"/>
  <c r="I1509" i="15" s="1"/>
  <c r="Q1501" i="15"/>
  <c r="I1501" i="15" s="1"/>
  <c r="Q1500" i="15"/>
  <c r="I1500" i="15" s="1"/>
  <c r="Q1499" i="15"/>
  <c r="I1499" i="15" s="1"/>
  <c r="Q1494" i="15"/>
  <c r="I1494" i="15" s="1"/>
  <c r="Q1484" i="15"/>
  <c r="I1484" i="15" s="1"/>
  <c r="Q1483" i="15"/>
  <c r="I1483" i="15" s="1"/>
  <c r="Q1482" i="15"/>
  <c r="I1482" i="15" s="1"/>
  <c r="Q1481" i="15"/>
  <c r="I1481" i="15" s="1"/>
  <c r="Q1480" i="15"/>
  <c r="I1480" i="15" s="1"/>
  <c r="Q1478" i="15"/>
  <c r="I1478" i="15" s="1"/>
  <c r="Q1477" i="15"/>
  <c r="I1477" i="15" s="1"/>
  <c r="I1472" i="15"/>
  <c r="Q1471" i="15"/>
  <c r="I1471" i="15" s="1"/>
  <c r="Q1468" i="15"/>
  <c r="I1468" i="15" s="1"/>
  <c r="Q1467" i="15"/>
  <c r="I1467" i="15" s="1"/>
  <c r="Q1466" i="15"/>
  <c r="I1466" i="15" s="1"/>
  <c r="Q1465" i="15"/>
  <c r="I1465" i="15" s="1"/>
  <c r="Q1464" i="15"/>
  <c r="I1464" i="15" s="1"/>
  <c r="Q1463" i="15"/>
  <c r="I1463" i="15" s="1"/>
  <c r="Q1460" i="15"/>
  <c r="I1460" i="15" s="1"/>
  <c r="Q1459" i="15"/>
  <c r="I1459" i="15" s="1"/>
  <c r="Q1458" i="15"/>
  <c r="I1458" i="15" s="1"/>
  <c r="Q1457" i="15"/>
  <c r="I1457" i="15" s="1"/>
  <c r="Q1456" i="15"/>
  <c r="I1456" i="15" s="1"/>
  <c r="Q1455" i="15"/>
  <c r="I1455" i="15" s="1"/>
  <c r="Q1453" i="15"/>
  <c r="I1453" i="15" s="1"/>
  <c r="Q1452" i="15"/>
  <c r="I1452" i="15" s="1"/>
  <c r="Q1451" i="15"/>
  <c r="I1451" i="15" s="1"/>
  <c r="Q1450" i="15"/>
  <c r="I1450" i="15" s="1"/>
  <c r="Q1446" i="15"/>
  <c r="I1446" i="15" s="1"/>
  <c r="Q1445" i="15"/>
  <c r="I1445" i="15" s="1"/>
  <c r="Q1443" i="15"/>
  <c r="I1443" i="15" s="1"/>
  <c r="Q1441" i="15"/>
  <c r="I1441" i="15" s="1"/>
  <c r="Q1440" i="15"/>
  <c r="I1440" i="15" s="1"/>
  <c r="Q1439" i="15"/>
  <c r="I1439" i="15" s="1"/>
  <c r="Q1438" i="15"/>
  <c r="I1438" i="15" s="1"/>
  <c r="Q1435" i="15"/>
  <c r="I1435" i="15" s="1"/>
  <c r="Q1434" i="15"/>
  <c r="I1434" i="15" s="1"/>
  <c r="Q1433" i="15"/>
  <c r="I1433" i="15" s="1"/>
  <c r="Q1447" i="15"/>
  <c r="I1447" i="15" s="1"/>
  <c r="Q1432" i="15"/>
  <c r="I1432" i="15" s="1"/>
  <c r="Q1431" i="15"/>
  <c r="I1431" i="15" s="1"/>
  <c r="Q1430" i="15"/>
  <c r="I1430" i="15" s="1"/>
  <c r="Q1429" i="15"/>
  <c r="I1429" i="15" s="1"/>
  <c r="Q1428" i="15"/>
  <c r="I1428" i="15" s="1"/>
  <c r="Q1427" i="15"/>
  <c r="I1427" i="15" s="1"/>
  <c r="Q1424" i="15"/>
  <c r="I1424" i="15" s="1"/>
  <c r="Q1423" i="15"/>
  <c r="I1423" i="15" s="1"/>
  <c r="Q1422" i="15"/>
  <c r="I1422" i="15" s="1"/>
  <c r="Q1421" i="15"/>
  <c r="I1421" i="15" s="1"/>
  <c r="Q1420" i="15"/>
  <c r="I1420" i="15" s="1"/>
  <c r="Q1419" i="15"/>
  <c r="I1419" i="15" s="1"/>
  <c r="Q1417" i="15"/>
  <c r="I1417" i="15" s="1"/>
  <c r="Q1414" i="15"/>
  <c r="I1414" i="15" s="1"/>
  <c r="Q1413" i="15"/>
  <c r="I1413" i="15" s="1"/>
  <c r="I1408" i="15"/>
  <c r="Q1407" i="15"/>
  <c r="I1407" i="15" s="1"/>
  <c r="Q1406" i="15"/>
  <c r="I1406" i="15" s="1"/>
  <c r="Q1404" i="15"/>
  <c r="I1404" i="15" s="1"/>
  <c r="Q1403" i="15"/>
  <c r="I1403" i="15" s="1"/>
  <c r="Q1400" i="15"/>
  <c r="I1400" i="15" s="1"/>
  <c r="Q1397" i="15"/>
  <c r="I1397" i="15" s="1"/>
  <c r="Q1396" i="15"/>
  <c r="I1396" i="15" s="1"/>
  <c r="Q1395" i="15"/>
  <c r="I1395" i="15" s="1"/>
  <c r="Q1392" i="15"/>
  <c r="I1392" i="15" s="1"/>
  <c r="Q1391" i="15"/>
  <c r="I1391" i="15" s="1"/>
  <c r="Q1390" i="15"/>
  <c r="I1390" i="15" s="1"/>
  <c r="Q1389" i="15"/>
  <c r="I1389" i="15" s="1"/>
  <c r="Q1405" i="15"/>
  <c r="I1405" i="15" s="1"/>
  <c r="Q1388" i="15"/>
  <c r="I1388" i="15" s="1"/>
  <c r="Q1387" i="15"/>
  <c r="I1387" i="15" s="1"/>
  <c r="Q1386" i="15"/>
  <c r="I1386" i="15" s="1"/>
  <c r="Q1385" i="15"/>
  <c r="I1385" i="15" s="1"/>
  <c r="Q1384" i="15"/>
  <c r="I1384" i="15" s="1"/>
  <c r="Q1383" i="15"/>
  <c r="I1383" i="15" s="1"/>
  <c r="Q1382" i="15"/>
  <c r="I1382" i="15" s="1"/>
  <c r="Q1381" i="15"/>
  <c r="I1381" i="15" s="1"/>
  <c r="Q1379" i="15"/>
  <c r="I1379" i="15" s="1"/>
  <c r="Q1378" i="15"/>
  <c r="I1378" i="15" s="1"/>
  <c r="Q1377" i="15"/>
  <c r="I1377" i="15" s="1"/>
  <c r="Q1376" i="15"/>
  <c r="I1376" i="15" s="1"/>
  <c r="Q1375" i="15"/>
  <c r="I1375" i="15" s="1"/>
  <c r="Q1374" i="15"/>
  <c r="I1374" i="15" s="1"/>
  <c r="Q1373" i="15"/>
  <c r="I1373" i="15" s="1"/>
  <c r="Q1372" i="15"/>
  <c r="I1372" i="15" s="1"/>
  <c r="Q1371" i="15"/>
  <c r="I1371" i="15" s="1"/>
  <c r="Q1370" i="15"/>
  <c r="I1370" i="15" s="1"/>
  <c r="Q1369" i="15"/>
  <c r="I1369" i="15" s="1"/>
  <c r="Q1367" i="15"/>
  <c r="I1367" i="15" s="1"/>
  <c r="Q1362" i="15"/>
  <c r="I1362" i="15" s="1"/>
  <c r="Q1361" i="15"/>
  <c r="I1361" i="15" s="1"/>
  <c r="Q1360" i="15"/>
  <c r="I1360" i="15" s="1"/>
  <c r="Q1359" i="15"/>
  <c r="I1359" i="15" s="1"/>
  <c r="Q1358" i="15"/>
  <c r="I1358" i="15" s="1"/>
  <c r="Q1357" i="15"/>
  <c r="I1357" i="15" s="1"/>
  <c r="Q1356" i="15"/>
  <c r="I1356" i="15" s="1"/>
  <c r="Q1355" i="15"/>
  <c r="I1355" i="15" s="1"/>
  <c r="Q1354" i="15"/>
  <c r="I1354" i="15" s="1"/>
  <c r="Q1353" i="15"/>
  <c r="I1353" i="15" s="1"/>
  <c r="Q1349" i="15"/>
  <c r="I1349" i="15" s="1"/>
  <c r="Q1348" i="15"/>
  <c r="I1348" i="15" s="1"/>
  <c r="Q1347" i="15"/>
  <c r="I1347" i="15" s="1"/>
  <c r="Q1346" i="15"/>
  <c r="I1346" i="15" s="1"/>
  <c r="Q1345" i="15"/>
  <c r="I1345" i="15" s="1"/>
  <c r="Q1344" i="15"/>
  <c r="I1344" i="15" s="1"/>
  <c r="Q1343" i="15"/>
  <c r="I1343" i="15" s="1"/>
  <c r="Q1339" i="15"/>
  <c r="I1339" i="15" s="1"/>
  <c r="Q1338" i="15"/>
  <c r="I1338" i="15" s="1"/>
  <c r="Q1337" i="15"/>
  <c r="I1337" i="15" s="1"/>
  <c r="Q1336" i="15"/>
  <c r="I1336" i="15" s="1"/>
  <c r="Q1335" i="15"/>
  <c r="I1335" i="15" s="1"/>
  <c r="Q1334" i="15"/>
  <c r="I1334" i="15" s="1"/>
  <c r="Q1333" i="15"/>
  <c r="I1333" i="15" s="1"/>
  <c r="Q1332" i="15"/>
  <c r="I1332" i="15" s="1"/>
  <c r="Q1331" i="15"/>
  <c r="I1331" i="15" s="1"/>
  <c r="Q1327" i="15"/>
  <c r="I1327" i="15" s="1"/>
  <c r="Q1326" i="15"/>
  <c r="I1326" i="15" s="1"/>
  <c r="Q1325" i="15"/>
  <c r="I1325" i="15" s="1"/>
  <c r="Q1324" i="15"/>
  <c r="I1324" i="15" s="1"/>
  <c r="Q1323" i="15"/>
  <c r="I1323" i="15" s="1"/>
  <c r="Q1322" i="15"/>
  <c r="I1322" i="15" s="1"/>
  <c r="Q1321" i="15"/>
  <c r="I1321" i="15" s="1"/>
  <c r="Q1320" i="15"/>
  <c r="I1320" i="15" s="1"/>
  <c r="Q1319" i="15"/>
  <c r="I1319" i="15" s="1"/>
  <c r="Q1318" i="15"/>
  <c r="I1318" i="15" s="1"/>
  <c r="Q1317" i="15"/>
  <c r="I1317" i="15" s="1"/>
  <c r="Q1314" i="15"/>
  <c r="I1314" i="15" s="1"/>
  <c r="Q1313" i="15"/>
  <c r="I1313" i="15" s="1"/>
  <c r="Q1312" i="15"/>
  <c r="I1312" i="15" s="1"/>
  <c r="Q1311" i="15"/>
  <c r="I1311" i="15" s="1"/>
  <c r="Q1310" i="15"/>
  <c r="I1310" i="15" s="1"/>
  <c r="Q1309" i="15"/>
  <c r="I1309" i="15" s="1"/>
  <c r="Q1308" i="15"/>
  <c r="I1308" i="15" s="1"/>
  <c r="Q1307" i="15"/>
  <c r="I1307" i="15" s="1"/>
  <c r="Q1302" i="15"/>
  <c r="I1302" i="15" s="1"/>
  <c r="Q1301" i="15"/>
  <c r="I1301" i="15" s="1"/>
  <c r="Q1300" i="15"/>
  <c r="I1300" i="15" s="1"/>
  <c r="Q1299" i="15"/>
  <c r="I1299" i="15" s="1"/>
  <c r="Q1296" i="15"/>
  <c r="I1296" i="15" s="1"/>
  <c r="Q1295" i="15"/>
  <c r="I1295" i="15" s="1"/>
  <c r="Q1294" i="15"/>
  <c r="I1294" i="15" s="1"/>
  <c r="Q1293" i="15"/>
  <c r="I1293" i="15" s="1"/>
  <c r="Q1292" i="15"/>
  <c r="I1292" i="15" s="1"/>
  <c r="Q1288" i="15"/>
  <c r="I1288" i="15" s="1"/>
  <c r="Q1287" i="15"/>
  <c r="I1287" i="15" s="1"/>
  <c r="Q1286" i="15"/>
  <c r="I1286" i="15" s="1"/>
  <c r="Q1285" i="15"/>
  <c r="I1285" i="15" s="1"/>
  <c r="Q1284" i="15"/>
  <c r="I1284" i="15" s="1"/>
  <c r="Q1283" i="15"/>
  <c r="I1283" i="15" s="1"/>
  <c r="Q1280" i="15"/>
  <c r="I1280" i="15" s="1"/>
  <c r="Q1279" i="15"/>
  <c r="I1279" i="15" s="1"/>
  <c r="Q1278" i="15"/>
  <c r="I1278" i="15" s="1"/>
  <c r="Q1277" i="15"/>
  <c r="I1277" i="15" s="1"/>
  <c r="Q1276" i="15"/>
  <c r="I1276" i="15" s="1"/>
  <c r="Q1275" i="15"/>
  <c r="I1275" i="15" s="1"/>
  <c r="Q1274" i="15"/>
  <c r="I1274" i="15" s="1"/>
  <c r="Q1273" i="15"/>
  <c r="I1273" i="15" s="1"/>
  <c r="Q1272" i="15"/>
  <c r="I1272" i="15" s="1"/>
  <c r="Q1271" i="15"/>
  <c r="I1271" i="15" s="1"/>
  <c r="Q1270" i="15"/>
  <c r="I1270" i="15" s="1"/>
  <c r="Q1269" i="15"/>
  <c r="I1269" i="15" s="1"/>
  <c r="Q1266" i="15"/>
  <c r="I1266" i="15" s="1"/>
  <c r="Q1265" i="15"/>
  <c r="I1265" i="15" s="1"/>
  <c r="Q1264" i="15"/>
  <c r="I1264" i="15" s="1"/>
  <c r="Q1263" i="15"/>
  <c r="I1263" i="15" s="1"/>
  <c r="Q1262" i="15"/>
  <c r="I1262" i="15" s="1"/>
  <c r="Q1261" i="15"/>
  <c r="I1261" i="15" s="1"/>
  <c r="Q1260" i="15"/>
  <c r="I1260" i="15" s="1"/>
  <c r="Q1259" i="15"/>
  <c r="I1259" i="15" s="1"/>
  <c r="Q1258" i="15"/>
  <c r="I1258" i="15" s="1"/>
  <c r="Q1253" i="15"/>
  <c r="I1253" i="15" s="1"/>
  <c r="Q1252" i="15"/>
  <c r="I1252" i="15" s="1"/>
  <c r="Q1251" i="15"/>
  <c r="I1251" i="15" s="1"/>
  <c r="Q1250" i="15"/>
  <c r="I1250" i="15" s="1"/>
  <c r="Q1249" i="15"/>
  <c r="I1249" i="15" s="1"/>
  <c r="Q1248" i="15"/>
  <c r="I1248" i="15" s="1"/>
  <c r="Q1247" i="15"/>
  <c r="I1247" i="15" s="1"/>
  <c r="Q1246" i="15"/>
  <c r="I1246" i="15" s="1"/>
  <c r="Q1245" i="15"/>
  <c r="I1245" i="15" s="1"/>
  <c r="Q1244" i="15"/>
  <c r="I1244" i="15" s="1"/>
  <c r="Q1243" i="15"/>
  <c r="I1243" i="15" s="1"/>
  <c r="Q1242" i="15"/>
  <c r="I1242" i="15" s="1"/>
  <c r="Q1241" i="15"/>
  <c r="I1241" i="15" s="1"/>
  <c r="Q1240" i="15"/>
  <c r="I1240" i="15" s="1"/>
  <c r="Q1239" i="15"/>
  <c r="I1239" i="15" s="1"/>
  <c r="Q1238" i="15"/>
  <c r="I1238" i="15" s="1"/>
  <c r="Q1237" i="15"/>
  <c r="I1237" i="15" s="1"/>
  <c r="Q1236" i="15"/>
  <c r="I1236" i="15" s="1"/>
  <c r="Q1235" i="15"/>
  <c r="I1235" i="15" s="1"/>
  <c r="Q1234" i="15"/>
  <c r="I1234" i="15" s="1"/>
  <c r="Q1233" i="15"/>
  <c r="I1233" i="15" s="1"/>
  <c r="Q1232" i="15"/>
  <c r="I1232" i="15" s="1"/>
  <c r="Q1231" i="15"/>
  <c r="I1231" i="15" s="1"/>
  <c r="Q1230" i="15"/>
  <c r="I1230" i="15" s="1"/>
  <c r="Q1229" i="15"/>
  <c r="I1229" i="15" s="1"/>
  <c r="Q1226" i="15"/>
  <c r="I1226" i="15" s="1"/>
  <c r="Q1225" i="15"/>
  <c r="I1225" i="15" s="1"/>
  <c r="Q1224" i="15"/>
  <c r="I1224" i="15" s="1"/>
  <c r="Q1223" i="15"/>
  <c r="I1223" i="15" s="1"/>
  <c r="Q1222" i="15"/>
  <c r="I1222" i="15" s="1"/>
  <c r="Q1221" i="15"/>
  <c r="I1221" i="15" s="1"/>
  <c r="Q1220" i="15"/>
  <c r="I1220" i="15" s="1"/>
  <c r="Q1219" i="15"/>
  <c r="I1219" i="15" s="1"/>
  <c r="Q1218" i="15"/>
  <c r="I1218" i="15" s="1"/>
  <c r="Q1217" i="15"/>
  <c r="I1217" i="15" s="1"/>
  <c r="Q1216" i="15"/>
  <c r="I1216" i="15" s="1"/>
  <c r="Q1215" i="15"/>
  <c r="I1215" i="15" s="1"/>
  <c r="Q1214" i="15"/>
  <c r="I1214" i="15" s="1"/>
  <c r="Q1213" i="15"/>
  <c r="I1213" i="15" s="1"/>
  <c r="Q1212" i="15"/>
  <c r="I1212" i="15" s="1"/>
  <c r="Q1211" i="15"/>
  <c r="I1211" i="15" s="1"/>
  <c r="Q1210" i="15"/>
  <c r="I1210" i="15" s="1"/>
  <c r="Q1209" i="15"/>
  <c r="I1209" i="15" s="1"/>
  <c r="Q1208" i="15"/>
  <c r="I1208" i="15" s="1"/>
  <c r="Q1207" i="15"/>
  <c r="I1207" i="15" s="1"/>
  <c r="Q1206" i="15"/>
  <c r="I1206" i="15" s="1"/>
  <c r="Q1205" i="15"/>
  <c r="I1205" i="15" s="1"/>
  <c r="Q1204" i="15"/>
  <c r="I1204" i="15" s="1"/>
  <c r="Q1203" i="15"/>
  <c r="I1203" i="15" s="1"/>
  <c r="Q1202" i="15"/>
  <c r="I1202" i="15" s="1"/>
  <c r="Q1201" i="15"/>
  <c r="I1201" i="15" s="1"/>
  <c r="Q1200" i="15"/>
  <c r="I1200" i="15" s="1"/>
  <c r="Q1195" i="15"/>
  <c r="I1195" i="15" s="1"/>
  <c r="Q1194" i="15"/>
  <c r="I1194" i="15" s="1"/>
  <c r="Q1193" i="15"/>
  <c r="I1193" i="15" s="1"/>
  <c r="Q1192" i="15"/>
  <c r="I1192" i="15" s="1"/>
  <c r="Q1189" i="15"/>
  <c r="I1189" i="15" s="1"/>
  <c r="Q1188" i="15"/>
  <c r="I1188" i="15" s="1"/>
  <c r="Q1187" i="15"/>
  <c r="I1187" i="15" s="1"/>
  <c r="Q1186" i="15"/>
  <c r="I1186" i="15" s="1"/>
  <c r="Q1185" i="15"/>
  <c r="I1185" i="15" s="1"/>
  <c r="Q1184" i="15"/>
  <c r="I1184" i="15" s="1"/>
  <c r="Q1180" i="15"/>
  <c r="I1180" i="15" s="1"/>
  <c r="Q1179" i="15"/>
  <c r="I1179" i="15" s="1"/>
  <c r="Q1178" i="15"/>
  <c r="I1178" i="15" s="1"/>
  <c r="Q1177" i="15"/>
  <c r="I1177" i="15" s="1"/>
  <c r="Q1176" i="15"/>
  <c r="I1176" i="15" s="1"/>
  <c r="Q1175" i="15"/>
  <c r="I1175" i="15" s="1"/>
  <c r="Q1174" i="15"/>
  <c r="I1174" i="15" s="1"/>
  <c r="Q1173" i="15"/>
  <c r="I1173" i="15" s="1"/>
  <c r="Q1168" i="15"/>
  <c r="I1168" i="15" s="1"/>
  <c r="Q1167" i="15"/>
  <c r="I1167" i="15" s="1"/>
  <c r="Q1166" i="15"/>
  <c r="I1166" i="15" s="1"/>
  <c r="Q1165" i="15"/>
  <c r="I1165" i="15" s="1"/>
  <c r="Q1164" i="15"/>
  <c r="I1164" i="15" s="1"/>
  <c r="Q1160" i="15"/>
  <c r="I1160" i="15" s="1"/>
  <c r="Q1159" i="15"/>
  <c r="I1159" i="15" s="1"/>
  <c r="Q1158" i="15"/>
  <c r="I1158" i="15" s="1"/>
  <c r="Q1157" i="15"/>
  <c r="I1157" i="15" s="1"/>
  <c r="Q1156" i="15"/>
  <c r="I1156" i="15" s="1"/>
  <c r="Q1155" i="15"/>
  <c r="I1155" i="15" s="1"/>
  <c r="Q1154" i="15"/>
  <c r="I1154" i="15" s="1"/>
  <c r="Q1153" i="15"/>
  <c r="I1153" i="15" s="1"/>
  <c r="Q1151" i="15"/>
  <c r="I1151" i="15" s="1"/>
  <c r="Q1147" i="15"/>
  <c r="I1147" i="15" s="1"/>
  <c r="Q1146" i="15"/>
  <c r="I1146" i="15" s="1"/>
  <c r="Q1145" i="15"/>
  <c r="I1145" i="15" s="1"/>
  <c r="Q1140" i="15"/>
  <c r="I1140" i="15" s="1"/>
  <c r="Q1139" i="15"/>
  <c r="I1139" i="15" s="1"/>
  <c r="Q1138" i="15"/>
  <c r="I1138" i="15" s="1"/>
  <c r="Q1137" i="15"/>
  <c r="I1137" i="15" s="1"/>
  <c r="Q1136" i="15"/>
  <c r="I1136" i="15" s="1"/>
  <c r="Q1135" i="15"/>
  <c r="I1135" i="15" s="1"/>
  <c r="Q1133" i="15"/>
  <c r="I1133" i="15" s="1"/>
  <c r="Q1132" i="15"/>
  <c r="I1132" i="15" s="1"/>
  <c r="Q1131" i="15"/>
  <c r="I1131" i="15" s="1"/>
  <c r="Q1130" i="15"/>
  <c r="I1130" i="15" s="1"/>
  <c r="Q1129" i="15"/>
  <c r="I1129" i="15" s="1"/>
  <c r="Q1125" i="15"/>
  <c r="I1125" i="15" s="1"/>
  <c r="Q1124" i="15"/>
  <c r="I1124" i="15" s="1"/>
  <c r="Q1117" i="15"/>
  <c r="I1117" i="15" s="1"/>
  <c r="Q1116" i="15"/>
  <c r="I1116" i="15" s="1"/>
  <c r="Q1115" i="15"/>
  <c r="I1115" i="15" s="1"/>
  <c r="Q1113" i="15"/>
  <c r="I1113" i="15" s="1"/>
  <c r="Q1109" i="15"/>
  <c r="I1109" i="15" s="1"/>
  <c r="Q1108" i="15"/>
  <c r="I1108" i="15" s="1"/>
  <c r="Q1107" i="15"/>
  <c r="I1107" i="15" s="1"/>
  <c r="Q1106" i="15"/>
  <c r="I1106" i="15" s="1"/>
  <c r="Q1105" i="15"/>
  <c r="I1105" i="15" s="1"/>
  <c r="Q1103" i="15"/>
  <c r="I1103" i="15" s="1"/>
  <c r="Q1098" i="15"/>
  <c r="I1098" i="15" s="1"/>
  <c r="Q1097" i="15"/>
  <c r="I1097" i="15" s="1"/>
  <c r="Q1096" i="15"/>
  <c r="I1096" i="15" s="1"/>
  <c r="Q1094" i="15"/>
  <c r="I1094" i="15" s="1"/>
  <c r="Q1088" i="15"/>
  <c r="I1088" i="15" s="1"/>
  <c r="Q1087" i="15"/>
  <c r="I1087" i="15" s="1"/>
  <c r="Q1086" i="15"/>
  <c r="I1086" i="15" s="1"/>
  <c r="Q1085" i="15"/>
  <c r="I1085" i="15" s="1"/>
  <c r="Q1084" i="15"/>
  <c r="I1084" i="15" s="1"/>
  <c r="Q1083" i="15"/>
  <c r="I1083" i="15" s="1"/>
  <c r="Q1082" i="15"/>
  <c r="I1082" i="15" s="1"/>
  <c r="Q1081" i="15"/>
  <c r="I1081" i="15" s="1"/>
  <c r="Q1080" i="15"/>
  <c r="I1080" i="15" s="1"/>
  <c r="Q1075" i="15"/>
  <c r="I1075" i="15" s="1"/>
  <c r="Q1074" i="15"/>
  <c r="I1074" i="15" s="1"/>
  <c r="Q1073" i="15"/>
  <c r="I1073" i="15" s="1"/>
  <c r="Q1072" i="15"/>
  <c r="I1072" i="15" s="1"/>
  <c r="Q1071" i="15"/>
  <c r="I1071" i="15" s="1"/>
  <c r="Q1070" i="15"/>
  <c r="I1070" i="15" s="1"/>
  <c r="Q1065" i="15"/>
  <c r="I1065" i="15" s="1"/>
  <c r="Q1064" i="15"/>
  <c r="I1064" i="15" s="1"/>
  <c r="Q1063" i="15"/>
  <c r="I1063" i="15" s="1"/>
  <c r="Q1062" i="15"/>
  <c r="I1062" i="15" s="1"/>
  <c r="Q1061" i="15"/>
  <c r="I1061" i="15" s="1"/>
  <c r="Q1060" i="15"/>
  <c r="I1060" i="15" s="1"/>
  <c r="Q1059" i="15"/>
  <c r="I1059" i="15" s="1"/>
  <c r="Q1058" i="15"/>
  <c r="I1058" i="15" s="1"/>
  <c r="Q1057" i="15"/>
  <c r="I1057" i="15" s="1"/>
  <c r="Q1053" i="15"/>
  <c r="I1053" i="15" s="1"/>
  <c r="Q1052" i="15"/>
  <c r="I1052" i="15" s="1"/>
  <c r="Q1051" i="15"/>
  <c r="I1051" i="15" s="1"/>
  <c r="Q1050" i="15"/>
  <c r="I1050" i="15" s="1"/>
  <c r="Q1049" i="15"/>
  <c r="I1049" i="15" s="1"/>
  <c r="Q1048" i="15"/>
  <c r="I1048" i="15" s="1"/>
  <c r="Q1042" i="15"/>
  <c r="I1042" i="15" s="1"/>
  <c r="Q1041" i="15"/>
  <c r="I1041" i="15" s="1"/>
  <c r="Q1040" i="15"/>
  <c r="I1040" i="15" s="1"/>
  <c r="Q1039" i="15"/>
  <c r="I1039" i="15" s="1"/>
  <c r="Q1038" i="15"/>
  <c r="I1038" i="15" s="1"/>
  <c r="Q1037" i="15"/>
  <c r="I1037" i="15" s="1"/>
  <c r="Q1036" i="15"/>
  <c r="I1036" i="15" s="1"/>
  <c r="Q1035" i="15"/>
  <c r="I1035" i="15" s="1"/>
  <c r="Q1034" i="15"/>
  <c r="I1034" i="15" s="1"/>
  <c r="Q1033" i="15"/>
  <c r="I1033" i="15" s="1"/>
  <c r="Q1032" i="15"/>
  <c r="I1032" i="15" s="1"/>
  <c r="Q1031" i="15"/>
  <c r="I1031" i="15" s="1"/>
  <c r="Q1030" i="15"/>
  <c r="I1030" i="15" s="1"/>
  <c r="Q1029" i="15"/>
  <c r="I1029" i="15" s="1"/>
  <c r="Q1028" i="15"/>
  <c r="I1028" i="15" s="1"/>
  <c r="Q1027" i="15"/>
  <c r="I1027" i="15" s="1"/>
  <c r="Q1025" i="15"/>
  <c r="I1025" i="15" s="1"/>
  <c r="Q1020" i="15"/>
  <c r="I1020" i="15" s="1"/>
  <c r="Q1019" i="15"/>
  <c r="I1019" i="15" s="1"/>
  <c r="Q1018" i="15"/>
  <c r="I1018" i="15" s="1"/>
  <c r="Q1017" i="15"/>
  <c r="I1017" i="15" s="1"/>
  <c r="Q1013" i="15"/>
  <c r="I1013" i="15" s="1"/>
  <c r="Q1012" i="15"/>
  <c r="I1012" i="15" s="1"/>
  <c r="Q1011" i="15"/>
  <c r="I1011" i="15" s="1"/>
  <c r="Q1010" i="15"/>
  <c r="I1010" i="15" s="1"/>
  <c r="Q1009" i="15"/>
  <c r="I1009" i="15" s="1"/>
  <c r="Q1008" i="15"/>
  <c r="I1008" i="15" s="1"/>
  <c r="Q1007" i="15"/>
  <c r="I1007" i="15" s="1"/>
  <c r="Q1006" i="15"/>
  <c r="I1006" i="15" s="1"/>
  <c r="Q1005" i="15"/>
  <c r="I1005" i="15" s="1"/>
  <c r="Q1004" i="15"/>
  <c r="I1004" i="15" s="1"/>
  <c r="Q1003" i="15"/>
  <c r="I1003" i="15" s="1"/>
  <c r="Q1002" i="15"/>
  <c r="I1002" i="15" s="1"/>
  <c r="Q1001" i="15"/>
  <c r="I1001" i="15" s="1"/>
  <c r="Q1000" i="15"/>
  <c r="I1000" i="15" s="1"/>
  <c r="Q999" i="15"/>
  <c r="I999" i="15" s="1"/>
  <c r="Q998" i="15"/>
  <c r="I998" i="15" s="1"/>
  <c r="Q997" i="15"/>
  <c r="I997" i="15" s="1"/>
  <c r="Q995" i="15"/>
  <c r="I995" i="15" s="1"/>
  <c r="Q983" i="15"/>
  <c r="I983" i="15" s="1"/>
  <c r="Q982" i="15"/>
  <c r="I982" i="15" s="1"/>
  <c r="Q981" i="15"/>
  <c r="I981" i="15" s="1"/>
  <c r="Q980" i="15"/>
  <c r="I980" i="15" s="1"/>
  <c r="Q979" i="15"/>
  <c r="I979" i="15" s="1"/>
  <c r="Q978" i="15"/>
  <c r="I978" i="15" s="1"/>
  <c r="Q977" i="15"/>
  <c r="I977" i="15" s="1"/>
  <c r="Q976" i="15"/>
  <c r="I976" i="15" s="1"/>
  <c r="Q975" i="15"/>
  <c r="I975" i="15" s="1"/>
  <c r="Q974" i="15"/>
  <c r="I974" i="15" s="1"/>
  <c r="Q973" i="15"/>
  <c r="I973" i="15" s="1"/>
  <c r="Q972" i="15"/>
  <c r="I972" i="15" s="1"/>
  <c r="Q971" i="15"/>
  <c r="I971" i="15" s="1"/>
  <c r="Q970" i="15"/>
  <c r="I970" i="15" s="1"/>
  <c r="Q969" i="15"/>
  <c r="I969" i="15" s="1"/>
  <c r="Q968" i="15"/>
  <c r="I968" i="15" s="1"/>
  <c r="Q965" i="15"/>
  <c r="I965" i="15" s="1"/>
  <c r="Q964" i="15"/>
  <c r="I964" i="15" s="1"/>
  <c r="Q963" i="15"/>
  <c r="I963" i="15" s="1"/>
  <c r="Q962" i="15"/>
  <c r="I962" i="15" s="1"/>
  <c r="Q961" i="15"/>
  <c r="I961" i="15" s="1"/>
  <c r="Q960" i="15"/>
  <c r="I960" i="15" s="1"/>
  <c r="Q959" i="15"/>
  <c r="I959" i="15" s="1"/>
  <c r="Q958" i="15"/>
  <c r="I958" i="15" s="1"/>
  <c r="Q957" i="15"/>
  <c r="I957" i="15" s="1"/>
  <c r="Q956" i="15"/>
  <c r="I956" i="15" s="1"/>
  <c r="Q955" i="15"/>
  <c r="I955" i="15" s="1"/>
  <c r="Q954" i="15"/>
  <c r="I954" i="15" s="1"/>
  <c r="Q952" i="15"/>
  <c r="I952" i="15" s="1"/>
  <c r="Q949" i="15"/>
  <c r="I949" i="15" s="1"/>
  <c r="Q948" i="15"/>
  <c r="I948" i="15" s="1"/>
  <c r="Q947" i="15"/>
  <c r="I947" i="15" s="1"/>
  <c r="Q946" i="15"/>
  <c r="I946" i="15" s="1"/>
  <c r="Q942" i="15"/>
  <c r="I942" i="15" s="1"/>
  <c r="Q941" i="15"/>
  <c r="I941" i="15" s="1"/>
  <c r="Q940" i="15"/>
  <c r="I940" i="15" s="1"/>
  <c r="Q939" i="15"/>
  <c r="I939" i="15" s="1"/>
  <c r="Q938" i="15"/>
  <c r="I938" i="15" s="1"/>
  <c r="Q937" i="15"/>
  <c r="I937" i="15" s="1"/>
  <c r="Q936" i="15"/>
  <c r="I936" i="15" s="1"/>
  <c r="Q935" i="15"/>
  <c r="I935" i="15" s="1"/>
  <c r="Q934" i="15"/>
  <c r="I934" i="15" s="1"/>
  <c r="Q933" i="15"/>
  <c r="I933" i="15" s="1"/>
  <c r="Q932" i="15"/>
  <c r="I932" i="15" s="1"/>
  <c r="Q931" i="15"/>
  <c r="I931" i="15" s="1"/>
  <c r="Q930" i="15"/>
  <c r="I930" i="15" s="1"/>
  <c r="Q929" i="15"/>
  <c r="I929" i="15" s="1"/>
  <c r="Q926" i="15"/>
  <c r="I926" i="15" s="1"/>
  <c r="Q925" i="15"/>
  <c r="I925" i="15" s="1"/>
  <c r="Q924" i="15"/>
  <c r="I924" i="15" s="1"/>
  <c r="Q921" i="15"/>
  <c r="I921" i="15" s="1"/>
  <c r="Q920" i="15"/>
  <c r="I920" i="15" s="1"/>
  <c r="Q919" i="15"/>
  <c r="I919" i="15" s="1"/>
  <c r="Q918" i="15"/>
  <c r="I918" i="15" s="1"/>
  <c r="Q917" i="15"/>
  <c r="I917" i="15" s="1"/>
  <c r="Q916" i="15"/>
  <c r="I916" i="15" s="1"/>
  <c r="Q915" i="15"/>
  <c r="I915" i="15" s="1"/>
  <c r="Q914" i="15"/>
  <c r="I914" i="15" s="1"/>
  <c r="Q913" i="15"/>
  <c r="I913" i="15" s="1"/>
  <c r="Q912" i="15"/>
  <c r="I912" i="15" s="1"/>
  <c r="Q908" i="15"/>
  <c r="I908" i="15" s="1"/>
  <c r="Q907" i="15"/>
  <c r="I907" i="15" s="1"/>
  <c r="Q906" i="15"/>
  <c r="I906" i="15" s="1"/>
  <c r="Q905" i="15"/>
  <c r="I905" i="15" s="1"/>
  <c r="Q904" i="15"/>
  <c r="I904" i="15" s="1"/>
  <c r="Q903" i="15"/>
  <c r="I903" i="15" s="1"/>
  <c r="Q902" i="15"/>
  <c r="I902" i="15" s="1"/>
  <c r="Q901" i="15"/>
  <c r="I901" i="15" s="1"/>
  <c r="Q900" i="15"/>
  <c r="I900" i="15" s="1"/>
  <c r="Q899" i="15"/>
  <c r="I899" i="15" s="1"/>
  <c r="Q898" i="15"/>
  <c r="I898" i="15" s="1"/>
  <c r="Q909" i="15"/>
  <c r="I909" i="15" s="1"/>
  <c r="Q894" i="15"/>
  <c r="I894" i="15" s="1"/>
  <c r="Q893" i="15"/>
  <c r="I893" i="15" s="1"/>
  <c r="Q892" i="15"/>
  <c r="I892" i="15" s="1"/>
  <c r="Q891" i="15"/>
  <c r="I891" i="15" s="1"/>
  <c r="Q890" i="15"/>
  <c r="I890" i="15" s="1"/>
  <c r="Q889" i="15"/>
  <c r="I889" i="15" s="1"/>
  <c r="Q888" i="15"/>
  <c r="I888" i="15" s="1"/>
  <c r="Q887" i="15"/>
  <c r="I887" i="15" s="1"/>
  <c r="Q885" i="15"/>
  <c r="I885" i="15" s="1"/>
  <c r="Q884" i="15"/>
  <c r="I884" i="15" s="1"/>
  <c r="Q883" i="15"/>
  <c r="I883" i="15" s="1"/>
  <c r="Q882" i="15"/>
  <c r="I882" i="15" s="1"/>
  <c r="Q880" i="15"/>
  <c r="I880" i="15" s="1"/>
  <c r="Q879" i="15"/>
  <c r="I879" i="15" s="1"/>
  <c r="Q878" i="15"/>
  <c r="I878" i="15" s="1"/>
  <c r="Q877" i="15"/>
  <c r="I877" i="15" s="1"/>
  <c r="Q876" i="15"/>
  <c r="I876" i="15" s="1"/>
  <c r="Q875" i="15"/>
  <c r="I875" i="15" s="1"/>
  <c r="Q874" i="15"/>
  <c r="I874" i="15" s="1"/>
  <c r="Q873" i="15"/>
  <c r="I873" i="15" s="1"/>
  <c r="Q872" i="15"/>
  <c r="I872" i="15" s="1"/>
  <c r="Q871" i="15"/>
  <c r="I871" i="15" s="1"/>
  <c r="Q869" i="15"/>
  <c r="I869" i="15" s="1"/>
  <c r="Q866" i="15"/>
  <c r="I866" i="15" s="1"/>
  <c r="Q865" i="15"/>
  <c r="I865" i="15" s="1"/>
  <c r="Q864" i="15"/>
  <c r="I864" i="15" s="1"/>
  <c r="Q863" i="15"/>
  <c r="I863" i="15" s="1"/>
  <c r="Q862" i="15"/>
  <c r="I862" i="15" s="1"/>
  <c r="Q861" i="15"/>
  <c r="I861" i="15" s="1"/>
  <c r="Q860" i="15"/>
  <c r="I860" i="15" s="1"/>
  <c r="Q859" i="15"/>
  <c r="I859" i="15" s="1"/>
  <c r="Q858" i="15"/>
  <c r="I858" i="15" s="1"/>
  <c r="Q857" i="15"/>
  <c r="I857" i="15" s="1"/>
  <c r="Q856" i="15"/>
  <c r="I856" i="15" s="1"/>
  <c r="Q855" i="15"/>
  <c r="I855" i="15" s="1"/>
  <c r="Q852" i="15"/>
  <c r="I852" i="15" s="1"/>
  <c r="Q851" i="15"/>
  <c r="I851" i="15" s="1"/>
  <c r="Q850" i="15"/>
  <c r="I850" i="15" s="1"/>
  <c r="Q849" i="15"/>
  <c r="I849" i="15" s="1"/>
  <c r="Q848" i="15"/>
  <c r="I848" i="15" s="1"/>
  <c r="Q847" i="15"/>
  <c r="I847" i="15" s="1"/>
  <c r="Q846" i="15"/>
  <c r="I846" i="15" s="1"/>
  <c r="Q845" i="15"/>
  <c r="I845" i="15" s="1"/>
  <c r="Q844" i="15"/>
  <c r="I844" i="15" s="1"/>
  <c r="Q843" i="15"/>
  <c r="I843" i="15" s="1"/>
  <c r="Q842" i="15"/>
  <c r="I842" i="15" s="1"/>
  <c r="Q841" i="15"/>
  <c r="I841" i="15" s="1"/>
  <c r="Q840" i="15"/>
  <c r="I840" i="15" s="1"/>
  <c r="Q839" i="15"/>
  <c r="I839" i="15" s="1"/>
  <c r="Q838" i="15"/>
  <c r="I838" i="15" s="1"/>
  <c r="Q835" i="15"/>
  <c r="I835" i="15" s="1"/>
  <c r="Q833" i="15"/>
  <c r="I833" i="15" s="1"/>
  <c r="Q831" i="15"/>
  <c r="I831" i="15" s="1"/>
  <c r="Q829" i="15"/>
  <c r="I829" i="15" s="1"/>
  <c r="Q828" i="15"/>
  <c r="I828" i="15" s="1"/>
  <c r="Q827" i="15"/>
  <c r="I827" i="15" s="1"/>
  <c r="Q826" i="15"/>
  <c r="I826" i="15" s="1"/>
  <c r="Q825" i="15"/>
  <c r="I825" i="15" s="1"/>
  <c r="Q824" i="15"/>
  <c r="I824" i="15" s="1"/>
  <c r="Q821" i="15"/>
  <c r="I821" i="15" s="1"/>
  <c r="Q820" i="15"/>
  <c r="I820" i="15" s="1"/>
  <c r="Q819" i="15"/>
  <c r="I819" i="15" s="1"/>
  <c r="I818" i="15"/>
  <c r="Q817" i="15"/>
  <c r="I817" i="15" s="1"/>
  <c r="Q816" i="15"/>
  <c r="I816" i="15" s="1"/>
  <c r="Q811" i="15"/>
  <c r="I811" i="15" s="1"/>
  <c r="Q810" i="15"/>
  <c r="I810" i="15" s="1"/>
  <c r="Q809" i="15"/>
  <c r="I809" i="15" s="1"/>
  <c r="Q807" i="15"/>
  <c r="I807" i="15" s="1"/>
  <c r="Q803" i="15"/>
  <c r="I803" i="15" s="1"/>
  <c r="Q801" i="15"/>
  <c r="I801" i="15" s="1"/>
  <c r="Q800" i="15"/>
  <c r="I800" i="15" s="1"/>
  <c r="Q799" i="15"/>
  <c r="I799" i="15" s="1"/>
  <c r="Q796" i="15"/>
  <c r="I796" i="15" s="1"/>
  <c r="Q795" i="15"/>
  <c r="I795" i="15" s="1"/>
  <c r="Q793" i="15"/>
  <c r="I793" i="15" s="1"/>
  <c r="Q802" i="15"/>
  <c r="I802" i="15" s="1"/>
  <c r="Q791" i="15"/>
  <c r="I791" i="15" s="1"/>
  <c r="Q790" i="15"/>
  <c r="I790" i="15" s="1"/>
  <c r="I787" i="15"/>
  <c r="Q785" i="15"/>
  <c r="I785" i="15" s="1"/>
  <c r="Q783" i="15"/>
  <c r="I783" i="15" s="1"/>
  <c r="Q786" i="15"/>
  <c r="I786" i="15" s="1"/>
  <c r="Q779" i="15"/>
  <c r="I779" i="15" s="1"/>
  <c r="Q778" i="15"/>
  <c r="I778" i="15" s="1"/>
  <c r="I777" i="15"/>
  <c r="Q770" i="15"/>
  <c r="I770" i="15" s="1"/>
  <c r="Q769" i="15"/>
  <c r="I769" i="15" s="1"/>
  <c r="Q768" i="15"/>
  <c r="I768" i="15" s="1"/>
  <c r="Q762" i="15"/>
  <c r="I762" i="15" s="1"/>
  <c r="Q760" i="15"/>
  <c r="I760" i="15" s="1"/>
  <c r="I756" i="15"/>
  <c r="Q755" i="15"/>
  <c r="I755" i="15" s="1"/>
  <c r="Q754" i="15"/>
  <c r="I754" i="15" s="1"/>
  <c r="Q753" i="15"/>
  <c r="I753" i="15" s="1"/>
  <c r="Q752" i="15"/>
  <c r="I752" i="15" s="1"/>
  <c r="Q747" i="15"/>
  <c r="I747" i="15" s="1"/>
  <c r="Q746" i="15"/>
  <c r="I746" i="15" s="1"/>
  <c r="Q745" i="15"/>
  <c r="I745" i="15" s="1"/>
  <c r="Q742" i="15"/>
  <c r="I742" i="15" s="1"/>
  <c r="I767" i="15"/>
  <c r="Q741" i="15"/>
  <c r="I741" i="15" s="1"/>
  <c r="Q740" i="15"/>
  <c r="I740" i="15" s="1"/>
  <c r="Q739" i="15"/>
  <c r="I739" i="15" s="1"/>
  <c r="I750" i="15"/>
  <c r="I738" i="15"/>
  <c r="Q737" i="15"/>
  <c r="I737" i="15" s="1"/>
  <c r="Q792" i="15"/>
  <c r="I792" i="15" s="1"/>
  <c r="Q736" i="15"/>
  <c r="I736" i="15" s="1"/>
  <c r="Q735" i="15"/>
  <c r="I735" i="15" s="1"/>
  <c r="Q734" i="15"/>
  <c r="I734" i="15" s="1"/>
  <c r="I743" i="15"/>
  <c r="Q733" i="15"/>
  <c r="I733" i="15" s="1"/>
  <c r="Q728" i="15"/>
  <c r="I728" i="15" s="1"/>
  <c r="Q727" i="15"/>
  <c r="I727" i="15" s="1"/>
  <c r="Q726" i="15"/>
  <c r="I726" i="15" s="1"/>
  <c r="Q725" i="15"/>
  <c r="I725" i="15" s="1"/>
  <c r="Q724" i="15"/>
  <c r="I724" i="15" s="1"/>
  <c r="Q723" i="15"/>
  <c r="I723" i="15" s="1"/>
  <c r="Q722" i="15"/>
  <c r="I722" i="15" s="1"/>
  <c r="Q721" i="15"/>
  <c r="I721" i="15" s="1"/>
  <c r="Q720" i="15"/>
  <c r="I720" i="15" s="1"/>
  <c r="Q719" i="15"/>
  <c r="I719" i="15" s="1"/>
  <c r="Q718" i="15"/>
  <c r="I718" i="15" s="1"/>
  <c r="Q716" i="15"/>
  <c r="I716" i="15" s="1"/>
  <c r="Q715" i="15"/>
  <c r="I715" i="15" s="1"/>
  <c r="Q714" i="15"/>
  <c r="I714" i="15" s="1"/>
  <c r="Q713" i="15"/>
  <c r="I713" i="15" s="1"/>
  <c r="Q712" i="15"/>
  <c r="I712" i="15" s="1"/>
  <c r="Q711" i="15"/>
  <c r="I711" i="15" s="1"/>
  <c r="Q710" i="15"/>
  <c r="I710" i="15" s="1"/>
  <c r="Q709" i="15"/>
  <c r="I709" i="15" s="1"/>
  <c r="Q708" i="15"/>
  <c r="I708" i="15" s="1"/>
  <c r="Q707" i="15"/>
  <c r="I707" i="15" s="1"/>
  <c r="Q706" i="15"/>
  <c r="I706" i="15" s="1"/>
  <c r="Q705" i="15"/>
  <c r="I705" i="15" s="1"/>
  <c r="Q704" i="15"/>
  <c r="I704" i="15" s="1"/>
  <c r="Q703" i="15"/>
  <c r="I703" i="15" s="1"/>
  <c r="Q702" i="15"/>
  <c r="I702" i="15" s="1"/>
  <c r="Q701" i="15"/>
  <c r="I701" i="15" s="1"/>
  <c r="Q700" i="15"/>
  <c r="I700" i="15" s="1"/>
  <c r="Q698" i="15"/>
  <c r="I698" i="15" s="1"/>
  <c r="Q694" i="15"/>
  <c r="I694" i="15" s="1"/>
  <c r="Q693" i="15"/>
  <c r="I693" i="15" s="1"/>
  <c r="Q692" i="15"/>
  <c r="I692" i="15" s="1"/>
  <c r="Q691" i="15"/>
  <c r="I691" i="15" s="1"/>
  <c r="Q690" i="15"/>
  <c r="I690" i="15" s="1"/>
  <c r="Q689" i="15"/>
  <c r="I689" i="15" s="1"/>
  <c r="Q688" i="15"/>
  <c r="I688" i="15" s="1"/>
  <c r="Q687" i="15"/>
  <c r="I687" i="15" s="1"/>
  <c r="Q685" i="15"/>
  <c r="I685" i="15" s="1"/>
  <c r="Q682" i="15"/>
  <c r="I682" i="15" s="1"/>
  <c r="Q681" i="15"/>
  <c r="I681" i="15" s="1"/>
  <c r="Q680" i="15"/>
  <c r="I680" i="15" s="1"/>
  <c r="Q679" i="15"/>
  <c r="I679" i="15" s="1"/>
  <c r="Q678" i="15"/>
  <c r="I678" i="15" s="1"/>
  <c r="Q677" i="15"/>
  <c r="I677" i="15" s="1"/>
  <c r="Q676" i="15"/>
  <c r="I676" i="15" s="1"/>
  <c r="Q675" i="15"/>
  <c r="I675" i="15" s="1"/>
  <c r="Q674" i="15"/>
  <c r="I674" i="15" s="1"/>
  <c r="Q673" i="15"/>
  <c r="I673" i="15" s="1"/>
  <c r="Q672" i="15"/>
  <c r="I672" i="15" s="1"/>
  <c r="Q671" i="15"/>
  <c r="I671" i="15" s="1"/>
  <c r="Q669" i="15"/>
  <c r="I669" i="15" s="1"/>
  <c r="Q668" i="15"/>
  <c r="I668" i="15" s="1"/>
  <c r="Q667" i="15"/>
  <c r="I667" i="15" s="1"/>
  <c r="Q665" i="15"/>
  <c r="I665" i="15" s="1"/>
  <c r="Q664" i="15"/>
  <c r="I664" i="15" s="1"/>
  <c r="Q663" i="15"/>
  <c r="I663" i="15" s="1"/>
  <c r="Q662" i="15"/>
  <c r="I662" i="15" s="1"/>
  <c r="Q660" i="15"/>
  <c r="I660" i="15" s="1"/>
  <c r="Q659" i="15"/>
  <c r="I659" i="15" s="1"/>
  <c r="Q657" i="15"/>
  <c r="I657" i="15" s="1"/>
  <c r="Q655" i="15"/>
  <c r="I655" i="15" s="1"/>
  <c r="Q654" i="15"/>
  <c r="I654" i="15" s="1"/>
  <c r="Q653" i="15"/>
  <c r="I653" i="15" s="1"/>
  <c r="Q652" i="15"/>
  <c r="I652" i="15" s="1"/>
  <c r="Q651" i="15"/>
  <c r="I651" i="15" s="1"/>
  <c r="Q650" i="15"/>
  <c r="I650" i="15" s="1"/>
  <c r="Q649" i="15"/>
  <c r="I649" i="15" s="1"/>
  <c r="Q648" i="15"/>
  <c r="I648" i="15" s="1"/>
  <c r="Q642" i="15"/>
  <c r="I642" i="15" s="1"/>
  <c r="Q641" i="15"/>
  <c r="I641" i="15" s="1"/>
  <c r="Q647" i="15"/>
  <c r="I647" i="15" s="1"/>
  <c r="Q640" i="15"/>
  <c r="I640" i="15" s="1"/>
  <c r="Q639" i="15"/>
  <c r="I639" i="15" s="1"/>
  <c r="Q638" i="15"/>
  <c r="I638" i="15" s="1"/>
  <c r="Q635" i="15"/>
  <c r="I635" i="15" s="1"/>
  <c r="Q631" i="15"/>
  <c r="I631" i="15" s="1"/>
  <c r="Q628" i="15"/>
  <c r="I628" i="15" s="1"/>
  <c r="Q627" i="15"/>
  <c r="I627" i="15" s="1"/>
  <c r="Q626" i="15"/>
  <c r="I626" i="15" s="1"/>
  <c r="Q625" i="15"/>
  <c r="I625" i="15" s="1"/>
  <c r="Q624" i="15"/>
  <c r="I624" i="15" s="1"/>
  <c r="Q623" i="15"/>
  <c r="I623" i="15" s="1"/>
  <c r="Q619" i="15"/>
  <c r="I619" i="15" s="1"/>
  <c r="Q618" i="15"/>
  <c r="I618" i="15" s="1"/>
  <c r="Q615" i="15"/>
  <c r="I615" i="15" s="1"/>
  <c r="Q614" i="15"/>
  <c r="I614" i="15" s="1"/>
  <c r="Q613" i="15"/>
  <c r="I613" i="15" s="1"/>
  <c r="Q612" i="15"/>
  <c r="I612" i="15" s="1"/>
  <c r="Q608" i="15"/>
  <c r="I608" i="15" s="1"/>
  <c r="Q607" i="15"/>
  <c r="I607" i="15" s="1"/>
  <c r="Q606" i="15"/>
  <c r="I606" i="15" s="1"/>
  <c r="Q602" i="15"/>
  <c r="I602" i="15" s="1"/>
  <c r="Q601" i="15"/>
  <c r="I601" i="15" s="1"/>
  <c r="Q597" i="15"/>
  <c r="I597" i="15" s="1"/>
  <c r="Q596" i="15"/>
  <c r="I596" i="15" s="1"/>
  <c r="Q595" i="15"/>
  <c r="I595" i="15" s="1"/>
  <c r="Q591" i="15"/>
  <c r="I591" i="15" s="1"/>
  <c r="Q590" i="15"/>
  <c r="I590" i="15" s="1"/>
  <c r="Q589" i="15"/>
  <c r="I589" i="15" s="1"/>
  <c r="Q588" i="15"/>
  <c r="I588" i="15" s="1"/>
  <c r="Q587" i="15"/>
  <c r="I587" i="15" s="1"/>
  <c r="Q586" i="15"/>
  <c r="I586" i="15" s="1"/>
  <c r="Q585" i="15"/>
  <c r="I585" i="15" s="1"/>
  <c r="Q584" i="15"/>
  <c r="I584" i="15" s="1"/>
  <c r="Q583" i="15"/>
  <c r="I583" i="15" s="1"/>
  <c r="Q582" i="15"/>
  <c r="I582" i="15" s="1"/>
  <c r="Q581" i="15"/>
  <c r="I581" i="15" s="1"/>
  <c r="Q580" i="15"/>
  <c r="I580" i="15" s="1"/>
  <c r="Q579" i="15"/>
  <c r="I579" i="15" s="1"/>
  <c r="Q578" i="15"/>
  <c r="I578" i="15" s="1"/>
  <c r="Q574" i="15"/>
  <c r="I574" i="15" s="1"/>
  <c r="Q573" i="15"/>
  <c r="I573" i="15" s="1"/>
  <c r="Q572" i="15"/>
  <c r="I572" i="15" s="1"/>
  <c r="Q571" i="15"/>
  <c r="I571" i="15" s="1"/>
  <c r="Q567" i="15"/>
  <c r="I567" i="15" s="1"/>
  <c r="Q564" i="15"/>
  <c r="I564" i="15" s="1"/>
  <c r="Q563" i="15"/>
  <c r="I563" i="15" s="1"/>
  <c r="Q562" i="15"/>
  <c r="I562" i="15" s="1"/>
  <c r="Q561" i="15"/>
  <c r="I561" i="15" s="1"/>
  <c r="Q560" i="15"/>
  <c r="I560" i="15" s="1"/>
  <c r="Q559" i="15"/>
  <c r="I559" i="15" s="1"/>
  <c r="Q558" i="15"/>
  <c r="I558" i="15" s="1"/>
  <c r="Q557" i="15"/>
  <c r="I557" i="15" s="1"/>
  <c r="Q554" i="15"/>
  <c r="I554" i="15" s="1"/>
  <c r="Q553" i="15"/>
  <c r="I553" i="15" s="1"/>
  <c r="Q552" i="15"/>
  <c r="I552" i="15" s="1"/>
  <c r="Q549" i="15"/>
  <c r="I549" i="15" s="1"/>
  <c r="Q548" i="15"/>
  <c r="I548" i="15" s="1"/>
  <c r="Q547" i="15"/>
  <c r="I547" i="15" s="1"/>
  <c r="Q546" i="15"/>
  <c r="I546" i="15" s="1"/>
  <c r="Q545" i="15"/>
  <c r="I545" i="15" s="1"/>
  <c r="Q544" i="15"/>
  <c r="I544" i="15" s="1"/>
  <c r="Q540" i="15"/>
  <c r="I540" i="15" s="1"/>
  <c r="Q537" i="15"/>
  <c r="I537" i="15" s="1"/>
  <c r="Q536" i="15"/>
  <c r="I536" i="15" s="1"/>
  <c r="Q535" i="15"/>
  <c r="I535" i="15" s="1"/>
  <c r="Q531" i="15"/>
  <c r="I531" i="15" s="1"/>
  <c r="Q530" i="15"/>
  <c r="I530" i="15" s="1"/>
  <c r="Q529" i="15"/>
  <c r="I529" i="15" s="1"/>
  <c r="Q525" i="15"/>
  <c r="I525" i="15" s="1"/>
  <c r="Q524" i="15"/>
  <c r="I524" i="15" s="1"/>
  <c r="Q523" i="15"/>
  <c r="I523" i="15" s="1"/>
  <c r="Q522" i="15"/>
  <c r="I522" i="15" s="1"/>
  <c r="Q521" i="15"/>
  <c r="I521" i="15" s="1"/>
  <c r="Q520" i="15"/>
  <c r="I520" i="15" s="1"/>
  <c r="Q519" i="15"/>
  <c r="I519" i="15" s="1"/>
  <c r="Q518" i="15"/>
  <c r="I518" i="15" s="1"/>
  <c r="Q514" i="15"/>
  <c r="I514" i="15" s="1"/>
  <c r="Q513" i="15"/>
  <c r="I513" i="15" s="1"/>
  <c r="Q512" i="15"/>
  <c r="I512" i="15" s="1"/>
  <c r="Q511" i="15"/>
  <c r="I511" i="15" s="1"/>
  <c r="Q510" i="15"/>
  <c r="I510" i="15" s="1"/>
  <c r="Q509" i="15"/>
  <c r="I509" i="15" s="1"/>
  <c r="Q508" i="15"/>
  <c r="I508" i="15" s="1"/>
  <c r="Q507" i="15"/>
  <c r="I507" i="15" s="1"/>
  <c r="Q503" i="15"/>
  <c r="I503" i="15" s="1"/>
  <c r="Q502" i="15"/>
  <c r="I502" i="15" s="1"/>
  <c r="Q501" i="15"/>
  <c r="I501" i="15" s="1"/>
  <c r="Q500" i="15"/>
  <c r="I500" i="15" s="1"/>
  <c r="Q499" i="15"/>
  <c r="I499" i="15" s="1"/>
  <c r="Q498" i="15"/>
  <c r="I498" i="15" s="1"/>
  <c r="Q494" i="15"/>
  <c r="I494" i="15" s="1"/>
  <c r="Q493" i="15"/>
  <c r="I493" i="15" s="1"/>
  <c r="Q492" i="15"/>
  <c r="I492" i="15" s="1"/>
  <c r="Q491" i="15"/>
  <c r="I491" i="15" s="1"/>
  <c r="Q490" i="15"/>
  <c r="I490" i="15" s="1"/>
  <c r="Q489" i="15"/>
  <c r="I489" i="15" s="1"/>
  <c r="Q488" i="15"/>
  <c r="I488" i="15" s="1"/>
  <c r="Q487" i="15"/>
  <c r="I487" i="15" s="1"/>
  <c r="Q483" i="15"/>
  <c r="I483" i="15" s="1"/>
  <c r="Q482" i="15"/>
  <c r="I482" i="15" s="1"/>
  <c r="Q481" i="15"/>
  <c r="I481" i="15" s="1"/>
  <c r="Q480" i="15"/>
  <c r="I480" i="15" s="1"/>
  <c r="Q479" i="15"/>
  <c r="I479" i="15" s="1"/>
  <c r="Q478" i="15"/>
  <c r="I478" i="15" s="1"/>
  <c r="Q477" i="15"/>
  <c r="I477" i="15" s="1"/>
  <c r="Q474" i="15"/>
  <c r="I474" i="15" s="1"/>
  <c r="Q473" i="15"/>
  <c r="I473" i="15" s="1"/>
  <c r="Q472" i="15"/>
  <c r="I472" i="15" s="1"/>
  <c r="Q470" i="15"/>
  <c r="I470" i="15" s="1"/>
  <c r="Q469" i="15"/>
  <c r="I469" i="15" s="1"/>
  <c r="Q465" i="15"/>
  <c r="I465" i="15" s="1"/>
  <c r="Q464" i="15"/>
  <c r="I464" i="15" s="1"/>
  <c r="Q460" i="15"/>
  <c r="I460" i="15" s="1"/>
  <c r="Q459" i="15"/>
  <c r="I459" i="15" s="1"/>
  <c r="Q458" i="15"/>
  <c r="I458" i="15" s="1"/>
  <c r="Q457" i="15"/>
  <c r="I457" i="15" s="1"/>
  <c r="Q455" i="15"/>
  <c r="I455" i="15" s="1"/>
  <c r="Q454" i="15"/>
  <c r="I454" i="15" s="1"/>
  <c r="Q453" i="15"/>
  <c r="I453" i="15" s="1"/>
  <c r="Q452" i="15"/>
  <c r="I452" i="15" s="1"/>
  <c r="Q451" i="15"/>
  <c r="I451" i="15" s="1"/>
  <c r="Q450" i="15"/>
  <c r="I450" i="15" s="1"/>
  <c r="Q447" i="15"/>
  <c r="I447" i="15" s="1"/>
  <c r="Q446" i="15"/>
  <c r="I446" i="15" s="1"/>
  <c r="Q445" i="15"/>
  <c r="I445" i="15" s="1"/>
  <c r="Q444" i="15"/>
  <c r="I444" i="15" s="1"/>
  <c r="Q443" i="15"/>
  <c r="I443" i="15" s="1"/>
  <c r="Q442" i="15"/>
  <c r="I442" i="15" s="1"/>
  <c r="Q441" i="15"/>
  <c r="I441" i="15" s="1"/>
  <c r="Q440" i="15"/>
  <c r="I440" i="15" s="1"/>
  <c r="Q439" i="15"/>
  <c r="I439" i="15" s="1"/>
  <c r="Q437" i="15"/>
  <c r="I437" i="15" s="1"/>
  <c r="Q436" i="15"/>
  <c r="I436" i="15" s="1"/>
  <c r="Q432" i="15"/>
  <c r="I432" i="15" s="1"/>
  <c r="Q431" i="15"/>
  <c r="I431" i="15" s="1"/>
  <c r="Q430" i="15"/>
  <c r="I430" i="15" s="1"/>
  <c r="Q429" i="15"/>
  <c r="I429" i="15" s="1"/>
  <c r="Q428" i="15"/>
  <c r="I428" i="15" s="1"/>
  <c r="Q427" i="15"/>
  <c r="I427" i="15" s="1"/>
  <c r="Q426" i="15"/>
  <c r="I426" i="15" s="1"/>
  <c r="Q425" i="15"/>
  <c r="I425" i="15" s="1"/>
  <c r="Q424" i="15"/>
  <c r="I424" i="15" s="1"/>
  <c r="Q423" i="15"/>
  <c r="I423" i="15" s="1"/>
  <c r="Q422" i="15"/>
  <c r="I422" i="15" s="1"/>
  <c r="Q421" i="15"/>
  <c r="I421" i="15" s="1"/>
  <c r="Q420" i="15"/>
  <c r="I420" i="15" s="1"/>
  <c r="Q419" i="15"/>
  <c r="I419" i="15" s="1"/>
  <c r="Q418" i="15"/>
  <c r="I418" i="15" s="1"/>
  <c r="Q417" i="15"/>
  <c r="I417" i="15" s="1"/>
  <c r="Q416" i="15"/>
  <c r="I416" i="15" s="1"/>
  <c r="Q415" i="15"/>
  <c r="I415" i="15" s="1"/>
  <c r="Q414" i="15"/>
  <c r="I414" i="15" s="1"/>
  <c r="Q413" i="15"/>
  <c r="I413" i="15" s="1"/>
  <c r="Q412" i="15"/>
  <c r="I412" i="15" s="1"/>
  <c r="Q411" i="15"/>
  <c r="I411" i="15" s="1"/>
  <c r="Q410" i="15"/>
  <c r="I410" i="15" s="1"/>
  <c r="Q409" i="15"/>
  <c r="I409" i="15" s="1"/>
  <c r="Q408" i="15"/>
  <c r="I408" i="15" s="1"/>
  <c r="Q407" i="15"/>
  <c r="I407" i="15" s="1"/>
  <c r="Q406" i="15"/>
  <c r="I406" i="15" s="1"/>
  <c r="Q405" i="15"/>
  <c r="I405" i="15" s="1"/>
  <c r="Q404" i="15"/>
  <c r="I404" i="15" s="1"/>
  <c r="Q403" i="15"/>
  <c r="I403" i="15" s="1"/>
  <c r="Q402" i="15"/>
  <c r="I402" i="15" s="1"/>
  <c r="Q401" i="15"/>
  <c r="I401" i="15" s="1"/>
  <c r="Q400" i="15"/>
  <c r="I400" i="15" s="1"/>
  <c r="Q399" i="15"/>
  <c r="I399" i="15" s="1"/>
  <c r="Q398" i="15"/>
  <c r="I398" i="15" s="1"/>
  <c r="Q397" i="15"/>
  <c r="I397" i="15" s="1"/>
  <c r="Q396" i="15"/>
  <c r="I396" i="15" s="1"/>
  <c r="Q395" i="15"/>
  <c r="I395" i="15" s="1"/>
  <c r="Q394" i="15"/>
  <c r="I394" i="15" s="1"/>
  <c r="Q393" i="15"/>
  <c r="I393" i="15" s="1"/>
  <c r="Q392" i="15"/>
  <c r="I392" i="15" s="1"/>
  <c r="Q391" i="15"/>
  <c r="I391" i="15" s="1"/>
  <c r="Q390" i="15"/>
  <c r="I390" i="15" s="1"/>
  <c r="Q389" i="15"/>
  <c r="I389" i="15" s="1"/>
  <c r="Q388" i="15"/>
  <c r="I388" i="15" s="1"/>
  <c r="Q387" i="15"/>
  <c r="I387" i="15" s="1"/>
  <c r="Q386" i="15"/>
  <c r="I386" i="15" s="1"/>
  <c r="Q385" i="15"/>
  <c r="I385" i="15" s="1"/>
  <c r="Q384" i="15"/>
  <c r="I384" i="15" s="1"/>
  <c r="Q383" i="15"/>
  <c r="I383" i="15" s="1"/>
  <c r="Q382" i="15"/>
  <c r="I382" i="15" s="1"/>
  <c r="Q381" i="15"/>
  <c r="I381" i="15" s="1"/>
  <c r="Q378" i="15"/>
  <c r="I378" i="15" s="1"/>
  <c r="Q377" i="15"/>
  <c r="I377" i="15" s="1"/>
  <c r="Q376" i="15"/>
  <c r="I376" i="15" s="1"/>
  <c r="Q375" i="15"/>
  <c r="I375" i="15" s="1"/>
  <c r="Q374" i="15"/>
  <c r="I374" i="15" s="1"/>
  <c r="Q373" i="15"/>
  <c r="I373" i="15" s="1"/>
  <c r="Q372" i="15"/>
  <c r="I372" i="15" s="1"/>
  <c r="Q371" i="15"/>
  <c r="I371" i="15" s="1"/>
  <c r="Q370" i="15"/>
  <c r="I370" i="15" s="1"/>
  <c r="Q369" i="15"/>
  <c r="I369" i="15" s="1"/>
  <c r="Q368" i="15"/>
  <c r="I368" i="15" s="1"/>
  <c r="Q367" i="15"/>
  <c r="I367" i="15" s="1"/>
  <c r="Q366" i="15"/>
  <c r="I366" i="15" s="1"/>
  <c r="Q365" i="15"/>
  <c r="I365" i="15" s="1"/>
  <c r="Q364" i="15"/>
  <c r="I364" i="15" s="1"/>
  <c r="Q363" i="15"/>
  <c r="I363" i="15" s="1"/>
  <c r="Q362" i="15"/>
  <c r="I362" i="15" s="1"/>
  <c r="Q361" i="15"/>
  <c r="I361" i="15" s="1"/>
  <c r="Q360" i="15"/>
  <c r="I360" i="15" s="1"/>
  <c r="Q359" i="15"/>
  <c r="I359" i="15" s="1"/>
  <c r="Q358" i="15"/>
  <c r="I358" i="15" s="1"/>
  <c r="Q357" i="15"/>
  <c r="I357" i="15" s="1"/>
  <c r="Q356" i="15"/>
  <c r="I356" i="15" s="1"/>
  <c r="Q355" i="15"/>
  <c r="I355" i="15" s="1"/>
  <c r="Q354" i="15"/>
  <c r="I354" i="15" s="1"/>
  <c r="Q353" i="15"/>
  <c r="I353" i="15" s="1"/>
  <c r="Q352" i="15"/>
  <c r="I352" i="15" s="1"/>
  <c r="Q351" i="15"/>
  <c r="I351" i="15" s="1"/>
  <c r="Q350" i="15"/>
  <c r="I350" i="15" s="1"/>
  <c r="Q349" i="15"/>
  <c r="I349" i="15" s="1"/>
  <c r="Q348" i="15"/>
  <c r="I348" i="15" s="1"/>
  <c r="Q347" i="15"/>
  <c r="I347" i="15" s="1"/>
  <c r="Q346" i="15"/>
  <c r="I346" i="15" s="1"/>
  <c r="Q345" i="15"/>
  <c r="I345" i="15" s="1"/>
  <c r="Q344" i="15"/>
  <c r="I344" i="15" s="1"/>
  <c r="Q343" i="15"/>
  <c r="I343" i="15" s="1"/>
  <c r="Q342" i="15"/>
  <c r="I342" i="15" s="1"/>
  <c r="Q341" i="15"/>
  <c r="I341" i="15" s="1"/>
  <c r="Q340" i="15"/>
  <c r="I340" i="15" s="1"/>
  <c r="Q339" i="15"/>
  <c r="I339" i="15" s="1"/>
  <c r="Q338" i="15"/>
  <c r="I338" i="15" s="1"/>
  <c r="Q337" i="15"/>
  <c r="I337" i="15" s="1"/>
  <c r="Q336" i="15"/>
  <c r="I336" i="15" s="1"/>
  <c r="Q335" i="15"/>
  <c r="I335" i="15" s="1"/>
  <c r="Q334" i="15"/>
  <c r="I334" i="15" s="1"/>
  <c r="Q333" i="15"/>
  <c r="I333" i="15" s="1"/>
  <c r="Q332" i="15"/>
  <c r="I332" i="15" s="1"/>
  <c r="Q331" i="15"/>
  <c r="I331" i="15" s="1"/>
  <c r="Q330" i="15"/>
  <c r="I330" i="15" s="1"/>
  <c r="Q329" i="15"/>
  <c r="I329" i="15" s="1"/>
  <c r="Q328" i="15"/>
  <c r="I328" i="15" s="1"/>
  <c r="Q327" i="15"/>
  <c r="I327" i="15" s="1"/>
  <c r="Q326" i="15"/>
  <c r="I326" i="15" s="1"/>
  <c r="Q325" i="15"/>
  <c r="I325" i="15" s="1"/>
  <c r="Q324" i="15"/>
  <c r="I324" i="15" s="1"/>
  <c r="Q323" i="15"/>
  <c r="I323" i="15" s="1"/>
  <c r="Q322" i="15"/>
  <c r="I322" i="15" s="1"/>
  <c r="Q321" i="15"/>
  <c r="I321" i="15" s="1"/>
  <c r="Q320" i="15"/>
  <c r="I320" i="15" s="1"/>
  <c r="Q319" i="15"/>
  <c r="I319" i="15" s="1"/>
  <c r="Q318" i="15"/>
  <c r="I318" i="15" s="1"/>
  <c r="Q317" i="15"/>
  <c r="I317" i="15" s="1"/>
  <c r="Q315" i="15"/>
  <c r="I315" i="15" s="1"/>
  <c r="Q314" i="15"/>
  <c r="I314" i="15" s="1"/>
  <c r="Q313" i="15"/>
  <c r="I313" i="15" s="1"/>
  <c r="Q312" i="15"/>
  <c r="I312" i="15" s="1"/>
  <c r="Q311" i="15"/>
  <c r="I311" i="15" s="1"/>
  <c r="Q310" i="15"/>
  <c r="I310" i="15" s="1"/>
  <c r="Q309" i="15"/>
  <c r="I309" i="15" s="1"/>
  <c r="Q308" i="15"/>
  <c r="I308" i="15" s="1"/>
  <c r="Q307" i="15"/>
  <c r="I307" i="15" s="1"/>
  <c r="Q306" i="15"/>
  <c r="I306" i="15" s="1"/>
  <c r="Q305" i="15"/>
  <c r="I305" i="15" s="1"/>
  <c r="Q304" i="15"/>
  <c r="I304" i="15" s="1"/>
  <c r="Q303" i="15"/>
  <c r="I303" i="15" s="1"/>
  <c r="Q302" i="15"/>
  <c r="I302" i="15" s="1"/>
  <c r="Q301" i="15"/>
  <c r="I301" i="15" s="1"/>
  <c r="Q300" i="15"/>
  <c r="I300" i="15" s="1"/>
  <c r="Q299" i="15"/>
  <c r="I299" i="15" s="1"/>
  <c r="Q298" i="15"/>
  <c r="I298" i="15" s="1"/>
  <c r="Q297" i="15"/>
  <c r="I297" i="15" s="1"/>
  <c r="Q296" i="15"/>
  <c r="I296" i="15" s="1"/>
  <c r="Q295" i="15"/>
  <c r="I295" i="15" s="1"/>
  <c r="Q294" i="15"/>
  <c r="I294" i="15" s="1"/>
  <c r="Q293" i="15"/>
  <c r="I293" i="15" s="1"/>
  <c r="Q292" i="15"/>
  <c r="I292" i="15" s="1"/>
  <c r="Q291" i="15"/>
  <c r="I291" i="15" s="1"/>
  <c r="Q290" i="15"/>
  <c r="I290" i="15" s="1"/>
  <c r="Q289" i="15"/>
  <c r="I289" i="15" s="1"/>
  <c r="Q288" i="15"/>
  <c r="I288" i="15" s="1"/>
  <c r="Q287" i="15"/>
  <c r="I287" i="15" s="1"/>
  <c r="Q286" i="15"/>
  <c r="I286" i="15" s="1"/>
  <c r="Q285" i="15"/>
  <c r="I285" i="15" s="1"/>
  <c r="Q284" i="15"/>
  <c r="I284" i="15" s="1"/>
  <c r="Q283" i="15"/>
  <c r="I283" i="15" s="1"/>
  <c r="Q282" i="15"/>
  <c r="I282" i="15" s="1"/>
  <c r="Q281" i="15"/>
  <c r="I281" i="15" s="1"/>
  <c r="Q280" i="15"/>
  <c r="I280" i="15" s="1"/>
  <c r="Q279" i="15"/>
  <c r="I279" i="15" s="1"/>
  <c r="Q278" i="15"/>
  <c r="I278" i="15" s="1"/>
  <c r="Q274" i="15"/>
  <c r="I274" i="15" s="1"/>
  <c r="Q273" i="15"/>
  <c r="I273" i="15" s="1"/>
  <c r="Q272" i="15"/>
  <c r="I272" i="15" s="1"/>
  <c r="Q271" i="15"/>
  <c r="I271" i="15" s="1"/>
  <c r="Q270" i="15"/>
  <c r="I270" i="15" s="1"/>
  <c r="Q269" i="15"/>
  <c r="I269" i="15" s="1"/>
  <c r="Q268" i="15"/>
  <c r="I268" i="15" s="1"/>
  <c r="Q267" i="15"/>
  <c r="I267" i="15" s="1"/>
  <c r="Q266" i="15"/>
  <c r="I266" i="15" s="1"/>
  <c r="Q265" i="15"/>
  <c r="I265" i="15" s="1"/>
  <c r="Q264" i="15"/>
  <c r="I264" i="15" s="1"/>
  <c r="Q263" i="15"/>
  <c r="I263" i="15" s="1"/>
  <c r="Q262" i="15"/>
  <c r="I262" i="15" s="1"/>
  <c r="Q261" i="15"/>
  <c r="I261" i="15" s="1"/>
  <c r="Q260" i="15"/>
  <c r="I260" i="15" s="1"/>
  <c r="Q259" i="15"/>
  <c r="I259" i="15" s="1"/>
  <c r="Q258" i="15"/>
  <c r="I258" i="15" s="1"/>
  <c r="Q257" i="15"/>
  <c r="I257" i="15" s="1"/>
  <c r="Q256" i="15"/>
  <c r="I256" i="15" s="1"/>
  <c r="Q255" i="15"/>
  <c r="I255" i="15" s="1"/>
  <c r="Q254" i="15"/>
  <c r="I254" i="15" s="1"/>
  <c r="Q253" i="15"/>
  <c r="I253" i="15" s="1"/>
  <c r="Q252" i="15"/>
  <c r="I252" i="15" s="1"/>
  <c r="Q251" i="15"/>
  <c r="I251" i="15" s="1"/>
  <c r="Q250" i="15"/>
  <c r="I250" i="15" s="1"/>
  <c r="Q249" i="15"/>
  <c r="I249" i="15" s="1"/>
  <c r="Q248" i="15"/>
  <c r="I248" i="15" s="1"/>
  <c r="Q247" i="15"/>
  <c r="I247" i="15" s="1"/>
  <c r="Q246" i="15"/>
  <c r="I246" i="15" s="1"/>
  <c r="Q245" i="15"/>
  <c r="I245" i="15" s="1"/>
  <c r="Q244" i="15"/>
  <c r="I244" i="15" s="1"/>
  <c r="Q243" i="15"/>
  <c r="I243" i="15" s="1"/>
  <c r="Q242" i="15"/>
  <c r="I242" i="15" s="1"/>
  <c r="Q241" i="15"/>
  <c r="I241" i="15" s="1"/>
  <c r="Q240" i="15"/>
  <c r="I240" i="15" s="1"/>
  <c r="Q239" i="15"/>
  <c r="I239" i="15" s="1"/>
  <c r="Q238" i="15"/>
  <c r="I238" i="15" s="1"/>
  <c r="Q237" i="15"/>
  <c r="I237" i="15" s="1"/>
  <c r="Q236" i="15"/>
  <c r="I236" i="15" s="1"/>
  <c r="Q235" i="15"/>
  <c r="I235" i="15" s="1"/>
  <c r="Q234" i="15"/>
  <c r="I234" i="15" s="1"/>
  <c r="Q233" i="15"/>
  <c r="I233" i="15" s="1"/>
  <c r="Q232" i="15"/>
  <c r="I232" i="15" s="1"/>
  <c r="Q231" i="15"/>
  <c r="I231" i="15" s="1"/>
  <c r="Q230" i="15"/>
  <c r="I230" i="15" s="1"/>
  <c r="Q229" i="15"/>
  <c r="I229" i="15" s="1"/>
  <c r="Q228" i="15"/>
  <c r="I228" i="15" s="1"/>
  <c r="Q227" i="15"/>
  <c r="I227" i="15" s="1"/>
  <c r="Q226" i="15"/>
  <c r="I226" i="15" s="1"/>
  <c r="Q225" i="15"/>
  <c r="I225" i="15" s="1"/>
  <c r="Q224" i="15"/>
  <c r="I224" i="15" s="1"/>
  <c r="Q223" i="15"/>
  <c r="I223" i="15" s="1"/>
  <c r="Q222" i="15"/>
  <c r="I222" i="15" s="1"/>
  <c r="Q221" i="15"/>
  <c r="I221" i="15" s="1"/>
  <c r="Q220" i="15"/>
  <c r="I220" i="15" s="1"/>
  <c r="Q219" i="15"/>
  <c r="I219" i="15" s="1"/>
  <c r="Q218" i="15"/>
  <c r="I218" i="15" s="1"/>
  <c r="Q217" i="15"/>
  <c r="I217" i="15" s="1"/>
  <c r="Q216" i="15"/>
  <c r="I216" i="15" s="1"/>
  <c r="Q215" i="15"/>
  <c r="I215" i="15" s="1"/>
  <c r="Q214" i="15"/>
  <c r="I214" i="15" s="1"/>
  <c r="Q213" i="15"/>
  <c r="I213" i="15" s="1"/>
  <c r="Q212" i="15"/>
  <c r="I212" i="15" s="1"/>
  <c r="Q211" i="15"/>
  <c r="I211" i="15" s="1"/>
  <c r="Q210" i="15"/>
  <c r="I210" i="15" s="1"/>
  <c r="Q209" i="15"/>
  <c r="I209" i="15" s="1"/>
  <c r="Q208" i="15"/>
  <c r="I208" i="15" s="1"/>
  <c r="Q207" i="15"/>
  <c r="I207" i="15" s="1"/>
  <c r="Q206" i="15"/>
  <c r="I206" i="15" s="1"/>
  <c r="Q205" i="15"/>
  <c r="I205" i="15" s="1"/>
  <c r="Q204" i="15"/>
  <c r="I204" i="15" s="1"/>
  <c r="Q203" i="15"/>
  <c r="I203" i="15" s="1"/>
  <c r="Q202" i="15"/>
  <c r="I202" i="15" s="1"/>
  <c r="Q201" i="15"/>
  <c r="I201" i="15" s="1"/>
  <c r="Q200" i="15"/>
  <c r="I200" i="15" s="1"/>
  <c r="Q199" i="15"/>
  <c r="I199" i="15" s="1"/>
  <c r="Q198" i="15"/>
  <c r="I198" i="15" s="1"/>
  <c r="Q197" i="15"/>
  <c r="I197" i="15" s="1"/>
  <c r="Q196" i="15"/>
  <c r="I196" i="15" s="1"/>
  <c r="Q195" i="15"/>
  <c r="I195" i="15" s="1"/>
  <c r="Q194" i="15"/>
  <c r="I194" i="15" s="1"/>
  <c r="Q193" i="15"/>
  <c r="I193" i="15" s="1"/>
  <c r="Q192" i="15"/>
  <c r="I192" i="15" s="1"/>
  <c r="Q191" i="15"/>
  <c r="I191" i="15" s="1"/>
  <c r="Q190" i="15"/>
  <c r="I190" i="15" s="1"/>
  <c r="Q189" i="15"/>
  <c r="I189" i="15" s="1"/>
  <c r="Q188" i="15"/>
  <c r="I188" i="15" s="1"/>
  <c r="Q187" i="15"/>
  <c r="I187" i="15" s="1"/>
  <c r="Q186" i="15"/>
  <c r="I186" i="15" s="1"/>
  <c r="Q185" i="15"/>
  <c r="I185" i="15" s="1"/>
  <c r="Q184" i="15"/>
  <c r="I184" i="15" s="1"/>
  <c r="Q183" i="15"/>
  <c r="I183" i="15" s="1"/>
  <c r="Q182" i="15"/>
  <c r="I182" i="15" s="1"/>
  <c r="Q181" i="15"/>
  <c r="I181" i="15" s="1"/>
  <c r="Q180" i="15"/>
  <c r="I180" i="15" s="1"/>
  <c r="Q179" i="15"/>
  <c r="I179" i="15" s="1"/>
  <c r="Q178" i="15"/>
  <c r="I178" i="15" s="1"/>
  <c r="Q177" i="15"/>
  <c r="I177" i="15" s="1"/>
  <c r="Q176" i="15"/>
  <c r="I176" i="15" s="1"/>
  <c r="Q175" i="15"/>
  <c r="I175" i="15" s="1"/>
  <c r="Q174" i="15"/>
  <c r="I174" i="15" s="1"/>
  <c r="Q173" i="15"/>
  <c r="I173" i="15" s="1"/>
  <c r="Q172" i="15"/>
  <c r="I172" i="15" s="1"/>
  <c r="Q171" i="15"/>
  <c r="I171" i="15" s="1"/>
  <c r="Q170" i="15"/>
  <c r="I170" i="15" s="1"/>
  <c r="Q169" i="15"/>
  <c r="I169" i="15" s="1"/>
  <c r="Q168" i="15"/>
  <c r="I168" i="15" s="1"/>
  <c r="Q167" i="15"/>
  <c r="I167" i="15" s="1"/>
  <c r="Q166" i="15"/>
  <c r="I166" i="15" s="1"/>
  <c r="Q165" i="15"/>
  <c r="I165" i="15" s="1"/>
  <c r="Q164" i="15"/>
  <c r="I164" i="15" s="1"/>
  <c r="Q163" i="15"/>
  <c r="I163" i="15" s="1"/>
  <c r="Q162" i="15"/>
  <c r="I162" i="15" s="1"/>
  <c r="Q161" i="15"/>
  <c r="I161" i="15" s="1"/>
  <c r="Q160" i="15"/>
  <c r="I160" i="15" s="1"/>
  <c r="Q159" i="15"/>
  <c r="I159" i="15" s="1"/>
  <c r="Q158" i="15"/>
  <c r="I158" i="15" s="1"/>
  <c r="Q157" i="15"/>
  <c r="I157" i="15" s="1"/>
  <c r="Q156" i="15"/>
  <c r="I156" i="15" s="1"/>
  <c r="Q155" i="15"/>
  <c r="I155" i="15" s="1"/>
  <c r="Q154" i="15"/>
  <c r="I154" i="15" s="1"/>
  <c r="Q153" i="15"/>
  <c r="I153" i="15" s="1"/>
  <c r="Q152" i="15"/>
  <c r="I152" i="15" s="1"/>
  <c r="Q151" i="15"/>
  <c r="I151" i="15" s="1"/>
  <c r="Q150" i="15"/>
  <c r="I150" i="15" s="1"/>
  <c r="Q149" i="15"/>
  <c r="I149" i="15" s="1"/>
  <c r="Q148" i="15"/>
  <c r="I148" i="15" s="1"/>
  <c r="Q147" i="15"/>
  <c r="I147" i="15" s="1"/>
  <c r="Q146" i="15"/>
  <c r="I146" i="15" s="1"/>
  <c r="Q145" i="15"/>
  <c r="I145" i="15" s="1"/>
  <c r="Q144" i="15"/>
  <c r="I144" i="15" s="1"/>
  <c r="Q143" i="15"/>
  <c r="I143" i="15" s="1"/>
  <c r="Q142" i="15"/>
  <c r="I142" i="15" s="1"/>
  <c r="Q141" i="15"/>
  <c r="I141" i="15" s="1"/>
  <c r="Q140" i="15"/>
  <c r="I140" i="15" s="1"/>
  <c r="Q139" i="15"/>
  <c r="I139" i="15" s="1"/>
  <c r="Q138" i="15"/>
  <c r="I138" i="15" s="1"/>
  <c r="Q137" i="15"/>
  <c r="I137" i="15" s="1"/>
  <c r="Q136" i="15"/>
  <c r="I136" i="15" s="1"/>
  <c r="Q135" i="15"/>
  <c r="I135" i="15" s="1"/>
  <c r="Q134" i="15"/>
  <c r="I134" i="15" s="1"/>
  <c r="Q133" i="15"/>
  <c r="I133" i="15" s="1"/>
  <c r="Q132" i="15"/>
  <c r="I132" i="15" s="1"/>
  <c r="Q131" i="15"/>
  <c r="I131" i="15" s="1"/>
  <c r="Q130" i="15"/>
  <c r="I130" i="15" s="1"/>
  <c r="Q129" i="15"/>
  <c r="I129" i="15" s="1"/>
  <c r="Q128" i="15"/>
  <c r="I128" i="15" s="1"/>
  <c r="Q127" i="15"/>
  <c r="I127" i="15" s="1"/>
  <c r="Q126" i="15"/>
  <c r="I126" i="15" s="1"/>
  <c r="Q125" i="15"/>
  <c r="I125" i="15" s="1"/>
  <c r="Q124" i="15"/>
  <c r="I124" i="15" s="1"/>
  <c r="Q123" i="15"/>
  <c r="I123" i="15" s="1"/>
  <c r="Q122" i="15"/>
  <c r="I122" i="15" s="1"/>
  <c r="Q121" i="15"/>
  <c r="I121" i="15" s="1"/>
  <c r="Q120" i="15"/>
  <c r="I120" i="15" s="1"/>
  <c r="Q119" i="15"/>
  <c r="I119" i="15" s="1"/>
  <c r="Q118" i="15"/>
  <c r="I118" i="15" s="1"/>
  <c r="Q117" i="15"/>
  <c r="I117" i="15" s="1"/>
  <c r="Q116" i="15"/>
  <c r="I116" i="15" s="1"/>
  <c r="Q115" i="15"/>
  <c r="I115" i="15" s="1"/>
  <c r="Q114" i="15"/>
  <c r="I114" i="15" s="1"/>
  <c r="Q113" i="15"/>
  <c r="I113" i="15" s="1"/>
  <c r="Q112" i="15"/>
  <c r="I112" i="15" s="1"/>
  <c r="Q111" i="15"/>
  <c r="I111" i="15" s="1"/>
  <c r="Q110" i="15"/>
  <c r="I110" i="15" s="1"/>
  <c r="Q109" i="15"/>
  <c r="I109" i="15" s="1"/>
  <c r="Q108" i="15"/>
  <c r="I108" i="15" s="1"/>
  <c r="Q107" i="15"/>
  <c r="I107" i="15" s="1"/>
  <c r="Q106" i="15"/>
  <c r="I106" i="15" s="1"/>
  <c r="Q105" i="15"/>
  <c r="I105" i="15" s="1"/>
  <c r="Q104" i="15"/>
  <c r="I104" i="15" s="1"/>
  <c r="Q103" i="15"/>
  <c r="I103" i="15" s="1"/>
  <c r="Q102" i="15"/>
  <c r="I102" i="15" s="1"/>
  <c r="Q101" i="15"/>
  <c r="I101" i="15" s="1"/>
  <c r="Q100" i="15"/>
  <c r="I100" i="15" s="1"/>
  <c r="Q99" i="15"/>
  <c r="I99" i="15" s="1"/>
  <c r="Q98" i="15"/>
  <c r="I98" i="15" s="1"/>
  <c r="Q97" i="15"/>
  <c r="I97" i="15" s="1"/>
  <c r="Q96" i="15"/>
  <c r="I96" i="15" s="1"/>
  <c r="Q95" i="15"/>
  <c r="I95" i="15" s="1"/>
  <c r="Q94" i="15"/>
  <c r="I94" i="15" s="1"/>
  <c r="Q93" i="15"/>
  <c r="I93" i="15" s="1"/>
  <c r="Q92" i="15"/>
  <c r="I92" i="15" s="1"/>
  <c r="Q91" i="15"/>
  <c r="I91" i="15" s="1"/>
  <c r="Q90" i="15"/>
  <c r="I90" i="15" s="1"/>
  <c r="Q89" i="15"/>
  <c r="I89" i="15" s="1"/>
  <c r="Q88" i="15"/>
  <c r="I88" i="15" s="1"/>
  <c r="Q87" i="15"/>
  <c r="I87" i="15" s="1"/>
  <c r="Q86" i="15"/>
  <c r="I86" i="15" s="1"/>
  <c r="Q85" i="15"/>
  <c r="I85" i="15" s="1"/>
  <c r="Q84" i="15"/>
  <c r="I84" i="15" s="1"/>
  <c r="Q83" i="15"/>
  <c r="I83" i="15" s="1"/>
  <c r="Q82" i="15"/>
  <c r="I82" i="15" s="1"/>
  <c r="Q81" i="15"/>
  <c r="I81" i="15" s="1"/>
  <c r="Q80" i="15"/>
  <c r="I80" i="15" s="1"/>
  <c r="Q79" i="15"/>
  <c r="I79" i="15" s="1"/>
  <c r="Q78" i="15"/>
  <c r="I78" i="15" s="1"/>
  <c r="Q77" i="15"/>
  <c r="I77" i="15" s="1"/>
  <c r="Q76" i="15"/>
  <c r="I76" i="15" s="1"/>
  <c r="Q75" i="15"/>
  <c r="I75" i="15" s="1"/>
  <c r="Q74" i="15"/>
  <c r="I74" i="15" s="1"/>
  <c r="Q73" i="15"/>
  <c r="I73" i="15" s="1"/>
  <c r="Q72" i="15"/>
  <c r="I72" i="15" s="1"/>
  <c r="Q71" i="15"/>
  <c r="I71" i="15" s="1"/>
  <c r="Q70" i="15"/>
  <c r="I70" i="15" s="1"/>
  <c r="Q69" i="15"/>
  <c r="I69" i="15" s="1"/>
  <c r="Q68" i="15"/>
  <c r="I68" i="15" s="1"/>
  <c r="Q67" i="15"/>
  <c r="I67" i="15" s="1"/>
  <c r="Q66" i="15"/>
  <c r="I66" i="15" s="1"/>
  <c r="Q65" i="15"/>
  <c r="I65" i="15" s="1"/>
  <c r="Q64" i="15"/>
  <c r="I64" i="15" s="1"/>
  <c r="Q63" i="15"/>
  <c r="I63" i="15" s="1"/>
  <c r="Q62" i="15"/>
  <c r="I62" i="15" s="1"/>
  <c r="Q61" i="15"/>
  <c r="I61" i="15" s="1"/>
  <c r="Q60" i="15"/>
  <c r="I60" i="15" s="1"/>
  <c r="Q59" i="15"/>
  <c r="I59" i="15" s="1"/>
  <c r="Q58" i="15"/>
  <c r="I58" i="15" s="1"/>
  <c r="Q57" i="15"/>
  <c r="I57" i="15" s="1"/>
  <c r="Q56" i="15"/>
  <c r="I56" i="15" s="1"/>
  <c r="Q55" i="15"/>
  <c r="I55" i="15" s="1"/>
  <c r="Q54" i="15"/>
  <c r="I54" i="15" s="1"/>
  <c r="Q53" i="15"/>
  <c r="I53" i="15" s="1"/>
  <c r="Q52" i="15"/>
  <c r="I52" i="15" s="1"/>
  <c r="Q51" i="15"/>
  <c r="I51" i="15" s="1"/>
  <c r="Q50" i="15"/>
  <c r="I50" i="15" s="1"/>
  <c r="Q49" i="15"/>
  <c r="I49" i="15" s="1"/>
  <c r="Q48" i="15"/>
  <c r="I48" i="15" s="1"/>
  <c r="Q47" i="15"/>
  <c r="I47" i="15" s="1"/>
  <c r="Q46" i="15"/>
  <c r="I46" i="15" s="1"/>
  <c r="Q45" i="15"/>
  <c r="I45" i="15" s="1"/>
  <c r="Q44" i="15"/>
  <c r="I44" i="15" s="1"/>
  <c r="Q43" i="15"/>
  <c r="I43" i="15" s="1"/>
  <c r="Q42" i="15"/>
  <c r="I42" i="15" s="1"/>
  <c r="Q41" i="15"/>
  <c r="I41" i="15" s="1"/>
  <c r="Q40" i="15"/>
  <c r="I40" i="15" s="1"/>
  <c r="Q39" i="15"/>
  <c r="I39" i="15" s="1"/>
  <c r="Q38" i="15"/>
  <c r="I38" i="15" s="1"/>
  <c r="Q37" i="15"/>
  <c r="I37" i="15" s="1"/>
  <c r="Q36" i="15"/>
  <c r="I36" i="15" s="1"/>
  <c r="Q35" i="15"/>
  <c r="I35" i="15" s="1"/>
  <c r="Q34" i="15"/>
  <c r="I34" i="15" s="1"/>
  <c r="Q33" i="15"/>
  <c r="I33" i="15" s="1"/>
  <c r="Q32" i="15"/>
  <c r="I32" i="15" s="1"/>
  <c r="Q31" i="15"/>
  <c r="I31" i="15" s="1"/>
  <c r="Q30" i="15"/>
  <c r="I30" i="15" s="1"/>
  <c r="Q29" i="15"/>
  <c r="I29" i="15" s="1"/>
  <c r="Q28" i="15"/>
  <c r="I28" i="15" s="1"/>
  <c r="Q27" i="15"/>
  <c r="I27" i="15" s="1"/>
  <c r="Q26" i="15"/>
  <c r="I26" i="15" s="1"/>
  <c r="Q25" i="15"/>
  <c r="I25" i="15" s="1"/>
  <c r="Q24" i="15"/>
  <c r="I24" i="15" s="1"/>
  <c r="Q23" i="15"/>
  <c r="I23" i="15" s="1"/>
  <c r="Q22" i="15"/>
  <c r="I22" i="15" s="1"/>
  <c r="Q21" i="15"/>
  <c r="I21" i="15" s="1"/>
  <c r="Q20" i="15"/>
  <c r="I20" i="15" s="1"/>
  <c r="Q19" i="15"/>
  <c r="I19" i="15" s="1"/>
  <c r="Q18" i="15"/>
  <c r="I18" i="15" s="1"/>
  <c r="Q17" i="15"/>
  <c r="I17" i="15" s="1"/>
  <c r="Q16" i="15"/>
  <c r="I16" i="15" s="1"/>
  <c r="Q15" i="15"/>
  <c r="I15" i="15" s="1"/>
  <c r="Q14" i="15"/>
  <c r="I14" i="15" s="1"/>
  <c r="Q13" i="15"/>
  <c r="I13" i="15" s="1"/>
  <c r="Q12" i="15"/>
  <c r="I12" i="15" s="1"/>
  <c r="Q11" i="15"/>
  <c r="I11" i="15" s="1"/>
  <c r="Q10" i="15"/>
  <c r="I10" i="15" s="1"/>
  <c r="Q9" i="15"/>
  <c r="I9" i="15" s="1"/>
  <c r="Q8" i="15"/>
  <c r="I8" i="15" s="1"/>
  <c r="Q7" i="15"/>
  <c r="I7" i="15" s="1"/>
  <c r="Q6" i="15"/>
  <c r="I6" i="15" s="1"/>
  <c r="Q5" i="15"/>
  <c r="I5" i="15" s="1"/>
  <c r="Q4" i="15"/>
  <c r="I4" i="15" s="1"/>
  <c r="K5" i="15"/>
  <c r="H5" i="15" s="1"/>
  <c r="K6" i="15"/>
  <c r="H6" i="15" s="1"/>
  <c r="K7" i="15"/>
  <c r="H7" i="15" s="1"/>
  <c r="K8" i="15"/>
  <c r="H8" i="15" s="1"/>
  <c r="K9" i="15"/>
  <c r="H9" i="15" s="1"/>
  <c r="K10" i="15"/>
  <c r="H10" i="15" s="1"/>
  <c r="K11" i="15"/>
  <c r="H11" i="15" s="1"/>
  <c r="K12" i="15"/>
  <c r="H12" i="15" s="1"/>
  <c r="K13" i="15"/>
  <c r="H13" i="15" s="1"/>
  <c r="K14" i="15"/>
  <c r="H14" i="15" s="1"/>
  <c r="K15" i="15"/>
  <c r="H15" i="15" s="1"/>
  <c r="K16" i="15"/>
  <c r="H16" i="15" s="1"/>
  <c r="K17" i="15"/>
  <c r="H17" i="15" s="1"/>
  <c r="K18" i="15"/>
  <c r="H18" i="15" s="1"/>
  <c r="K19" i="15"/>
  <c r="H19" i="15" s="1"/>
  <c r="K20" i="15"/>
  <c r="H20" i="15" s="1"/>
  <c r="K21" i="15"/>
  <c r="H21" i="15" s="1"/>
  <c r="K22" i="15"/>
  <c r="H22" i="15" s="1"/>
  <c r="K23" i="15"/>
  <c r="H23" i="15" s="1"/>
  <c r="K24" i="15"/>
  <c r="H24" i="15" s="1"/>
  <c r="K25" i="15"/>
  <c r="H25" i="15" s="1"/>
  <c r="K26" i="15"/>
  <c r="H26" i="15" s="1"/>
  <c r="K27" i="15"/>
  <c r="H27" i="15" s="1"/>
  <c r="K28" i="15"/>
  <c r="H28" i="15" s="1"/>
  <c r="K29" i="15"/>
  <c r="H29" i="15" s="1"/>
  <c r="K30" i="15"/>
  <c r="H30" i="15" s="1"/>
  <c r="K31" i="15"/>
  <c r="H31" i="15" s="1"/>
  <c r="K32" i="15"/>
  <c r="H32" i="15" s="1"/>
  <c r="K33" i="15"/>
  <c r="H33" i="15" s="1"/>
  <c r="K34" i="15"/>
  <c r="H34" i="15" s="1"/>
  <c r="K35" i="15"/>
  <c r="H35" i="15" s="1"/>
  <c r="K36" i="15"/>
  <c r="H36" i="15" s="1"/>
  <c r="K37" i="15"/>
  <c r="H37" i="15" s="1"/>
  <c r="K38" i="15"/>
  <c r="H38" i="15" s="1"/>
  <c r="K39" i="15"/>
  <c r="H39" i="15" s="1"/>
  <c r="K40" i="15"/>
  <c r="H40" i="15" s="1"/>
  <c r="K41" i="15"/>
  <c r="H41" i="15" s="1"/>
  <c r="K42" i="15"/>
  <c r="H42" i="15" s="1"/>
  <c r="K43" i="15"/>
  <c r="H43" i="15" s="1"/>
  <c r="K44" i="15"/>
  <c r="H44" i="15" s="1"/>
  <c r="K45" i="15"/>
  <c r="H45" i="15" s="1"/>
  <c r="K46" i="15"/>
  <c r="H46" i="15" s="1"/>
  <c r="K47" i="15"/>
  <c r="H47" i="15" s="1"/>
  <c r="K48" i="15"/>
  <c r="H48" i="15" s="1"/>
  <c r="K49" i="15"/>
  <c r="H49" i="15" s="1"/>
  <c r="K50" i="15"/>
  <c r="H50" i="15" s="1"/>
  <c r="K51" i="15"/>
  <c r="H51" i="15" s="1"/>
  <c r="K52" i="15"/>
  <c r="H52" i="15" s="1"/>
  <c r="K53" i="15"/>
  <c r="H53" i="15" s="1"/>
  <c r="K54" i="15"/>
  <c r="H54" i="15" s="1"/>
  <c r="K55" i="15"/>
  <c r="H55" i="15" s="1"/>
  <c r="K56" i="15"/>
  <c r="H56" i="15" s="1"/>
  <c r="K57" i="15"/>
  <c r="H57" i="15" s="1"/>
  <c r="K58" i="15"/>
  <c r="H58" i="15" s="1"/>
  <c r="K59" i="15"/>
  <c r="H59" i="15" s="1"/>
  <c r="K60" i="15"/>
  <c r="H60" i="15" s="1"/>
  <c r="K61" i="15"/>
  <c r="H61" i="15" s="1"/>
  <c r="K62" i="15"/>
  <c r="H62" i="15" s="1"/>
  <c r="K63" i="15"/>
  <c r="H63" i="15" s="1"/>
  <c r="K64" i="15"/>
  <c r="H64" i="15" s="1"/>
  <c r="K65" i="15"/>
  <c r="H65" i="15" s="1"/>
  <c r="K66" i="15"/>
  <c r="H66" i="15" s="1"/>
  <c r="K67" i="15"/>
  <c r="H67" i="15" s="1"/>
  <c r="K68" i="15"/>
  <c r="H68" i="15" s="1"/>
  <c r="K69" i="15"/>
  <c r="H69" i="15" s="1"/>
  <c r="K70" i="15"/>
  <c r="H70" i="15" s="1"/>
  <c r="K71" i="15"/>
  <c r="H71" i="15" s="1"/>
  <c r="K72" i="15"/>
  <c r="H72" i="15" s="1"/>
  <c r="K73" i="15"/>
  <c r="H73" i="15" s="1"/>
  <c r="K74" i="15"/>
  <c r="H74" i="15" s="1"/>
  <c r="K75" i="15"/>
  <c r="H75" i="15" s="1"/>
  <c r="K76" i="15"/>
  <c r="H76" i="15" s="1"/>
  <c r="K77" i="15"/>
  <c r="H77" i="15" s="1"/>
  <c r="K78" i="15"/>
  <c r="H78" i="15" s="1"/>
  <c r="K79" i="15"/>
  <c r="H79" i="15" s="1"/>
  <c r="K80" i="15"/>
  <c r="H80" i="15" s="1"/>
  <c r="K81" i="15"/>
  <c r="H81" i="15" s="1"/>
  <c r="K82" i="15"/>
  <c r="H82" i="15" s="1"/>
  <c r="K83" i="15"/>
  <c r="H83" i="15" s="1"/>
  <c r="K84" i="15"/>
  <c r="H84" i="15" s="1"/>
  <c r="K85" i="15"/>
  <c r="H85" i="15" s="1"/>
  <c r="K86" i="15"/>
  <c r="H86" i="15" s="1"/>
  <c r="K87" i="15"/>
  <c r="H87" i="15" s="1"/>
  <c r="K88" i="15"/>
  <c r="H88" i="15" s="1"/>
  <c r="K89" i="15"/>
  <c r="H89" i="15" s="1"/>
  <c r="K90" i="15"/>
  <c r="H90" i="15" s="1"/>
  <c r="K91" i="15"/>
  <c r="H91" i="15" s="1"/>
  <c r="K92" i="15"/>
  <c r="H92" i="15" s="1"/>
  <c r="K93" i="15"/>
  <c r="H93" i="15" s="1"/>
  <c r="K94" i="15"/>
  <c r="H94" i="15" s="1"/>
  <c r="K95" i="15"/>
  <c r="H95" i="15" s="1"/>
  <c r="K96" i="15"/>
  <c r="H96" i="15" s="1"/>
  <c r="K97" i="15"/>
  <c r="H97" i="15" s="1"/>
  <c r="K98" i="15"/>
  <c r="H98" i="15" s="1"/>
  <c r="K99" i="15"/>
  <c r="H99" i="15" s="1"/>
  <c r="K100" i="15"/>
  <c r="H100" i="15" s="1"/>
  <c r="K101" i="15"/>
  <c r="H101" i="15" s="1"/>
  <c r="K102" i="15"/>
  <c r="H102" i="15" s="1"/>
  <c r="K103" i="15"/>
  <c r="H103" i="15" s="1"/>
  <c r="K104" i="15"/>
  <c r="H104" i="15" s="1"/>
  <c r="K105" i="15"/>
  <c r="H105" i="15" s="1"/>
  <c r="K106" i="15"/>
  <c r="H106" i="15" s="1"/>
  <c r="K107" i="15"/>
  <c r="H107" i="15" s="1"/>
  <c r="K108" i="15"/>
  <c r="H108" i="15" s="1"/>
  <c r="K109" i="15"/>
  <c r="H109" i="15" s="1"/>
  <c r="K110" i="15"/>
  <c r="H110" i="15" s="1"/>
  <c r="K111" i="15"/>
  <c r="H111" i="15" s="1"/>
  <c r="K112" i="15"/>
  <c r="H112" i="15" s="1"/>
  <c r="K113" i="15"/>
  <c r="H113" i="15" s="1"/>
  <c r="K114" i="15"/>
  <c r="H114" i="15" s="1"/>
  <c r="K115" i="15"/>
  <c r="H115" i="15" s="1"/>
  <c r="K116" i="15"/>
  <c r="H116" i="15" s="1"/>
  <c r="K117" i="15"/>
  <c r="H117" i="15" s="1"/>
  <c r="K118" i="15"/>
  <c r="H118" i="15" s="1"/>
  <c r="K119" i="15"/>
  <c r="H119" i="15" s="1"/>
  <c r="K120" i="15"/>
  <c r="H120" i="15" s="1"/>
  <c r="K121" i="15"/>
  <c r="H121" i="15" s="1"/>
  <c r="K122" i="15"/>
  <c r="H122" i="15" s="1"/>
  <c r="K123" i="15"/>
  <c r="H123" i="15" s="1"/>
  <c r="K124" i="15"/>
  <c r="H124" i="15" s="1"/>
  <c r="K125" i="15"/>
  <c r="H125" i="15" s="1"/>
  <c r="K126" i="15"/>
  <c r="H126" i="15" s="1"/>
  <c r="K127" i="15"/>
  <c r="H127" i="15" s="1"/>
  <c r="K128" i="15"/>
  <c r="H128" i="15" s="1"/>
  <c r="K129" i="15"/>
  <c r="H129" i="15" s="1"/>
  <c r="K130" i="15"/>
  <c r="H130" i="15" s="1"/>
  <c r="K131" i="15"/>
  <c r="H131" i="15" s="1"/>
  <c r="K132" i="15"/>
  <c r="H132" i="15" s="1"/>
  <c r="K133" i="15"/>
  <c r="H133" i="15" s="1"/>
  <c r="K134" i="15"/>
  <c r="H134" i="15" s="1"/>
  <c r="K135" i="15"/>
  <c r="H135" i="15" s="1"/>
  <c r="K136" i="15"/>
  <c r="H136" i="15" s="1"/>
  <c r="K137" i="15"/>
  <c r="H137" i="15" s="1"/>
  <c r="K138" i="15"/>
  <c r="H138" i="15" s="1"/>
  <c r="K139" i="15"/>
  <c r="H139" i="15" s="1"/>
  <c r="K140" i="15"/>
  <c r="H140" i="15" s="1"/>
  <c r="K141" i="15"/>
  <c r="H141" i="15" s="1"/>
  <c r="K142" i="15"/>
  <c r="H142" i="15" s="1"/>
  <c r="K143" i="15"/>
  <c r="H143" i="15" s="1"/>
  <c r="K144" i="15"/>
  <c r="H144" i="15" s="1"/>
  <c r="K145" i="15"/>
  <c r="H145" i="15" s="1"/>
  <c r="K146" i="15"/>
  <c r="H146" i="15" s="1"/>
  <c r="K147" i="15"/>
  <c r="H147" i="15" s="1"/>
  <c r="K148" i="15"/>
  <c r="H148" i="15" s="1"/>
  <c r="K149" i="15"/>
  <c r="H149" i="15" s="1"/>
  <c r="K150" i="15"/>
  <c r="H150" i="15" s="1"/>
  <c r="K151" i="15"/>
  <c r="H151" i="15" s="1"/>
  <c r="K152" i="15"/>
  <c r="H152" i="15" s="1"/>
  <c r="K153" i="15"/>
  <c r="H153" i="15" s="1"/>
  <c r="K154" i="15"/>
  <c r="H154" i="15" s="1"/>
  <c r="K155" i="15"/>
  <c r="H155" i="15" s="1"/>
  <c r="K156" i="15"/>
  <c r="H156" i="15" s="1"/>
  <c r="K157" i="15"/>
  <c r="H157" i="15" s="1"/>
  <c r="K158" i="15"/>
  <c r="H158" i="15" s="1"/>
  <c r="K159" i="15"/>
  <c r="H159" i="15" s="1"/>
  <c r="K160" i="15"/>
  <c r="H160" i="15" s="1"/>
  <c r="K161" i="15"/>
  <c r="H161" i="15" s="1"/>
  <c r="K162" i="15"/>
  <c r="H162" i="15" s="1"/>
  <c r="K163" i="15"/>
  <c r="H163" i="15" s="1"/>
  <c r="K164" i="15"/>
  <c r="H164" i="15" s="1"/>
  <c r="K165" i="15"/>
  <c r="H165" i="15" s="1"/>
  <c r="K166" i="15"/>
  <c r="H166" i="15" s="1"/>
  <c r="K167" i="15"/>
  <c r="H167" i="15" s="1"/>
  <c r="K168" i="15"/>
  <c r="H168" i="15" s="1"/>
  <c r="K169" i="15"/>
  <c r="H169" i="15" s="1"/>
  <c r="K170" i="15"/>
  <c r="H170" i="15" s="1"/>
  <c r="K171" i="15"/>
  <c r="H171" i="15" s="1"/>
  <c r="K172" i="15"/>
  <c r="H172" i="15" s="1"/>
  <c r="K173" i="15"/>
  <c r="H173" i="15" s="1"/>
  <c r="K174" i="15"/>
  <c r="H174" i="15" s="1"/>
  <c r="K175" i="15"/>
  <c r="H175" i="15" s="1"/>
  <c r="K176" i="15"/>
  <c r="H176" i="15" s="1"/>
  <c r="K177" i="15"/>
  <c r="H177" i="15" s="1"/>
  <c r="K178" i="15"/>
  <c r="H178" i="15" s="1"/>
  <c r="K179" i="15"/>
  <c r="H179" i="15" s="1"/>
  <c r="K180" i="15"/>
  <c r="H180" i="15" s="1"/>
  <c r="K181" i="15"/>
  <c r="H181" i="15" s="1"/>
  <c r="K182" i="15"/>
  <c r="H182" i="15" s="1"/>
  <c r="K183" i="15"/>
  <c r="H183" i="15" s="1"/>
  <c r="K184" i="15"/>
  <c r="H184" i="15" s="1"/>
  <c r="K185" i="15"/>
  <c r="H185" i="15" s="1"/>
  <c r="K186" i="15"/>
  <c r="H186" i="15" s="1"/>
  <c r="K187" i="15"/>
  <c r="H187" i="15" s="1"/>
  <c r="K188" i="15"/>
  <c r="H188" i="15" s="1"/>
  <c r="K189" i="15"/>
  <c r="H189" i="15" s="1"/>
  <c r="K190" i="15"/>
  <c r="H190" i="15" s="1"/>
  <c r="K191" i="15"/>
  <c r="H191" i="15" s="1"/>
  <c r="K192" i="15"/>
  <c r="H192" i="15" s="1"/>
  <c r="K193" i="15"/>
  <c r="H193" i="15" s="1"/>
  <c r="K194" i="15"/>
  <c r="H194" i="15" s="1"/>
  <c r="K195" i="15"/>
  <c r="H195" i="15" s="1"/>
  <c r="K196" i="15"/>
  <c r="H196" i="15" s="1"/>
  <c r="K197" i="15"/>
  <c r="H197" i="15" s="1"/>
  <c r="K198" i="15"/>
  <c r="H198" i="15" s="1"/>
  <c r="K199" i="15"/>
  <c r="H199" i="15" s="1"/>
  <c r="K200" i="15"/>
  <c r="H200" i="15" s="1"/>
  <c r="K201" i="15"/>
  <c r="H201" i="15" s="1"/>
  <c r="K202" i="15"/>
  <c r="H202" i="15" s="1"/>
  <c r="K203" i="15"/>
  <c r="H203" i="15" s="1"/>
  <c r="K204" i="15"/>
  <c r="H204" i="15" s="1"/>
  <c r="K205" i="15"/>
  <c r="H205" i="15" s="1"/>
  <c r="K206" i="15"/>
  <c r="H206" i="15" s="1"/>
  <c r="K207" i="15"/>
  <c r="H207" i="15" s="1"/>
  <c r="K208" i="15"/>
  <c r="H208" i="15" s="1"/>
  <c r="K209" i="15"/>
  <c r="H209" i="15" s="1"/>
  <c r="K210" i="15"/>
  <c r="H210" i="15" s="1"/>
  <c r="K211" i="15"/>
  <c r="H211" i="15" s="1"/>
  <c r="K212" i="15"/>
  <c r="H212" i="15" s="1"/>
  <c r="K213" i="15"/>
  <c r="H213" i="15" s="1"/>
  <c r="K214" i="15"/>
  <c r="H214" i="15" s="1"/>
  <c r="K215" i="15"/>
  <c r="H215" i="15" s="1"/>
  <c r="K216" i="15"/>
  <c r="H216" i="15" s="1"/>
  <c r="K217" i="15"/>
  <c r="H217" i="15" s="1"/>
  <c r="K218" i="15"/>
  <c r="H218" i="15" s="1"/>
  <c r="K219" i="15"/>
  <c r="H219" i="15" s="1"/>
  <c r="K220" i="15"/>
  <c r="H220" i="15" s="1"/>
  <c r="K221" i="15"/>
  <c r="H221" i="15" s="1"/>
  <c r="K222" i="15"/>
  <c r="H222" i="15" s="1"/>
  <c r="K223" i="15"/>
  <c r="H223" i="15" s="1"/>
  <c r="K224" i="15"/>
  <c r="H224" i="15" s="1"/>
  <c r="K225" i="15"/>
  <c r="H225" i="15" s="1"/>
  <c r="K226" i="15"/>
  <c r="H226" i="15" s="1"/>
  <c r="K227" i="15"/>
  <c r="H227" i="15" s="1"/>
  <c r="K228" i="15"/>
  <c r="H228" i="15" s="1"/>
  <c r="K229" i="15"/>
  <c r="H229" i="15" s="1"/>
  <c r="K230" i="15"/>
  <c r="H230" i="15" s="1"/>
  <c r="K231" i="15"/>
  <c r="H231" i="15" s="1"/>
  <c r="K232" i="15"/>
  <c r="H232" i="15" s="1"/>
  <c r="K233" i="15"/>
  <c r="H233" i="15" s="1"/>
  <c r="K234" i="15"/>
  <c r="H234" i="15" s="1"/>
  <c r="K235" i="15"/>
  <c r="H235" i="15" s="1"/>
  <c r="K236" i="15"/>
  <c r="H236" i="15" s="1"/>
  <c r="K237" i="15"/>
  <c r="H237" i="15" s="1"/>
  <c r="K238" i="15"/>
  <c r="H238" i="15" s="1"/>
  <c r="K239" i="15"/>
  <c r="H239" i="15" s="1"/>
  <c r="K240" i="15"/>
  <c r="H240" i="15" s="1"/>
  <c r="K241" i="15"/>
  <c r="H241" i="15" s="1"/>
  <c r="K242" i="15"/>
  <c r="H242" i="15" s="1"/>
  <c r="K243" i="15"/>
  <c r="H243" i="15" s="1"/>
  <c r="K244" i="15"/>
  <c r="H244" i="15" s="1"/>
  <c r="K245" i="15"/>
  <c r="H245" i="15" s="1"/>
  <c r="K246" i="15"/>
  <c r="H246" i="15" s="1"/>
  <c r="K247" i="15"/>
  <c r="H247" i="15" s="1"/>
  <c r="K248" i="15"/>
  <c r="H248" i="15" s="1"/>
  <c r="K249" i="15"/>
  <c r="H249" i="15" s="1"/>
  <c r="K250" i="15"/>
  <c r="H250" i="15" s="1"/>
  <c r="K251" i="15"/>
  <c r="H251" i="15" s="1"/>
  <c r="K252" i="15"/>
  <c r="H252" i="15" s="1"/>
  <c r="K253" i="15"/>
  <c r="H253" i="15" s="1"/>
  <c r="K254" i="15"/>
  <c r="H254" i="15" s="1"/>
  <c r="K255" i="15"/>
  <c r="H255" i="15" s="1"/>
  <c r="K256" i="15"/>
  <c r="H256" i="15" s="1"/>
  <c r="K257" i="15"/>
  <c r="H257" i="15" s="1"/>
  <c r="K258" i="15"/>
  <c r="H258" i="15" s="1"/>
  <c r="K259" i="15"/>
  <c r="H259" i="15" s="1"/>
  <c r="K260" i="15"/>
  <c r="H260" i="15" s="1"/>
  <c r="K261" i="15"/>
  <c r="H261" i="15" s="1"/>
  <c r="K262" i="15"/>
  <c r="H262" i="15" s="1"/>
  <c r="K263" i="15"/>
  <c r="H263" i="15" s="1"/>
  <c r="K264" i="15"/>
  <c r="H264" i="15" s="1"/>
  <c r="K265" i="15"/>
  <c r="H265" i="15" s="1"/>
  <c r="K266" i="15"/>
  <c r="H266" i="15" s="1"/>
  <c r="K267" i="15"/>
  <c r="H267" i="15" s="1"/>
  <c r="K268" i="15"/>
  <c r="H268" i="15" s="1"/>
  <c r="K269" i="15"/>
  <c r="H269" i="15" s="1"/>
  <c r="K270" i="15"/>
  <c r="H270" i="15" s="1"/>
  <c r="K271" i="15"/>
  <c r="H271" i="15" s="1"/>
  <c r="K272" i="15"/>
  <c r="H272" i="15" s="1"/>
  <c r="K273" i="15"/>
  <c r="H273" i="15" s="1"/>
  <c r="K274" i="15"/>
  <c r="H274" i="15" s="1"/>
  <c r="K278" i="15"/>
  <c r="H278" i="15" s="1"/>
  <c r="K279" i="15"/>
  <c r="H279" i="15" s="1"/>
  <c r="K280" i="15"/>
  <c r="H280" i="15" s="1"/>
  <c r="K281" i="15"/>
  <c r="H281" i="15" s="1"/>
  <c r="K282" i="15"/>
  <c r="H282" i="15" s="1"/>
  <c r="K283" i="15"/>
  <c r="H283" i="15" s="1"/>
  <c r="K284" i="15"/>
  <c r="H284" i="15" s="1"/>
  <c r="K285" i="15"/>
  <c r="H285" i="15" s="1"/>
  <c r="K286" i="15"/>
  <c r="H286" i="15" s="1"/>
  <c r="K287" i="15"/>
  <c r="H287" i="15" s="1"/>
  <c r="K288" i="15"/>
  <c r="H288" i="15" s="1"/>
  <c r="K289" i="15"/>
  <c r="H289" i="15" s="1"/>
  <c r="K290" i="15"/>
  <c r="H290" i="15" s="1"/>
  <c r="K291" i="15"/>
  <c r="H291" i="15" s="1"/>
  <c r="K292" i="15"/>
  <c r="H292" i="15" s="1"/>
  <c r="K293" i="15"/>
  <c r="H293" i="15" s="1"/>
  <c r="K294" i="15"/>
  <c r="H294" i="15" s="1"/>
  <c r="K295" i="15"/>
  <c r="H295" i="15" s="1"/>
  <c r="K296" i="15"/>
  <c r="H296" i="15" s="1"/>
  <c r="K297" i="15"/>
  <c r="H297" i="15" s="1"/>
  <c r="K298" i="15"/>
  <c r="H298" i="15" s="1"/>
  <c r="K299" i="15"/>
  <c r="H299" i="15" s="1"/>
  <c r="K300" i="15"/>
  <c r="H300" i="15" s="1"/>
  <c r="K301" i="15"/>
  <c r="H301" i="15" s="1"/>
  <c r="K302" i="15"/>
  <c r="H302" i="15" s="1"/>
  <c r="K303" i="15"/>
  <c r="H303" i="15" s="1"/>
  <c r="K304" i="15"/>
  <c r="H304" i="15" s="1"/>
  <c r="K305" i="15"/>
  <c r="H305" i="15" s="1"/>
  <c r="K306" i="15"/>
  <c r="H306" i="15" s="1"/>
  <c r="K307" i="15"/>
  <c r="H307" i="15" s="1"/>
  <c r="K308" i="15"/>
  <c r="H308" i="15" s="1"/>
  <c r="K309" i="15"/>
  <c r="H309" i="15" s="1"/>
  <c r="K310" i="15"/>
  <c r="H310" i="15" s="1"/>
  <c r="K311" i="15"/>
  <c r="H311" i="15" s="1"/>
  <c r="K312" i="15"/>
  <c r="H312" i="15" s="1"/>
  <c r="K313" i="15"/>
  <c r="H313" i="15" s="1"/>
  <c r="K314" i="15"/>
  <c r="H314" i="15" s="1"/>
  <c r="K315" i="15"/>
  <c r="H315" i="15" s="1"/>
  <c r="K317" i="15"/>
  <c r="H317" i="15" s="1"/>
  <c r="K318" i="15"/>
  <c r="H318" i="15" s="1"/>
  <c r="K319" i="15"/>
  <c r="H319" i="15" s="1"/>
  <c r="K320" i="15"/>
  <c r="H320" i="15" s="1"/>
  <c r="K321" i="15"/>
  <c r="H321" i="15" s="1"/>
  <c r="K322" i="15"/>
  <c r="H322" i="15" s="1"/>
  <c r="K323" i="15"/>
  <c r="H323" i="15" s="1"/>
  <c r="K324" i="15"/>
  <c r="H324" i="15" s="1"/>
  <c r="K325" i="15"/>
  <c r="H325" i="15" s="1"/>
  <c r="K326" i="15"/>
  <c r="H326" i="15" s="1"/>
  <c r="K327" i="15"/>
  <c r="H327" i="15" s="1"/>
  <c r="K328" i="15"/>
  <c r="H328" i="15" s="1"/>
  <c r="K329" i="15"/>
  <c r="H329" i="15" s="1"/>
  <c r="K330" i="15"/>
  <c r="H330" i="15" s="1"/>
  <c r="K331" i="15"/>
  <c r="H331" i="15" s="1"/>
  <c r="K332" i="15"/>
  <c r="H332" i="15" s="1"/>
  <c r="K333" i="15"/>
  <c r="H333" i="15" s="1"/>
  <c r="K334" i="15"/>
  <c r="H334" i="15" s="1"/>
  <c r="K335" i="15"/>
  <c r="H335" i="15" s="1"/>
  <c r="K336" i="15"/>
  <c r="H336" i="15" s="1"/>
  <c r="K337" i="15"/>
  <c r="H337" i="15" s="1"/>
  <c r="K338" i="15"/>
  <c r="H338" i="15" s="1"/>
  <c r="K339" i="15"/>
  <c r="H339" i="15" s="1"/>
  <c r="K340" i="15"/>
  <c r="H340" i="15" s="1"/>
  <c r="K341" i="15"/>
  <c r="H341" i="15" s="1"/>
  <c r="K342" i="15"/>
  <c r="H342" i="15" s="1"/>
  <c r="K343" i="15"/>
  <c r="H343" i="15" s="1"/>
  <c r="K344" i="15"/>
  <c r="H344" i="15" s="1"/>
  <c r="K345" i="15"/>
  <c r="H345" i="15" s="1"/>
  <c r="K346" i="15"/>
  <c r="H346" i="15" s="1"/>
  <c r="K347" i="15"/>
  <c r="H347" i="15" s="1"/>
  <c r="K348" i="15"/>
  <c r="H348" i="15" s="1"/>
  <c r="K349" i="15"/>
  <c r="H349" i="15" s="1"/>
  <c r="K350" i="15"/>
  <c r="H350" i="15" s="1"/>
  <c r="K351" i="15"/>
  <c r="H351" i="15" s="1"/>
  <c r="K352" i="15"/>
  <c r="H352" i="15" s="1"/>
  <c r="K353" i="15"/>
  <c r="H353" i="15" s="1"/>
  <c r="K354" i="15"/>
  <c r="H354" i="15" s="1"/>
  <c r="K355" i="15"/>
  <c r="H355" i="15" s="1"/>
  <c r="K356" i="15"/>
  <c r="H356" i="15" s="1"/>
  <c r="K357" i="15"/>
  <c r="H357" i="15" s="1"/>
  <c r="K358" i="15"/>
  <c r="H358" i="15" s="1"/>
  <c r="K359" i="15"/>
  <c r="H359" i="15" s="1"/>
  <c r="K360" i="15"/>
  <c r="H360" i="15" s="1"/>
  <c r="K361" i="15"/>
  <c r="H361" i="15" s="1"/>
  <c r="K362" i="15"/>
  <c r="H362" i="15" s="1"/>
  <c r="K363" i="15"/>
  <c r="H363" i="15" s="1"/>
  <c r="K364" i="15"/>
  <c r="H364" i="15" s="1"/>
  <c r="K365" i="15"/>
  <c r="H365" i="15" s="1"/>
  <c r="K366" i="15"/>
  <c r="H366" i="15" s="1"/>
  <c r="K367" i="15"/>
  <c r="H367" i="15" s="1"/>
  <c r="K368" i="15"/>
  <c r="H368" i="15" s="1"/>
  <c r="K369" i="15"/>
  <c r="H369" i="15" s="1"/>
  <c r="K370" i="15"/>
  <c r="H370" i="15" s="1"/>
  <c r="K371" i="15"/>
  <c r="H371" i="15" s="1"/>
  <c r="K372" i="15"/>
  <c r="H372" i="15" s="1"/>
  <c r="K373" i="15"/>
  <c r="H373" i="15" s="1"/>
  <c r="K374" i="15"/>
  <c r="H374" i="15" s="1"/>
  <c r="K375" i="15"/>
  <c r="H375" i="15" s="1"/>
  <c r="K376" i="15"/>
  <c r="H376" i="15" s="1"/>
  <c r="K377" i="15"/>
  <c r="H377" i="15" s="1"/>
  <c r="K378" i="15"/>
  <c r="H378" i="15" s="1"/>
  <c r="K381" i="15"/>
  <c r="H381" i="15" s="1"/>
  <c r="K382" i="15"/>
  <c r="H382" i="15" s="1"/>
  <c r="K383" i="15"/>
  <c r="H383" i="15" s="1"/>
  <c r="K384" i="15"/>
  <c r="H384" i="15" s="1"/>
  <c r="K385" i="15"/>
  <c r="H385" i="15" s="1"/>
  <c r="K386" i="15"/>
  <c r="H386" i="15" s="1"/>
  <c r="K387" i="15"/>
  <c r="H387" i="15" s="1"/>
  <c r="K388" i="15"/>
  <c r="H388" i="15" s="1"/>
  <c r="K389" i="15"/>
  <c r="H389" i="15" s="1"/>
  <c r="K390" i="15"/>
  <c r="H390" i="15" s="1"/>
  <c r="K391" i="15"/>
  <c r="H391" i="15" s="1"/>
  <c r="K392" i="15"/>
  <c r="H392" i="15" s="1"/>
  <c r="K393" i="15"/>
  <c r="H393" i="15" s="1"/>
  <c r="K394" i="15"/>
  <c r="H394" i="15" s="1"/>
  <c r="K395" i="15"/>
  <c r="H395" i="15" s="1"/>
  <c r="K396" i="15"/>
  <c r="H396" i="15" s="1"/>
  <c r="K397" i="15"/>
  <c r="H397" i="15" s="1"/>
  <c r="K398" i="15"/>
  <c r="H398" i="15" s="1"/>
  <c r="K399" i="15"/>
  <c r="H399" i="15" s="1"/>
  <c r="K400" i="15"/>
  <c r="H400" i="15" s="1"/>
  <c r="K401" i="15"/>
  <c r="H401" i="15" s="1"/>
  <c r="K402" i="15"/>
  <c r="H402" i="15" s="1"/>
  <c r="K403" i="15"/>
  <c r="H403" i="15" s="1"/>
  <c r="K404" i="15"/>
  <c r="H404" i="15" s="1"/>
  <c r="K405" i="15"/>
  <c r="H405" i="15" s="1"/>
  <c r="K406" i="15"/>
  <c r="H406" i="15" s="1"/>
  <c r="K407" i="15"/>
  <c r="H407" i="15" s="1"/>
  <c r="K408" i="15"/>
  <c r="H408" i="15" s="1"/>
  <c r="K409" i="15"/>
  <c r="H409" i="15" s="1"/>
  <c r="K410" i="15"/>
  <c r="H410" i="15" s="1"/>
  <c r="K411" i="15"/>
  <c r="H411" i="15" s="1"/>
  <c r="K412" i="15"/>
  <c r="H412" i="15" s="1"/>
  <c r="K413" i="15"/>
  <c r="H413" i="15" s="1"/>
  <c r="K414" i="15"/>
  <c r="H414" i="15" s="1"/>
  <c r="K415" i="15"/>
  <c r="H415" i="15" s="1"/>
  <c r="K416" i="15"/>
  <c r="H416" i="15" s="1"/>
  <c r="K417" i="15"/>
  <c r="H417" i="15" s="1"/>
  <c r="K418" i="15"/>
  <c r="H418" i="15" s="1"/>
  <c r="K419" i="15"/>
  <c r="H419" i="15" s="1"/>
  <c r="K420" i="15"/>
  <c r="H420" i="15" s="1"/>
  <c r="K421" i="15"/>
  <c r="H421" i="15" s="1"/>
  <c r="K422" i="15"/>
  <c r="H422" i="15" s="1"/>
  <c r="K423" i="15"/>
  <c r="H423" i="15" s="1"/>
  <c r="K424" i="15"/>
  <c r="H424" i="15" s="1"/>
  <c r="K425" i="15"/>
  <c r="H425" i="15" s="1"/>
  <c r="K426" i="15"/>
  <c r="H426" i="15" s="1"/>
  <c r="K427" i="15"/>
  <c r="H427" i="15" s="1"/>
  <c r="K428" i="15"/>
  <c r="H428" i="15" s="1"/>
  <c r="K429" i="15"/>
  <c r="H429" i="15" s="1"/>
  <c r="K430" i="15"/>
  <c r="H430" i="15" s="1"/>
  <c r="K431" i="15"/>
  <c r="H431" i="15" s="1"/>
  <c r="K432" i="15"/>
  <c r="H432" i="15" s="1"/>
  <c r="K436" i="15"/>
  <c r="H436" i="15" s="1"/>
  <c r="K437" i="15"/>
  <c r="H437" i="15" s="1"/>
  <c r="K439" i="15"/>
  <c r="H439" i="15" s="1"/>
  <c r="K440" i="15"/>
  <c r="H440" i="15" s="1"/>
  <c r="K441" i="15"/>
  <c r="H441" i="15" s="1"/>
  <c r="K442" i="15"/>
  <c r="H442" i="15" s="1"/>
  <c r="K443" i="15"/>
  <c r="H443" i="15" s="1"/>
  <c r="K444" i="15"/>
  <c r="H444" i="15" s="1"/>
  <c r="K445" i="15"/>
  <c r="H445" i="15" s="1"/>
  <c r="K446" i="15"/>
  <c r="H446" i="15" s="1"/>
  <c r="K447" i="15"/>
  <c r="H447" i="15" s="1"/>
  <c r="K450" i="15"/>
  <c r="H450" i="15" s="1"/>
  <c r="K451" i="15"/>
  <c r="H451" i="15" s="1"/>
  <c r="K452" i="15"/>
  <c r="H452" i="15" s="1"/>
  <c r="K453" i="15"/>
  <c r="H453" i="15" s="1"/>
  <c r="K454" i="15"/>
  <c r="H454" i="15" s="1"/>
  <c r="K455" i="15"/>
  <c r="H455" i="15" s="1"/>
  <c r="K457" i="15"/>
  <c r="H457" i="15" s="1"/>
  <c r="K458" i="15"/>
  <c r="H458" i="15" s="1"/>
  <c r="K459" i="15"/>
  <c r="H459" i="15" s="1"/>
  <c r="K460" i="15"/>
  <c r="H460" i="15" s="1"/>
  <c r="K464" i="15"/>
  <c r="H464" i="15" s="1"/>
  <c r="K465" i="15"/>
  <c r="H465" i="15" s="1"/>
  <c r="K469" i="15"/>
  <c r="H469" i="15" s="1"/>
  <c r="K470" i="15"/>
  <c r="H470" i="15" s="1"/>
  <c r="K472" i="15"/>
  <c r="H472" i="15" s="1"/>
  <c r="K473" i="15"/>
  <c r="H473" i="15" s="1"/>
  <c r="K474" i="15"/>
  <c r="H474" i="15" s="1"/>
  <c r="K477" i="15"/>
  <c r="H477" i="15" s="1"/>
  <c r="K478" i="15"/>
  <c r="H478" i="15" s="1"/>
  <c r="K479" i="15"/>
  <c r="H479" i="15" s="1"/>
  <c r="K480" i="15"/>
  <c r="H480" i="15" s="1"/>
  <c r="K481" i="15"/>
  <c r="H481" i="15" s="1"/>
  <c r="K482" i="15"/>
  <c r="H482" i="15" s="1"/>
  <c r="K483" i="15"/>
  <c r="H483" i="15" s="1"/>
  <c r="K487" i="15"/>
  <c r="H487" i="15" s="1"/>
  <c r="K488" i="15"/>
  <c r="H488" i="15" s="1"/>
  <c r="K489" i="15"/>
  <c r="H489" i="15" s="1"/>
  <c r="K490" i="15"/>
  <c r="H490" i="15" s="1"/>
  <c r="K491" i="15"/>
  <c r="H491" i="15" s="1"/>
  <c r="K492" i="15"/>
  <c r="H492" i="15" s="1"/>
  <c r="K493" i="15"/>
  <c r="H493" i="15" s="1"/>
  <c r="K494" i="15"/>
  <c r="H494" i="15" s="1"/>
  <c r="K498" i="15"/>
  <c r="H498" i="15" s="1"/>
  <c r="K499" i="15"/>
  <c r="H499" i="15" s="1"/>
  <c r="K500" i="15"/>
  <c r="H500" i="15" s="1"/>
  <c r="K501" i="15"/>
  <c r="H501" i="15" s="1"/>
  <c r="K502" i="15"/>
  <c r="H502" i="15" s="1"/>
  <c r="K503" i="15"/>
  <c r="H503" i="15" s="1"/>
  <c r="K507" i="15"/>
  <c r="H507" i="15" s="1"/>
  <c r="K508" i="15"/>
  <c r="H508" i="15" s="1"/>
  <c r="K509" i="15"/>
  <c r="H509" i="15" s="1"/>
  <c r="K510" i="15"/>
  <c r="H510" i="15" s="1"/>
  <c r="K511" i="15"/>
  <c r="H511" i="15" s="1"/>
  <c r="K512" i="15"/>
  <c r="H512" i="15" s="1"/>
  <c r="K513" i="15"/>
  <c r="H513" i="15" s="1"/>
  <c r="K514" i="15"/>
  <c r="H514" i="15" s="1"/>
  <c r="K518" i="15"/>
  <c r="H518" i="15" s="1"/>
  <c r="K519" i="15"/>
  <c r="H519" i="15" s="1"/>
  <c r="K520" i="15"/>
  <c r="H520" i="15" s="1"/>
  <c r="K521" i="15"/>
  <c r="H521" i="15" s="1"/>
  <c r="K522" i="15"/>
  <c r="H522" i="15" s="1"/>
  <c r="K523" i="15"/>
  <c r="H523" i="15" s="1"/>
  <c r="K524" i="15"/>
  <c r="H524" i="15" s="1"/>
  <c r="K525" i="15"/>
  <c r="H525" i="15" s="1"/>
  <c r="K529" i="15"/>
  <c r="H529" i="15" s="1"/>
  <c r="K530" i="15"/>
  <c r="H530" i="15" s="1"/>
  <c r="K531" i="15"/>
  <c r="H531" i="15" s="1"/>
  <c r="K535" i="15"/>
  <c r="H535" i="15" s="1"/>
  <c r="K536" i="15"/>
  <c r="H536" i="15" s="1"/>
  <c r="K537" i="15"/>
  <c r="H537" i="15" s="1"/>
  <c r="K540" i="15"/>
  <c r="H540" i="15" s="1"/>
  <c r="K544" i="15"/>
  <c r="H544" i="15" s="1"/>
  <c r="K545" i="15"/>
  <c r="H545" i="15" s="1"/>
  <c r="K546" i="15"/>
  <c r="H546" i="15" s="1"/>
  <c r="K547" i="15"/>
  <c r="H547" i="15" s="1"/>
  <c r="K548" i="15"/>
  <c r="H548" i="15" s="1"/>
  <c r="K549" i="15"/>
  <c r="H549" i="15" s="1"/>
  <c r="K552" i="15"/>
  <c r="H552" i="15" s="1"/>
  <c r="K553" i="15"/>
  <c r="H553" i="15" s="1"/>
  <c r="K554" i="15"/>
  <c r="H554" i="15" s="1"/>
  <c r="K557" i="15"/>
  <c r="H557" i="15" s="1"/>
  <c r="K558" i="15"/>
  <c r="H558" i="15" s="1"/>
  <c r="K559" i="15"/>
  <c r="H559" i="15" s="1"/>
  <c r="K560" i="15"/>
  <c r="H560" i="15" s="1"/>
  <c r="K561" i="15"/>
  <c r="H561" i="15" s="1"/>
  <c r="K562" i="15"/>
  <c r="H562" i="15" s="1"/>
  <c r="K563" i="15"/>
  <c r="H563" i="15" s="1"/>
  <c r="K564" i="15"/>
  <c r="H564" i="15" s="1"/>
  <c r="K567" i="15"/>
  <c r="H567" i="15" s="1"/>
  <c r="K571" i="15"/>
  <c r="H571" i="15" s="1"/>
  <c r="K572" i="15"/>
  <c r="H572" i="15" s="1"/>
  <c r="K573" i="15"/>
  <c r="H573" i="15" s="1"/>
  <c r="K574" i="15"/>
  <c r="H574" i="15" s="1"/>
  <c r="K578" i="15"/>
  <c r="H578" i="15" s="1"/>
  <c r="K579" i="15"/>
  <c r="H579" i="15" s="1"/>
  <c r="K580" i="15"/>
  <c r="H580" i="15" s="1"/>
  <c r="K581" i="15"/>
  <c r="H581" i="15" s="1"/>
  <c r="K582" i="15"/>
  <c r="H582" i="15" s="1"/>
  <c r="K583" i="15"/>
  <c r="H583" i="15" s="1"/>
  <c r="K584" i="15"/>
  <c r="H584" i="15" s="1"/>
  <c r="K585" i="15"/>
  <c r="H585" i="15" s="1"/>
  <c r="K586" i="15"/>
  <c r="H586" i="15" s="1"/>
  <c r="K587" i="15"/>
  <c r="H587" i="15" s="1"/>
  <c r="K588" i="15"/>
  <c r="H588" i="15" s="1"/>
  <c r="K589" i="15"/>
  <c r="H589" i="15" s="1"/>
  <c r="K590" i="15"/>
  <c r="H590" i="15" s="1"/>
  <c r="K591" i="15"/>
  <c r="H591" i="15" s="1"/>
  <c r="K595" i="15"/>
  <c r="H595" i="15" s="1"/>
  <c r="K596" i="15"/>
  <c r="H596" i="15" s="1"/>
  <c r="K597" i="15"/>
  <c r="H597" i="15" s="1"/>
  <c r="K601" i="15"/>
  <c r="H601" i="15" s="1"/>
  <c r="K602" i="15"/>
  <c r="H602" i="15" s="1"/>
  <c r="K606" i="15"/>
  <c r="H606" i="15" s="1"/>
  <c r="K607" i="15"/>
  <c r="H607" i="15" s="1"/>
  <c r="K608" i="15"/>
  <c r="H608" i="15" s="1"/>
  <c r="K612" i="15"/>
  <c r="H612" i="15" s="1"/>
  <c r="K613" i="15"/>
  <c r="H613" i="15" s="1"/>
  <c r="K614" i="15"/>
  <c r="H614" i="15" s="1"/>
  <c r="K615" i="15"/>
  <c r="H615" i="15" s="1"/>
  <c r="K618" i="15"/>
  <c r="H618" i="15" s="1"/>
  <c r="K619" i="15"/>
  <c r="H619" i="15" s="1"/>
  <c r="K623" i="15"/>
  <c r="H623" i="15" s="1"/>
  <c r="K624" i="15"/>
  <c r="H624" i="15" s="1"/>
  <c r="K625" i="15"/>
  <c r="H625" i="15" s="1"/>
  <c r="K626" i="15"/>
  <c r="H626" i="15" s="1"/>
  <c r="K627" i="15"/>
  <c r="H627" i="15" s="1"/>
  <c r="K628" i="15"/>
  <c r="H628" i="15" s="1"/>
  <c r="K631" i="15"/>
  <c r="H631" i="15" s="1"/>
  <c r="K635" i="15"/>
  <c r="H635" i="15" s="1"/>
  <c r="K638" i="15"/>
  <c r="H638" i="15" s="1"/>
  <c r="K639" i="15"/>
  <c r="H639" i="15" s="1"/>
  <c r="K640" i="15"/>
  <c r="H640" i="15" s="1"/>
  <c r="K647" i="15"/>
  <c r="H647" i="15" s="1"/>
  <c r="K641" i="15"/>
  <c r="H641" i="15" s="1"/>
  <c r="K642" i="15"/>
  <c r="H642" i="15" s="1"/>
  <c r="K648" i="15"/>
  <c r="H648" i="15" s="1"/>
  <c r="K649" i="15"/>
  <c r="H649" i="15" s="1"/>
  <c r="K650" i="15"/>
  <c r="H650" i="15" s="1"/>
  <c r="K651" i="15"/>
  <c r="H651" i="15" s="1"/>
  <c r="K652" i="15"/>
  <c r="H652" i="15" s="1"/>
  <c r="K653" i="15"/>
  <c r="H653" i="15" s="1"/>
  <c r="K654" i="15"/>
  <c r="H654" i="15" s="1"/>
  <c r="K655" i="15"/>
  <c r="H655" i="15" s="1"/>
  <c r="K657" i="15"/>
  <c r="H657" i="15" s="1"/>
  <c r="K659" i="15"/>
  <c r="H659" i="15" s="1"/>
  <c r="K660" i="15"/>
  <c r="H660" i="15" s="1"/>
  <c r="K662" i="15"/>
  <c r="H662" i="15" s="1"/>
  <c r="K663" i="15"/>
  <c r="H663" i="15" s="1"/>
  <c r="K664" i="15"/>
  <c r="H664" i="15" s="1"/>
  <c r="K665" i="15"/>
  <c r="H665" i="15" s="1"/>
  <c r="K667" i="15"/>
  <c r="H667" i="15" s="1"/>
  <c r="K668" i="15"/>
  <c r="H668" i="15" s="1"/>
  <c r="K669" i="15"/>
  <c r="H669" i="15" s="1"/>
  <c r="K671" i="15"/>
  <c r="H671" i="15" s="1"/>
  <c r="K672" i="15"/>
  <c r="H672" i="15" s="1"/>
  <c r="K673" i="15"/>
  <c r="H673" i="15" s="1"/>
  <c r="K674" i="15"/>
  <c r="H674" i="15" s="1"/>
  <c r="K675" i="15"/>
  <c r="H675" i="15" s="1"/>
  <c r="K676" i="15"/>
  <c r="H676" i="15" s="1"/>
  <c r="K677" i="15"/>
  <c r="H677" i="15" s="1"/>
  <c r="K678" i="15"/>
  <c r="H678" i="15" s="1"/>
  <c r="K679" i="15"/>
  <c r="H679" i="15" s="1"/>
  <c r="K680" i="15"/>
  <c r="H680" i="15" s="1"/>
  <c r="K681" i="15"/>
  <c r="H681" i="15" s="1"/>
  <c r="K682" i="15"/>
  <c r="H682" i="15" s="1"/>
  <c r="K685" i="15"/>
  <c r="H685" i="15" s="1"/>
  <c r="K687" i="15"/>
  <c r="H687" i="15" s="1"/>
  <c r="K688" i="15"/>
  <c r="H688" i="15" s="1"/>
  <c r="K689" i="15"/>
  <c r="H689" i="15" s="1"/>
  <c r="K690" i="15"/>
  <c r="H690" i="15" s="1"/>
  <c r="K691" i="15"/>
  <c r="H691" i="15" s="1"/>
  <c r="K692" i="15"/>
  <c r="H692" i="15" s="1"/>
  <c r="K693" i="15"/>
  <c r="H693" i="15" s="1"/>
  <c r="K694" i="15"/>
  <c r="H694" i="15" s="1"/>
  <c r="K698" i="15"/>
  <c r="H698" i="15" s="1"/>
  <c r="K700" i="15"/>
  <c r="H700" i="15" s="1"/>
  <c r="K701" i="15"/>
  <c r="H701" i="15" s="1"/>
  <c r="K702" i="15"/>
  <c r="H702" i="15" s="1"/>
  <c r="K703" i="15"/>
  <c r="H703" i="15" s="1"/>
  <c r="K704" i="15"/>
  <c r="H704" i="15" s="1"/>
  <c r="K705" i="15"/>
  <c r="H705" i="15" s="1"/>
  <c r="K706" i="15"/>
  <c r="H706" i="15" s="1"/>
  <c r="K707" i="15"/>
  <c r="H707" i="15" s="1"/>
  <c r="K708" i="15"/>
  <c r="H708" i="15" s="1"/>
  <c r="K709" i="15"/>
  <c r="H709" i="15" s="1"/>
  <c r="K710" i="15"/>
  <c r="H710" i="15" s="1"/>
  <c r="K711" i="15"/>
  <c r="H711" i="15" s="1"/>
  <c r="K712" i="15"/>
  <c r="H712" i="15" s="1"/>
  <c r="K713" i="15"/>
  <c r="H713" i="15" s="1"/>
  <c r="K714" i="15"/>
  <c r="H714" i="15" s="1"/>
  <c r="K715" i="15"/>
  <c r="H715" i="15" s="1"/>
  <c r="K716" i="15"/>
  <c r="H716" i="15" s="1"/>
  <c r="K718" i="15"/>
  <c r="H718" i="15" s="1"/>
  <c r="K719" i="15"/>
  <c r="H719" i="15" s="1"/>
  <c r="K720" i="15"/>
  <c r="H720" i="15" s="1"/>
  <c r="K721" i="15"/>
  <c r="H721" i="15" s="1"/>
  <c r="K722" i="15"/>
  <c r="H722" i="15" s="1"/>
  <c r="K723" i="15"/>
  <c r="H723" i="15" s="1"/>
  <c r="K724" i="15"/>
  <c r="H724" i="15" s="1"/>
  <c r="K725" i="15"/>
  <c r="H725" i="15" s="1"/>
  <c r="K726" i="15"/>
  <c r="H726" i="15" s="1"/>
  <c r="K727" i="15"/>
  <c r="H727" i="15" s="1"/>
  <c r="K728" i="15"/>
  <c r="H728" i="15" s="1"/>
  <c r="K733" i="15"/>
  <c r="H733" i="15" s="1"/>
  <c r="H743" i="15"/>
  <c r="K734" i="15"/>
  <c r="H734" i="15" s="1"/>
  <c r="K735" i="15"/>
  <c r="H735" i="15" s="1"/>
  <c r="K736" i="15"/>
  <c r="H736" i="15" s="1"/>
  <c r="K792" i="15"/>
  <c r="H792" i="15" s="1"/>
  <c r="K737" i="15"/>
  <c r="H737" i="15" s="1"/>
  <c r="K738" i="15"/>
  <c r="H738" i="15" s="1"/>
  <c r="K750" i="15"/>
  <c r="H750" i="15" s="1"/>
  <c r="K739" i="15"/>
  <c r="H739" i="15" s="1"/>
  <c r="K740" i="15"/>
  <c r="H740" i="15" s="1"/>
  <c r="K741" i="15"/>
  <c r="H741" i="15" s="1"/>
  <c r="H767" i="15"/>
  <c r="K742" i="15"/>
  <c r="H742" i="15" s="1"/>
  <c r="K745" i="15"/>
  <c r="H745" i="15" s="1"/>
  <c r="K746" i="15"/>
  <c r="H746" i="15" s="1"/>
  <c r="K747" i="15"/>
  <c r="H747" i="15" s="1"/>
  <c r="K752" i="15"/>
  <c r="H752" i="15" s="1"/>
  <c r="K753" i="15"/>
  <c r="H753" i="15" s="1"/>
  <c r="H754" i="15"/>
  <c r="K755" i="15"/>
  <c r="H755" i="15" s="1"/>
  <c r="K756" i="15"/>
  <c r="H756" i="15" s="1"/>
  <c r="K760" i="15"/>
  <c r="H760" i="15" s="1"/>
  <c r="K762" i="15"/>
  <c r="H762" i="15" s="1"/>
  <c r="K768" i="15"/>
  <c r="H768" i="15" s="1"/>
  <c r="K769" i="15"/>
  <c r="H769" i="15" s="1"/>
  <c r="K770" i="15"/>
  <c r="H770" i="15" s="1"/>
  <c r="K777" i="15"/>
  <c r="H777" i="15" s="1"/>
  <c r="K778" i="15"/>
  <c r="H778" i="15" s="1"/>
  <c r="K779" i="15"/>
  <c r="H779" i="15" s="1"/>
  <c r="H789" i="15"/>
  <c r="K786" i="15"/>
  <c r="H786" i="15" s="1"/>
  <c r="K783" i="15"/>
  <c r="H783" i="15" s="1"/>
  <c r="K785" i="15"/>
  <c r="H785" i="15" s="1"/>
  <c r="K787" i="15"/>
  <c r="H787" i="15" s="1"/>
  <c r="K790" i="15"/>
  <c r="H790" i="15" s="1"/>
  <c r="K791" i="15"/>
  <c r="H791" i="15" s="1"/>
  <c r="K802" i="15"/>
  <c r="H802" i="15" s="1"/>
  <c r="K793" i="15"/>
  <c r="H793" i="15" s="1"/>
  <c r="H788" i="15"/>
  <c r="K795" i="15"/>
  <c r="H795" i="15" s="1"/>
  <c r="K796" i="15"/>
  <c r="H796" i="15" s="1"/>
  <c r="K799" i="15"/>
  <c r="H799" i="15" s="1"/>
  <c r="K800" i="15"/>
  <c r="H800" i="15" s="1"/>
  <c r="K801" i="15"/>
  <c r="H801" i="15" s="1"/>
  <c r="K803" i="15"/>
  <c r="H803" i="15" s="1"/>
  <c r="K807" i="15"/>
  <c r="H807" i="15" s="1"/>
  <c r="K809" i="15"/>
  <c r="H809" i="15" s="1"/>
  <c r="K810" i="15"/>
  <c r="H810" i="15" s="1"/>
  <c r="K811" i="15"/>
  <c r="H811" i="15" s="1"/>
  <c r="K816" i="15"/>
  <c r="H816" i="15" s="1"/>
  <c r="K817" i="15"/>
  <c r="H817" i="15" s="1"/>
  <c r="K818" i="15"/>
  <c r="H818" i="15" s="1"/>
  <c r="K819" i="15"/>
  <c r="H819" i="15" s="1"/>
  <c r="K820" i="15"/>
  <c r="H820" i="15" s="1"/>
  <c r="K821" i="15"/>
  <c r="H821" i="15" s="1"/>
  <c r="K824" i="15"/>
  <c r="H824" i="15" s="1"/>
  <c r="K825" i="15"/>
  <c r="H825" i="15" s="1"/>
  <c r="K826" i="15"/>
  <c r="H826" i="15" s="1"/>
  <c r="K827" i="15"/>
  <c r="H827" i="15" s="1"/>
  <c r="K828" i="15"/>
  <c r="H828" i="15" s="1"/>
  <c r="K829" i="15"/>
  <c r="H829" i="15" s="1"/>
  <c r="K831" i="15"/>
  <c r="H831" i="15" s="1"/>
  <c r="K833" i="15"/>
  <c r="H833" i="15" s="1"/>
  <c r="K835" i="15"/>
  <c r="H835" i="15" s="1"/>
  <c r="K838" i="15"/>
  <c r="H838" i="15" s="1"/>
  <c r="K839" i="15"/>
  <c r="H839" i="15" s="1"/>
  <c r="K840" i="15"/>
  <c r="H840" i="15" s="1"/>
  <c r="K841" i="15"/>
  <c r="H841" i="15" s="1"/>
  <c r="K842" i="15"/>
  <c r="H842" i="15" s="1"/>
  <c r="K843" i="15"/>
  <c r="H843" i="15" s="1"/>
  <c r="K844" i="15"/>
  <c r="H844" i="15" s="1"/>
  <c r="K845" i="15"/>
  <c r="H845" i="15" s="1"/>
  <c r="K846" i="15"/>
  <c r="H846" i="15" s="1"/>
  <c r="K847" i="15"/>
  <c r="H847" i="15" s="1"/>
  <c r="K848" i="15"/>
  <c r="H848" i="15" s="1"/>
  <c r="K849" i="15"/>
  <c r="H849" i="15" s="1"/>
  <c r="K850" i="15"/>
  <c r="H850" i="15" s="1"/>
  <c r="K851" i="15"/>
  <c r="H851" i="15" s="1"/>
  <c r="K852" i="15"/>
  <c r="H852" i="15" s="1"/>
  <c r="K855" i="15"/>
  <c r="H855" i="15" s="1"/>
  <c r="K856" i="15"/>
  <c r="H856" i="15" s="1"/>
  <c r="K857" i="15"/>
  <c r="H857" i="15" s="1"/>
  <c r="K858" i="15"/>
  <c r="H858" i="15" s="1"/>
  <c r="K859" i="15"/>
  <c r="H859" i="15" s="1"/>
  <c r="K860" i="15"/>
  <c r="H860" i="15" s="1"/>
  <c r="K861" i="15"/>
  <c r="H861" i="15" s="1"/>
  <c r="K862" i="15"/>
  <c r="H862" i="15" s="1"/>
  <c r="K863" i="15"/>
  <c r="H863" i="15" s="1"/>
  <c r="K864" i="15"/>
  <c r="H864" i="15" s="1"/>
  <c r="K865" i="15"/>
  <c r="H865" i="15" s="1"/>
  <c r="K866" i="15"/>
  <c r="H866" i="15" s="1"/>
  <c r="K869" i="15"/>
  <c r="H869" i="15" s="1"/>
  <c r="K871" i="15"/>
  <c r="H871" i="15" s="1"/>
  <c r="K872" i="15"/>
  <c r="H872" i="15" s="1"/>
  <c r="K873" i="15"/>
  <c r="H873" i="15" s="1"/>
  <c r="K874" i="15"/>
  <c r="H874" i="15" s="1"/>
  <c r="K875" i="15"/>
  <c r="H875" i="15" s="1"/>
  <c r="K876" i="15"/>
  <c r="H876" i="15" s="1"/>
  <c r="K877" i="15"/>
  <c r="H877" i="15" s="1"/>
  <c r="K878" i="15"/>
  <c r="H878" i="15" s="1"/>
  <c r="K879" i="15"/>
  <c r="H879" i="15" s="1"/>
  <c r="K880" i="15"/>
  <c r="H880" i="15" s="1"/>
  <c r="K882" i="15"/>
  <c r="H882" i="15" s="1"/>
  <c r="K883" i="15"/>
  <c r="H883" i="15" s="1"/>
  <c r="K884" i="15"/>
  <c r="H884" i="15" s="1"/>
  <c r="K885" i="15"/>
  <c r="H885" i="15" s="1"/>
  <c r="K887" i="15"/>
  <c r="H887" i="15" s="1"/>
  <c r="K888" i="15"/>
  <c r="H888" i="15" s="1"/>
  <c r="K889" i="15"/>
  <c r="H889" i="15" s="1"/>
  <c r="K890" i="15"/>
  <c r="H890" i="15" s="1"/>
  <c r="K891" i="15"/>
  <c r="H891" i="15" s="1"/>
  <c r="K892" i="15"/>
  <c r="H892" i="15" s="1"/>
  <c r="K893" i="15"/>
  <c r="H893" i="15" s="1"/>
  <c r="K894" i="15"/>
  <c r="H894" i="15" s="1"/>
  <c r="K898" i="15"/>
  <c r="H898" i="15" s="1"/>
  <c r="K899" i="15"/>
  <c r="H899" i="15" s="1"/>
  <c r="K900" i="15"/>
  <c r="H900" i="15" s="1"/>
  <c r="K901" i="15"/>
  <c r="H901" i="15" s="1"/>
  <c r="K902" i="15"/>
  <c r="H902" i="15" s="1"/>
  <c r="K903" i="15"/>
  <c r="H903" i="15" s="1"/>
  <c r="K904" i="15"/>
  <c r="H904" i="15" s="1"/>
  <c r="K905" i="15"/>
  <c r="H905" i="15" s="1"/>
  <c r="K906" i="15"/>
  <c r="H906" i="15" s="1"/>
  <c r="K907" i="15"/>
  <c r="H907" i="15" s="1"/>
  <c r="K908" i="15"/>
  <c r="H908" i="15" s="1"/>
  <c r="K912" i="15"/>
  <c r="H912" i="15" s="1"/>
  <c r="K913" i="15"/>
  <c r="H913" i="15" s="1"/>
  <c r="K914" i="15"/>
  <c r="H914" i="15" s="1"/>
  <c r="K915" i="15"/>
  <c r="H915" i="15" s="1"/>
  <c r="K916" i="15"/>
  <c r="H916" i="15" s="1"/>
  <c r="K917" i="15"/>
  <c r="H917" i="15" s="1"/>
  <c r="K918" i="15"/>
  <c r="H918" i="15" s="1"/>
  <c r="K919" i="15"/>
  <c r="H919" i="15" s="1"/>
  <c r="K920" i="15"/>
  <c r="H920" i="15" s="1"/>
  <c r="K921" i="15"/>
  <c r="H921" i="15" s="1"/>
  <c r="K924" i="15"/>
  <c r="H924" i="15" s="1"/>
  <c r="K925" i="15"/>
  <c r="H925" i="15" s="1"/>
  <c r="K926" i="15"/>
  <c r="H926" i="15" s="1"/>
  <c r="K929" i="15"/>
  <c r="H929" i="15" s="1"/>
  <c r="K930" i="15"/>
  <c r="H930" i="15" s="1"/>
  <c r="K931" i="15"/>
  <c r="H931" i="15" s="1"/>
  <c r="K932" i="15"/>
  <c r="H932" i="15" s="1"/>
  <c r="K933" i="15"/>
  <c r="H933" i="15" s="1"/>
  <c r="K934" i="15"/>
  <c r="H934" i="15" s="1"/>
  <c r="K935" i="15"/>
  <c r="H935" i="15" s="1"/>
  <c r="K936" i="15"/>
  <c r="H936" i="15" s="1"/>
  <c r="K937" i="15"/>
  <c r="H937" i="15" s="1"/>
  <c r="K938" i="15"/>
  <c r="H938" i="15" s="1"/>
  <c r="K939" i="15"/>
  <c r="H939" i="15" s="1"/>
  <c r="K940" i="15"/>
  <c r="H940" i="15" s="1"/>
  <c r="K941" i="15"/>
  <c r="H941" i="15" s="1"/>
  <c r="K942" i="15"/>
  <c r="H942" i="15" s="1"/>
  <c r="K946" i="15"/>
  <c r="H946" i="15" s="1"/>
  <c r="K947" i="15"/>
  <c r="H947" i="15" s="1"/>
  <c r="K948" i="15"/>
  <c r="H948" i="15" s="1"/>
  <c r="K949" i="15"/>
  <c r="H949" i="15" s="1"/>
  <c r="K952" i="15"/>
  <c r="H952" i="15" s="1"/>
  <c r="K954" i="15"/>
  <c r="H954" i="15" s="1"/>
  <c r="K955" i="15"/>
  <c r="H955" i="15" s="1"/>
  <c r="K956" i="15"/>
  <c r="H956" i="15" s="1"/>
  <c r="K957" i="15"/>
  <c r="H957" i="15" s="1"/>
  <c r="K958" i="15"/>
  <c r="H958" i="15" s="1"/>
  <c r="K959" i="15"/>
  <c r="H959" i="15" s="1"/>
  <c r="K960" i="15"/>
  <c r="H960" i="15" s="1"/>
  <c r="K961" i="15"/>
  <c r="H961" i="15" s="1"/>
  <c r="K962" i="15"/>
  <c r="H962" i="15" s="1"/>
  <c r="K963" i="15"/>
  <c r="H963" i="15" s="1"/>
  <c r="K964" i="15"/>
  <c r="H964" i="15" s="1"/>
  <c r="K965" i="15"/>
  <c r="H965" i="15" s="1"/>
  <c r="K968" i="15"/>
  <c r="H968" i="15" s="1"/>
  <c r="K969" i="15"/>
  <c r="H969" i="15" s="1"/>
  <c r="K970" i="15"/>
  <c r="H970" i="15" s="1"/>
  <c r="K971" i="15"/>
  <c r="H971" i="15" s="1"/>
  <c r="K972" i="15"/>
  <c r="H972" i="15" s="1"/>
  <c r="K973" i="15"/>
  <c r="H973" i="15" s="1"/>
  <c r="K974" i="15"/>
  <c r="H974" i="15" s="1"/>
  <c r="K975" i="15"/>
  <c r="H975" i="15" s="1"/>
  <c r="K976" i="15"/>
  <c r="H976" i="15" s="1"/>
  <c r="K977" i="15"/>
  <c r="H977" i="15" s="1"/>
  <c r="K978" i="15"/>
  <c r="H978" i="15" s="1"/>
  <c r="K979" i="15"/>
  <c r="H979" i="15" s="1"/>
  <c r="K980" i="15"/>
  <c r="H980" i="15" s="1"/>
  <c r="K981" i="15"/>
  <c r="H981" i="15" s="1"/>
  <c r="K982" i="15"/>
  <c r="H982" i="15" s="1"/>
  <c r="K983" i="15"/>
  <c r="H983" i="15" s="1"/>
  <c r="K995" i="15"/>
  <c r="H995" i="15" s="1"/>
  <c r="K997" i="15"/>
  <c r="H997" i="15" s="1"/>
  <c r="K998" i="15"/>
  <c r="H998" i="15" s="1"/>
  <c r="K999" i="15"/>
  <c r="H999" i="15" s="1"/>
  <c r="K1000" i="15"/>
  <c r="H1000" i="15" s="1"/>
  <c r="K1001" i="15"/>
  <c r="H1001" i="15" s="1"/>
  <c r="K1002" i="15"/>
  <c r="H1002" i="15" s="1"/>
  <c r="K1003" i="15"/>
  <c r="H1003" i="15" s="1"/>
  <c r="K1004" i="15"/>
  <c r="H1004" i="15" s="1"/>
  <c r="K1005" i="15"/>
  <c r="H1005" i="15" s="1"/>
  <c r="K1006" i="15"/>
  <c r="H1006" i="15" s="1"/>
  <c r="K1007" i="15"/>
  <c r="H1007" i="15" s="1"/>
  <c r="K1008" i="15"/>
  <c r="H1008" i="15" s="1"/>
  <c r="K1009" i="15"/>
  <c r="H1009" i="15" s="1"/>
  <c r="K1010" i="15"/>
  <c r="H1010" i="15" s="1"/>
  <c r="K1011" i="15"/>
  <c r="H1011" i="15" s="1"/>
  <c r="K1012" i="15"/>
  <c r="H1012" i="15" s="1"/>
  <c r="K1013" i="15"/>
  <c r="H1013" i="15" s="1"/>
  <c r="K1017" i="15"/>
  <c r="H1017" i="15" s="1"/>
  <c r="K1018" i="15"/>
  <c r="H1018" i="15" s="1"/>
  <c r="K1019" i="15"/>
  <c r="H1019" i="15" s="1"/>
  <c r="K1020" i="15"/>
  <c r="H1020" i="15" s="1"/>
  <c r="K1025" i="15"/>
  <c r="H1025" i="15" s="1"/>
  <c r="K1027" i="15"/>
  <c r="H1027" i="15" s="1"/>
  <c r="K1028" i="15"/>
  <c r="H1028" i="15" s="1"/>
  <c r="K1029" i="15"/>
  <c r="H1029" i="15" s="1"/>
  <c r="K1030" i="15"/>
  <c r="H1030" i="15" s="1"/>
  <c r="K1031" i="15"/>
  <c r="H1031" i="15" s="1"/>
  <c r="K1032" i="15"/>
  <c r="H1032" i="15" s="1"/>
  <c r="K1033" i="15"/>
  <c r="H1033" i="15" s="1"/>
  <c r="K1034" i="15"/>
  <c r="H1034" i="15" s="1"/>
  <c r="K1035" i="15"/>
  <c r="H1035" i="15" s="1"/>
  <c r="K1036" i="15"/>
  <c r="H1036" i="15" s="1"/>
  <c r="K1037" i="15"/>
  <c r="H1037" i="15" s="1"/>
  <c r="K1038" i="15"/>
  <c r="H1038" i="15" s="1"/>
  <c r="K1039" i="15"/>
  <c r="H1039" i="15" s="1"/>
  <c r="K1040" i="15"/>
  <c r="H1040" i="15" s="1"/>
  <c r="K1041" i="15"/>
  <c r="H1041" i="15" s="1"/>
  <c r="K1042" i="15"/>
  <c r="H1042" i="15" s="1"/>
  <c r="K1048" i="15"/>
  <c r="H1048" i="15" s="1"/>
  <c r="K1049" i="15"/>
  <c r="H1049" i="15" s="1"/>
  <c r="K1050" i="15"/>
  <c r="H1050" i="15" s="1"/>
  <c r="K1051" i="15"/>
  <c r="H1051" i="15" s="1"/>
  <c r="K1052" i="15"/>
  <c r="H1052" i="15" s="1"/>
  <c r="K1053" i="15"/>
  <c r="H1053" i="15" s="1"/>
  <c r="K1057" i="15"/>
  <c r="H1057" i="15" s="1"/>
  <c r="K1058" i="15"/>
  <c r="H1058" i="15" s="1"/>
  <c r="K1059" i="15"/>
  <c r="H1059" i="15" s="1"/>
  <c r="K1060" i="15"/>
  <c r="H1060" i="15" s="1"/>
  <c r="K1061" i="15"/>
  <c r="H1061" i="15" s="1"/>
  <c r="K1062" i="15"/>
  <c r="H1062" i="15" s="1"/>
  <c r="K1063" i="15"/>
  <c r="H1063" i="15" s="1"/>
  <c r="K1064" i="15"/>
  <c r="H1064" i="15" s="1"/>
  <c r="K1065" i="15"/>
  <c r="H1065" i="15" s="1"/>
  <c r="K1070" i="15"/>
  <c r="H1070" i="15" s="1"/>
  <c r="K1071" i="15"/>
  <c r="H1071" i="15" s="1"/>
  <c r="K1072" i="15"/>
  <c r="H1072" i="15" s="1"/>
  <c r="K1073" i="15"/>
  <c r="H1073" i="15" s="1"/>
  <c r="K1074" i="15"/>
  <c r="H1074" i="15" s="1"/>
  <c r="K1075" i="15"/>
  <c r="H1075" i="15" s="1"/>
  <c r="K1080" i="15"/>
  <c r="H1080" i="15" s="1"/>
  <c r="K1081" i="15"/>
  <c r="H1081" i="15" s="1"/>
  <c r="K1082" i="15"/>
  <c r="H1082" i="15" s="1"/>
  <c r="K1083" i="15"/>
  <c r="H1083" i="15" s="1"/>
  <c r="K1084" i="15"/>
  <c r="H1084" i="15" s="1"/>
  <c r="K1085" i="15"/>
  <c r="H1085" i="15" s="1"/>
  <c r="K1086" i="15"/>
  <c r="H1086" i="15" s="1"/>
  <c r="K1087" i="15"/>
  <c r="H1087" i="15" s="1"/>
  <c r="K1088" i="15"/>
  <c r="H1088" i="15" s="1"/>
  <c r="K1094" i="15"/>
  <c r="H1094" i="15" s="1"/>
  <c r="K1096" i="15"/>
  <c r="H1096" i="15" s="1"/>
  <c r="K1097" i="15"/>
  <c r="H1097" i="15" s="1"/>
  <c r="K1098" i="15"/>
  <c r="H1098" i="15" s="1"/>
  <c r="K1103" i="15"/>
  <c r="H1103" i="15" s="1"/>
  <c r="K1105" i="15"/>
  <c r="H1105" i="15" s="1"/>
  <c r="K1106" i="15"/>
  <c r="H1106" i="15" s="1"/>
  <c r="K1107" i="15"/>
  <c r="H1107" i="15" s="1"/>
  <c r="K1108" i="15"/>
  <c r="H1108" i="15" s="1"/>
  <c r="K1109" i="15"/>
  <c r="H1109" i="15" s="1"/>
  <c r="K1113" i="15"/>
  <c r="H1113" i="15" s="1"/>
  <c r="K1115" i="15"/>
  <c r="H1115" i="15" s="1"/>
  <c r="K1116" i="15"/>
  <c r="H1116" i="15" s="1"/>
  <c r="K1117" i="15"/>
  <c r="H1117" i="15" s="1"/>
  <c r="K1124" i="15"/>
  <c r="H1124" i="15" s="1"/>
  <c r="K1125" i="15"/>
  <c r="H1125" i="15" s="1"/>
  <c r="K1129" i="15"/>
  <c r="H1129" i="15" s="1"/>
  <c r="K1130" i="15"/>
  <c r="H1130" i="15" s="1"/>
  <c r="K1131" i="15"/>
  <c r="H1131" i="15" s="1"/>
  <c r="K1132" i="15"/>
  <c r="H1132" i="15" s="1"/>
  <c r="K1133" i="15"/>
  <c r="H1133" i="15" s="1"/>
  <c r="K1135" i="15"/>
  <c r="H1135" i="15" s="1"/>
  <c r="K1136" i="15"/>
  <c r="H1136" i="15" s="1"/>
  <c r="K1137" i="15"/>
  <c r="H1137" i="15" s="1"/>
  <c r="K1138" i="15"/>
  <c r="H1138" i="15" s="1"/>
  <c r="K1139" i="15"/>
  <c r="H1139" i="15" s="1"/>
  <c r="K1140" i="15"/>
  <c r="H1140" i="15" s="1"/>
  <c r="K1145" i="15"/>
  <c r="H1145" i="15" s="1"/>
  <c r="K1146" i="15"/>
  <c r="H1146" i="15" s="1"/>
  <c r="K1147" i="15"/>
  <c r="H1147" i="15" s="1"/>
  <c r="K1151" i="15"/>
  <c r="H1151" i="15" s="1"/>
  <c r="K1153" i="15"/>
  <c r="H1153" i="15" s="1"/>
  <c r="K1154" i="15"/>
  <c r="H1154" i="15" s="1"/>
  <c r="K1155" i="15"/>
  <c r="H1155" i="15" s="1"/>
  <c r="K1156" i="15"/>
  <c r="H1156" i="15" s="1"/>
  <c r="K1157" i="15"/>
  <c r="H1157" i="15" s="1"/>
  <c r="K1158" i="15"/>
  <c r="H1158" i="15" s="1"/>
  <c r="K1159" i="15"/>
  <c r="H1159" i="15" s="1"/>
  <c r="K1160" i="15"/>
  <c r="H1160" i="15" s="1"/>
  <c r="K1164" i="15"/>
  <c r="H1164" i="15" s="1"/>
  <c r="K1165" i="15"/>
  <c r="H1165" i="15" s="1"/>
  <c r="K1166" i="15"/>
  <c r="H1166" i="15" s="1"/>
  <c r="K1167" i="15"/>
  <c r="H1167" i="15" s="1"/>
  <c r="K1168" i="15"/>
  <c r="H1168" i="15" s="1"/>
  <c r="K1173" i="15"/>
  <c r="H1173" i="15" s="1"/>
  <c r="K1174" i="15"/>
  <c r="H1174" i="15" s="1"/>
  <c r="K1175" i="15"/>
  <c r="H1175" i="15" s="1"/>
  <c r="K1176" i="15"/>
  <c r="H1176" i="15" s="1"/>
  <c r="K1177" i="15"/>
  <c r="H1177" i="15" s="1"/>
  <c r="K1178" i="15"/>
  <c r="H1178" i="15" s="1"/>
  <c r="K1179" i="15"/>
  <c r="H1179" i="15" s="1"/>
  <c r="K1180" i="15"/>
  <c r="H1180" i="15" s="1"/>
  <c r="K1184" i="15"/>
  <c r="H1184" i="15" s="1"/>
  <c r="K1185" i="15"/>
  <c r="H1185" i="15" s="1"/>
  <c r="K1186" i="15"/>
  <c r="H1186" i="15" s="1"/>
  <c r="K1187" i="15"/>
  <c r="H1187" i="15" s="1"/>
  <c r="K1188" i="15"/>
  <c r="H1188" i="15" s="1"/>
  <c r="K1189" i="15"/>
  <c r="H1189" i="15" s="1"/>
  <c r="K1192" i="15"/>
  <c r="H1192" i="15" s="1"/>
  <c r="K1193" i="15"/>
  <c r="H1193" i="15" s="1"/>
  <c r="K1194" i="15"/>
  <c r="H1194" i="15" s="1"/>
  <c r="K1195" i="15"/>
  <c r="H1195" i="15" s="1"/>
  <c r="K1200" i="15"/>
  <c r="H1200" i="15" s="1"/>
  <c r="K1201" i="15"/>
  <c r="H1201" i="15" s="1"/>
  <c r="K1202" i="15"/>
  <c r="H1202" i="15" s="1"/>
  <c r="K1203" i="15"/>
  <c r="H1203" i="15" s="1"/>
  <c r="K1204" i="15"/>
  <c r="H1204" i="15" s="1"/>
  <c r="K1205" i="15"/>
  <c r="H1205" i="15" s="1"/>
  <c r="K1206" i="15"/>
  <c r="H1206" i="15" s="1"/>
  <c r="K1207" i="15"/>
  <c r="H1207" i="15" s="1"/>
  <c r="K1208" i="15"/>
  <c r="H1208" i="15" s="1"/>
  <c r="K1209" i="15"/>
  <c r="H1209" i="15" s="1"/>
  <c r="K1210" i="15"/>
  <c r="H1210" i="15" s="1"/>
  <c r="K1211" i="15"/>
  <c r="H1211" i="15" s="1"/>
  <c r="K1212" i="15"/>
  <c r="H1212" i="15" s="1"/>
  <c r="K1213" i="15"/>
  <c r="H1213" i="15" s="1"/>
  <c r="K1214" i="15"/>
  <c r="H1214" i="15" s="1"/>
  <c r="K1215" i="15"/>
  <c r="H1215" i="15" s="1"/>
  <c r="K1216" i="15"/>
  <c r="H1216" i="15" s="1"/>
  <c r="K1217" i="15"/>
  <c r="H1217" i="15" s="1"/>
  <c r="K1218" i="15"/>
  <c r="H1218" i="15" s="1"/>
  <c r="K1219" i="15"/>
  <c r="H1219" i="15" s="1"/>
  <c r="K1220" i="15"/>
  <c r="H1220" i="15" s="1"/>
  <c r="K1221" i="15"/>
  <c r="H1221" i="15" s="1"/>
  <c r="K1222" i="15"/>
  <c r="H1222" i="15" s="1"/>
  <c r="K1223" i="15"/>
  <c r="H1223" i="15" s="1"/>
  <c r="K1224" i="15"/>
  <c r="H1224" i="15" s="1"/>
  <c r="K1225" i="15"/>
  <c r="H1225" i="15" s="1"/>
  <c r="K1226" i="15"/>
  <c r="H1226" i="15" s="1"/>
  <c r="K1229" i="15"/>
  <c r="H1229" i="15" s="1"/>
  <c r="K1230" i="15"/>
  <c r="H1230" i="15" s="1"/>
  <c r="K1231" i="15"/>
  <c r="H1231" i="15" s="1"/>
  <c r="K1232" i="15"/>
  <c r="H1232" i="15" s="1"/>
  <c r="K1233" i="15"/>
  <c r="H1233" i="15" s="1"/>
  <c r="K1234" i="15"/>
  <c r="H1234" i="15" s="1"/>
  <c r="K1235" i="15"/>
  <c r="H1235" i="15" s="1"/>
  <c r="K1236" i="15"/>
  <c r="H1236" i="15" s="1"/>
  <c r="K1237" i="15"/>
  <c r="H1237" i="15" s="1"/>
  <c r="K1238" i="15"/>
  <c r="H1238" i="15" s="1"/>
  <c r="K1239" i="15"/>
  <c r="H1239" i="15" s="1"/>
  <c r="K1240" i="15"/>
  <c r="H1240" i="15" s="1"/>
  <c r="K1241" i="15"/>
  <c r="H1241" i="15" s="1"/>
  <c r="K1242" i="15"/>
  <c r="H1242" i="15" s="1"/>
  <c r="K1243" i="15"/>
  <c r="H1243" i="15" s="1"/>
  <c r="K1244" i="15"/>
  <c r="H1244" i="15" s="1"/>
  <c r="K1245" i="15"/>
  <c r="H1245" i="15" s="1"/>
  <c r="K1246" i="15"/>
  <c r="H1246" i="15" s="1"/>
  <c r="K1247" i="15"/>
  <c r="H1247" i="15" s="1"/>
  <c r="K1248" i="15"/>
  <c r="H1248" i="15" s="1"/>
  <c r="K1249" i="15"/>
  <c r="H1249" i="15" s="1"/>
  <c r="K1250" i="15"/>
  <c r="H1250" i="15" s="1"/>
  <c r="K1251" i="15"/>
  <c r="H1251" i="15" s="1"/>
  <c r="K1252" i="15"/>
  <c r="H1252" i="15" s="1"/>
  <c r="K1253" i="15"/>
  <c r="H1253" i="15" s="1"/>
  <c r="K1258" i="15"/>
  <c r="H1258" i="15" s="1"/>
  <c r="K1259" i="15"/>
  <c r="H1259" i="15" s="1"/>
  <c r="K1260" i="15"/>
  <c r="H1260" i="15" s="1"/>
  <c r="K1261" i="15"/>
  <c r="H1261" i="15" s="1"/>
  <c r="K1262" i="15"/>
  <c r="H1262" i="15" s="1"/>
  <c r="K1263" i="15"/>
  <c r="H1263" i="15" s="1"/>
  <c r="K1264" i="15"/>
  <c r="H1264" i="15" s="1"/>
  <c r="K1265" i="15"/>
  <c r="H1265" i="15" s="1"/>
  <c r="K1266" i="15"/>
  <c r="H1266" i="15" s="1"/>
  <c r="K1269" i="15"/>
  <c r="H1269" i="15" s="1"/>
  <c r="K1270" i="15"/>
  <c r="H1270" i="15" s="1"/>
  <c r="K1271" i="15"/>
  <c r="H1271" i="15" s="1"/>
  <c r="K1272" i="15"/>
  <c r="H1272" i="15" s="1"/>
  <c r="K1273" i="15"/>
  <c r="H1273" i="15" s="1"/>
  <c r="K1274" i="15"/>
  <c r="H1274" i="15" s="1"/>
  <c r="K1275" i="15"/>
  <c r="H1275" i="15" s="1"/>
  <c r="K1276" i="15"/>
  <c r="H1276" i="15" s="1"/>
  <c r="K1277" i="15"/>
  <c r="H1277" i="15" s="1"/>
  <c r="K1278" i="15"/>
  <c r="H1278" i="15" s="1"/>
  <c r="K1279" i="15"/>
  <c r="H1279" i="15" s="1"/>
  <c r="K1280" i="15"/>
  <c r="H1280" i="15" s="1"/>
  <c r="K1283" i="15"/>
  <c r="H1283" i="15" s="1"/>
  <c r="K1284" i="15"/>
  <c r="H1284" i="15" s="1"/>
  <c r="K1285" i="15"/>
  <c r="H1285" i="15" s="1"/>
  <c r="K1286" i="15"/>
  <c r="H1286" i="15" s="1"/>
  <c r="K1287" i="15"/>
  <c r="H1287" i="15" s="1"/>
  <c r="K1288" i="15"/>
  <c r="H1288" i="15" s="1"/>
  <c r="K1292" i="15"/>
  <c r="H1292" i="15" s="1"/>
  <c r="K1293" i="15"/>
  <c r="H1293" i="15" s="1"/>
  <c r="K1294" i="15"/>
  <c r="H1294" i="15" s="1"/>
  <c r="K1295" i="15"/>
  <c r="H1295" i="15" s="1"/>
  <c r="K1296" i="15"/>
  <c r="H1296" i="15" s="1"/>
  <c r="K1299" i="15"/>
  <c r="H1299" i="15" s="1"/>
  <c r="K1300" i="15"/>
  <c r="H1300" i="15" s="1"/>
  <c r="K1301" i="15"/>
  <c r="H1301" i="15" s="1"/>
  <c r="K1302" i="15"/>
  <c r="H1302" i="15" s="1"/>
  <c r="K1307" i="15"/>
  <c r="H1307" i="15" s="1"/>
  <c r="K1308" i="15"/>
  <c r="H1308" i="15" s="1"/>
  <c r="K1309" i="15"/>
  <c r="H1309" i="15" s="1"/>
  <c r="K1310" i="15"/>
  <c r="H1310" i="15" s="1"/>
  <c r="K1311" i="15"/>
  <c r="H1311" i="15" s="1"/>
  <c r="K1312" i="15"/>
  <c r="H1312" i="15" s="1"/>
  <c r="K1313" i="15"/>
  <c r="H1313" i="15" s="1"/>
  <c r="K1314" i="15"/>
  <c r="H1314" i="15" s="1"/>
  <c r="K1317" i="15"/>
  <c r="H1317" i="15" s="1"/>
  <c r="K1318" i="15"/>
  <c r="H1318" i="15" s="1"/>
  <c r="K1319" i="15"/>
  <c r="H1319" i="15" s="1"/>
  <c r="K1320" i="15"/>
  <c r="H1320" i="15" s="1"/>
  <c r="K1321" i="15"/>
  <c r="H1321" i="15" s="1"/>
  <c r="K1322" i="15"/>
  <c r="H1322" i="15" s="1"/>
  <c r="K1323" i="15"/>
  <c r="H1323" i="15" s="1"/>
  <c r="K1324" i="15"/>
  <c r="H1324" i="15" s="1"/>
  <c r="K1325" i="15"/>
  <c r="H1325" i="15" s="1"/>
  <c r="K1326" i="15"/>
  <c r="H1326" i="15" s="1"/>
  <c r="K1327" i="15"/>
  <c r="H1327" i="15" s="1"/>
  <c r="K1331" i="15"/>
  <c r="H1331" i="15" s="1"/>
  <c r="K1332" i="15"/>
  <c r="H1332" i="15" s="1"/>
  <c r="K1333" i="15"/>
  <c r="H1333" i="15" s="1"/>
  <c r="K1334" i="15"/>
  <c r="H1334" i="15" s="1"/>
  <c r="K1335" i="15"/>
  <c r="H1335" i="15" s="1"/>
  <c r="K1336" i="15"/>
  <c r="H1336" i="15" s="1"/>
  <c r="K1337" i="15"/>
  <c r="H1337" i="15" s="1"/>
  <c r="K1338" i="15"/>
  <c r="H1338" i="15" s="1"/>
  <c r="K1339" i="15"/>
  <c r="H1339" i="15" s="1"/>
  <c r="K1343" i="15"/>
  <c r="H1343" i="15" s="1"/>
  <c r="K1344" i="15"/>
  <c r="H1344" i="15" s="1"/>
  <c r="K1345" i="15"/>
  <c r="H1345" i="15" s="1"/>
  <c r="K1346" i="15"/>
  <c r="H1346" i="15" s="1"/>
  <c r="K1347" i="15"/>
  <c r="H1347" i="15" s="1"/>
  <c r="K1348" i="15"/>
  <c r="H1348" i="15" s="1"/>
  <c r="K1349" i="15"/>
  <c r="H1349" i="15" s="1"/>
  <c r="K1353" i="15"/>
  <c r="H1353" i="15" s="1"/>
  <c r="K1354" i="15"/>
  <c r="H1354" i="15" s="1"/>
  <c r="K1355" i="15"/>
  <c r="H1355" i="15" s="1"/>
  <c r="K1356" i="15"/>
  <c r="H1356" i="15" s="1"/>
  <c r="K1357" i="15"/>
  <c r="H1357" i="15" s="1"/>
  <c r="K1358" i="15"/>
  <c r="H1358" i="15" s="1"/>
  <c r="K1359" i="15"/>
  <c r="H1359" i="15" s="1"/>
  <c r="K1360" i="15"/>
  <c r="H1360" i="15" s="1"/>
  <c r="K1361" i="15"/>
  <c r="H1361" i="15" s="1"/>
  <c r="K1362" i="15"/>
  <c r="H1362" i="15" s="1"/>
  <c r="K1367" i="15"/>
  <c r="H1367" i="15" s="1"/>
  <c r="K1369" i="15"/>
  <c r="H1369" i="15" s="1"/>
  <c r="K1370" i="15"/>
  <c r="H1370" i="15" s="1"/>
  <c r="K1371" i="15"/>
  <c r="H1371" i="15" s="1"/>
  <c r="K1372" i="15"/>
  <c r="H1372" i="15" s="1"/>
  <c r="K1373" i="15"/>
  <c r="H1373" i="15" s="1"/>
  <c r="K1374" i="15"/>
  <c r="H1374" i="15" s="1"/>
  <c r="K1375" i="15"/>
  <c r="H1375" i="15" s="1"/>
  <c r="K1376" i="15"/>
  <c r="H1376" i="15" s="1"/>
  <c r="K1377" i="15"/>
  <c r="H1377" i="15" s="1"/>
  <c r="K1378" i="15"/>
  <c r="H1378" i="15" s="1"/>
  <c r="K1379" i="15"/>
  <c r="H1379" i="15" s="1"/>
  <c r="K1381" i="15"/>
  <c r="H1381" i="15" s="1"/>
  <c r="K1382" i="15"/>
  <c r="H1382" i="15" s="1"/>
  <c r="K1383" i="15"/>
  <c r="H1383" i="15" s="1"/>
  <c r="K1384" i="15"/>
  <c r="H1384" i="15" s="1"/>
  <c r="K1385" i="15"/>
  <c r="H1385" i="15" s="1"/>
  <c r="K1386" i="15"/>
  <c r="H1386" i="15" s="1"/>
  <c r="K1387" i="15"/>
  <c r="H1387" i="15" s="1"/>
  <c r="K1388" i="15"/>
  <c r="H1388" i="15" s="1"/>
  <c r="K1389" i="15"/>
  <c r="H1389" i="15" s="1"/>
  <c r="K1390" i="15"/>
  <c r="H1390" i="15" s="1"/>
  <c r="K1391" i="15"/>
  <c r="H1391" i="15" s="1"/>
  <c r="K1392" i="15"/>
  <c r="H1392" i="15" s="1"/>
  <c r="K1395" i="15"/>
  <c r="H1395" i="15" s="1"/>
  <c r="K1396" i="15"/>
  <c r="H1396" i="15" s="1"/>
  <c r="K1397" i="15"/>
  <c r="H1397" i="15" s="1"/>
  <c r="K1400" i="15"/>
  <c r="H1400" i="15" s="1"/>
  <c r="K1403" i="15"/>
  <c r="H1403" i="15" s="1"/>
  <c r="K1404" i="15"/>
  <c r="H1404" i="15" s="1"/>
  <c r="K1406" i="15"/>
  <c r="H1406" i="15" s="1"/>
  <c r="K1407" i="15"/>
  <c r="H1407" i="15" s="1"/>
  <c r="K1408" i="15"/>
  <c r="H1408" i="15" s="1"/>
  <c r="K1413" i="15"/>
  <c r="H1413" i="15" s="1"/>
  <c r="K1414" i="15"/>
  <c r="H1414" i="15" s="1"/>
  <c r="K1417" i="15"/>
  <c r="H1417" i="15" s="1"/>
  <c r="K1419" i="15"/>
  <c r="H1419" i="15" s="1"/>
  <c r="K1420" i="15"/>
  <c r="H1420" i="15" s="1"/>
  <c r="K1421" i="15"/>
  <c r="H1421" i="15" s="1"/>
  <c r="K1422" i="15"/>
  <c r="H1422" i="15" s="1"/>
  <c r="K1423" i="15"/>
  <c r="H1423" i="15" s="1"/>
  <c r="K1424" i="15"/>
  <c r="H1424" i="15" s="1"/>
  <c r="K1427" i="15"/>
  <c r="H1427" i="15" s="1"/>
  <c r="K1428" i="15"/>
  <c r="H1428" i="15" s="1"/>
  <c r="K1429" i="15"/>
  <c r="H1429" i="15" s="1"/>
  <c r="K1430" i="15"/>
  <c r="H1430" i="15" s="1"/>
  <c r="K1431" i="15"/>
  <c r="H1431" i="15" s="1"/>
  <c r="K1432" i="15"/>
  <c r="H1432" i="15" s="1"/>
  <c r="H1447" i="15"/>
  <c r="K1433" i="15"/>
  <c r="H1433" i="15" s="1"/>
  <c r="K1434" i="15"/>
  <c r="H1434" i="15" s="1"/>
  <c r="K1435" i="15"/>
  <c r="H1435" i="15" s="1"/>
  <c r="K1438" i="15"/>
  <c r="H1438" i="15" s="1"/>
  <c r="K1439" i="15"/>
  <c r="H1439" i="15" s="1"/>
  <c r="K1440" i="15"/>
  <c r="H1440" i="15" s="1"/>
  <c r="K1441" i="15"/>
  <c r="H1441" i="15" s="1"/>
  <c r="K1443" i="15"/>
  <c r="H1443" i="15" s="1"/>
  <c r="K1445" i="15"/>
  <c r="H1445" i="15" s="1"/>
  <c r="K1446" i="15"/>
  <c r="H1446" i="15" s="1"/>
  <c r="K1450" i="15"/>
  <c r="H1450" i="15" s="1"/>
  <c r="K1451" i="15"/>
  <c r="H1451" i="15" s="1"/>
  <c r="K1452" i="15"/>
  <c r="H1452" i="15" s="1"/>
  <c r="K1453" i="15"/>
  <c r="H1453" i="15" s="1"/>
  <c r="K1455" i="15"/>
  <c r="H1455" i="15" s="1"/>
  <c r="K1456" i="15"/>
  <c r="H1456" i="15" s="1"/>
  <c r="K1457" i="15"/>
  <c r="H1457" i="15" s="1"/>
  <c r="K1458" i="15"/>
  <c r="H1458" i="15" s="1"/>
  <c r="K1459" i="15"/>
  <c r="H1459" i="15" s="1"/>
  <c r="K1460" i="15"/>
  <c r="H1460" i="15" s="1"/>
  <c r="K1463" i="15"/>
  <c r="H1463" i="15" s="1"/>
  <c r="K1464" i="15"/>
  <c r="H1464" i="15" s="1"/>
  <c r="K1465" i="15"/>
  <c r="H1465" i="15" s="1"/>
  <c r="K1466" i="15"/>
  <c r="H1466" i="15" s="1"/>
  <c r="K1467" i="15"/>
  <c r="H1467" i="15" s="1"/>
  <c r="K1468" i="15"/>
  <c r="H1468" i="15" s="1"/>
  <c r="K1471" i="15"/>
  <c r="H1471" i="15" s="1"/>
  <c r="K1472" i="15"/>
  <c r="H1472" i="15" s="1"/>
  <c r="K1477" i="15"/>
  <c r="H1477" i="15" s="1"/>
  <c r="K1478" i="15"/>
  <c r="H1478" i="15" s="1"/>
  <c r="K1480" i="15"/>
  <c r="H1480" i="15" s="1"/>
  <c r="K1481" i="15"/>
  <c r="H1481" i="15" s="1"/>
  <c r="K1482" i="15"/>
  <c r="H1482" i="15" s="1"/>
  <c r="K1483" i="15"/>
  <c r="H1483" i="15" s="1"/>
  <c r="K1484" i="15"/>
  <c r="H1484" i="15" s="1"/>
  <c r="K1494" i="15"/>
  <c r="H1494" i="15" s="1"/>
  <c r="K1499" i="15"/>
  <c r="H1499" i="15" s="1"/>
  <c r="K1500" i="15"/>
  <c r="H1500" i="15" s="1"/>
  <c r="K1501" i="15"/>
  <c r="H1501" i="15" s="1"/>
  <c r="K1509" i="15"/>
  <c r="H1509" i="15" s="1"/>
  <c r="H1493" i="15"/>
  <c r="H1490" i="15"/>
  <c r="K1510" i="15"/>
  <c r="H1510" i="15" s="1"/>
  <c r="K1511" i="15"/>
  <c r="H1511" i="15" s="1"/>
  <c r="K1512" i="15"/>
  <c r="H1512" i="15" s="1"/>
  <c r="K1533" i="15"/>
  <c r="H1533" i="15" s="1"/>
  <c r="K1524" i="15"/>
  <c r="H1524" i="15" s="1"/>
  <c r="H1508" i="15"/>
  <c r="K1534" i="15"/>
  <c r="H1534" i="15" s="1"/>
  <c r="K1535" i="15"/>
  <c r="H1535" i="15" s="1"/>
  <c r="K1530" i="15"/>
  <c r="H1530" i="15" s="1"/>
  <c r="K1543" i="15"/>
  <c r="H1543" i="15" s="1"/>
  <c r="K1544" i="15"/>
  <c r="H1544" i="15" s="1"/>
  <c r="H1519" i="15"/>
  <c r="H1531" i="15"/>
  <c r="H1529" i="15"/>
  <c r="H1542" i="15"/>
  <c r="K1549" i="15"/>
  <c r="H1549" i="15" s="1"/>
  <c r="K1550" i="15"/>
  <c r="H1550" i="15" s="1"/>
  <c r="K1551" i="15"/>
  <c r="H1551" i="15" s="1"/>
  <c r="K1554" i="15"/>
  <c r="H1554" i="15" s="1"/>
  <c r="K1548" i="15"/>
  <c r="H1548" i="15" s="1"/>
  <c r="K1555" i="15"/>
  <c r="H1555" i="15" s="1"/>
  <c r="K1545" i="15"/>
  <c r="H1545" i="15" s="1"/>
  <c r="K1546" i="15"/>
  <c r="H1546" i="15" s="1"/>
  <c r="K1556" i="15"/>
  <c r="H1556" i="15" s="1"/>
  <c r="K1557" i="15"/>
  <c r="H1557" i="15" s="1"/>
  <c r="K1558" i="15"/>
  <c r="H1558" i="15" s="1"/>
  <c r="K1559" i="15"/>
  <c r="H1559" i="15" s="1"/>
  <c r="K1560" i="15"/>
  <c r="H1560" i="15" s="1"/>
  <c r="K1561" i="15"/>
  <c r="H1561" i="15" s="1"/>
  <c r="K1562" i="15"/>
  <c r="H1562" i="15" s="1"/>
  <c r="K1563" i="15"/>
  <c r="H1563" i="15" s="1"/>
  <c r="K1564" i="15"/>
  <c r="H1564" i="15" s="1"/>
  <c r="K1565" i="15"/>
  <c r="H1565" i="15" s="1"/>
  <c r="K1566" i="15"/>
  <c r="H1566" i="15" s="1"/>
  <c r="K1567" i="15"/>
  <c r="H1567" i="15" s="1"/>
  <c r="K1568" i="15"/>
  <c r="H1568" i="15" s="1"/>
  <c r="K1569" i="15"/>
  <c r="H1569" i="15" s="1"/>
  <c r="K1570" i="15"/>
  <c r="H1570" i="15" s="1"/>
  <c r="K1571" i="15"/>
  <c r="H1571" i="15" s="1"/>
  <c r="K1572" i="15"/>
  <c r="H1572" i="15" s="1"/>
  <c r="K1573" i="15"/>
  <c r="H1573" i="15" s="1"/>
  <c r="K1574" i="15"/>
  <c r="H1574" i="15" s="1"/>
  <c r="K1575" i="15"/>
  <c r="H1575" i="15" s="1"/>
  <c r="K1576" i="15"/>
  <c r="H1576" i="15" s="1"/>
  <c r="K1577" i="15"/>
  <c r="H1577" i="15" s="1"/>
  <c r="K1578" i="15"/>
  <c r="H1578" i="15" s="1"/>
  <c r="K1579" i="15"/>
  <c r="H1579" i="15" s="1"/>
  <c r="K1580" i="15"/>
  <c r="H1580" i="15" s="1"/>
  <c r="K1581" i="15"/>
  <c r="H1581" i="15" s="1"/>
  <c r="K1582" i="15"/>
  <c r="H1582" i="15" s="1"/>
  <c r="K1583" i="15"/>
  <c r="H1583" i="15" s="1"/>
  <c r="K1584" i="15"/>
  <c r="H1584" i="15" s="1"/>
  <c r="K1585" i="15"/>
  <c r="H1585" i="15" s="1"/>
  <c r="K1586" i="15"/>
  <c r="H1586" i="15" s="1"/>
  <c r="K1587" i="15"/>
  <c r="H1587" i="15" s="1"/>
  <c r="K1588" i="15"/>
  <c r="H1588" i="15" s="1"/>
  <c r="K1589" i="15"/>
  <c r="H1589" i="15" s="1"/>
  <c r="K1590" i="15"/>
  <c r="H1590" i="15" s="1"/>
  <c r="K1591" i="15"/>
  <c r="H1591" i="15" s="1"/>
  <c r="K1592" i="15"/>
  <c r="H1592" i="15" s="1"/>
  <c r="K1593" i="15"/>
  <c r="H1593" i="15" s="1"/>
  <c r="K1594" i="15"/>
  <c r="H1594" i="15" s="1"/>
  <c r="K1595" i="15"/>
  <c r="H1595" i="15" s="1"/>
  <c r="K1596" i="15"/>
  <c r="H1596" i="15" s="1"/>
  <c r="K1597" i="15"/>
  <c r="H1597" i="15" s="1"/>
  <c r="K1598" i="15"/>
  <c r="H1598" i="15" s="1"/>
  <c r="K1599" i="15"/>
  <c r="H1599" i="15" s="1"/>
  <c r="K1600" i="15"/>
  <c r="H1600" i="15" s="1"/>
  <c r="K1601" i="15"/>
  <c r="H1601" i="15" s="1"/>
  <c r="K1602" i="15"/>
  <c r="H1602" i="15" s="1"/>
  <c r="K1603" i="15"/>
  <c r="H1603" i="15" s="1"/>
  <c r="K1604" i="15"/>
  <c r="H1604" i="15" s="1"/>
  <c r="K1605" i="15"/>
  <c r="H1605" i="15" s="1"/>
  <c r="K1606" i="15"/>
  <c r="H1606" i="15" s="1"/>
  <c r="K1607" i="15"/>
  <c r="H1607" i="15" s="1"/>
  <c r="K1608" i="15"/>
  <c r="H1608" i="15" s="1"/>
  <c r="K1609" i="15"/>
  <c r="H1609" i="15" s="1"/>
  <c r="K1610" i="15"/>
  <c r="H1610" i="15" s="1"/>
  <c r="K1611" i="15"/>
  <c r="H1611" i="15" s="1"/>
  <c r="K1612" i="15"/>
  <c r="H1612" i="15" s="1"/>
  <c r="K1613" i="15"/>
  <c r="H1613" i="15" s="1"/>
  <c r="K1614" i="15"/>
  <c r="H1614" i="15" s="1"/>
  <c r="K1615" i="15"/>
  <c r="H1615" i="15" s="1"/>
  <c r="K1616" i="15"/>
  <c r="H1616" i="15" s="1"/>
  <c r="K1617" i="15"/>
  <c r="H1617" i="15" s="1"/>
  <c r="K1618" i="15"/>
  <c r="H1618" i="15" s="1"/>
  <c r="K1619" i="15"/>
  <c r="H1619" i="15" s="1"/>
  <c r="K1620" i="15"/>
  <c r="H1620" i="15" s="1"/>
  <c r="K1621" i="15"/>
  <c r="H1621" i="15" s="1"/>
  <c r="K1622" i="15"/>
  <c r="H1622" i="15" s="1"/>
  <c r="K1623" i="15"/>
  <c r="H1623" i="15" s="1"/>
  <c r="K1624" i="15"/>
  <c r="H1624" i="15" s="1"/>
  <c r="K1625" i="15"/>
  <c r="H1625" i="15" s="1"/>
  <c r="K1626" i="15"/>
  <c r="H1626" i="15" s="1"/>
  <c r="K1627" i="15"/>
  <c r="H1627" i="15" s="1"/>
  <c r="K1628" i="15"/>
  <c r="H1628" i="15" s="1"/>
  <c r="K1629" i="15"/>
  <c r="H1629" i="15" s="1"/>
  <c r="K1630" i="15"/>
  <c r="H1630" i="15" s="1"/>
  <c r="K1631" i="15"/>
  <c r="H1631" i="15" s="1"/>
  <c r="K1632" i="15"/>
  <c r="H1632" i="15" s="1"/>
  <c r="K1633" i="15"/>
  <c r="H1633" i="15" s="1"/>
  <c r="K1634" i="15"/>
  <c r="H1634" i="15" s="1"/>
  <c r="K1635" i="15"/>
  <c r="H1635" i="15" s="1"/>
  <c r="K1636" i="15"/>
  <c r="H1636" i="15" s="1"/>
  <c r="K1637" i="15"/>
  <c r="H1637" i="15" s="1"/>
  <c r="K1638" i="15"/>
  <c r="H1638" i="15" s="1"/>
  <c r="K1639" i="15"/>
  <c r="H1639" i="15" s="1"/>
  <c r="K1640" i="15"/>
  <c r="H1640" i="15" s="1"/>
  <c r="K4" i="15"/>
  <c r="H4" i="15" s="1"/>
  <c r="O1624" i="15"/>
  <c r="O1623" i="15"/>
  <c r="O1629" i="15"/>
  <c r="O1619" i="15"/>
  <c r="O1617" i="15"/>
  <c r="O1640" i="15"/>
  <c r="O1572" i="15"/>
  <c r="O1565" i="15"/>
  <c r="O1606" i="15"/>
  <c r="O1604" i="15"/>
  <c r="O1601" i="15"/>
  <c r="O1598" i="15"/>
  <c r="O1595" i="15"/>
  <c r="O1583" i="15"/>
  <c r="O1589" i="15"/>
  <c r="O1586" i="15"/>
  <c r="O733" i="15"/>
  <c r="O724" i="15"/>
  <c r="O1381" i="15"/>
  <c r="O1371" i="15"/>
  <c r="O1533" i="15"/>
  <c r="O1499" i="15"/>
  <c r="O1543" i="15"/>
  <c r="O1464" i="15"/>
  <c r="O1450" i="15"/>
  <c r="O1438" i="15"/>
  <c r="O1407" i="15"/>
  <c r="O1395" i="15"/>
  <c r="O1343" i="15"/>
  <c r="O1192" i="15"/>
  <c r="O1186" i="15"/>
  <c r="O1292" i="15"/>
  <c r="O1270" i="15"/>
  <c r="O1318" i="15"/>
  <c r="O1229" i="15"/>
  <c r="O785" i="15"/>
  <c r="O768" i="15"/>
  <c r="O1173" i="15"/>
  <c r="O1145" i="15"/>
  <c r="O1136" i="15"/>
  <c r="O1164" i="15"/>
  <c r="O1153" i="15"/>
  <c r="O1129" i="15"/>
  <c r="O1124" i="15"/>
  <c r="O1116" i="15"/>
  <c r="O1103" i="15"/>
  <c r="O1094" i="15"/>
  <c r="O1048" i="15"/>
  <c r="O1030" i="15"/>
  <c r="O1081" i="15"/>
  <c r="O1070" i="15"/>
  <c r="O1058" i="15"/>
  <c r="O997" i="15"/>
  <c r="O954" i="15"/>
  <c r="O932" i="15"/>
  <c r="O855" i="15"/>
  <c r="O843" i="15"/>
  <c r="O899" i="15"/>
  <c r="O871" i="15"/>
  <c r="O824" i="15"/>
  <c r="O816" i="15"/>
  <c r="O760" i="15"/>
  <c r="O752" i="15"/>
  <c r="O799" i="15"/>
  <c r="O450" i="15"/>
  <c r="O440" i="15"/>
  <c r="O652" i="15"/>
  <c r="O649" i="15"/>
  <c r="O706" i="15"/>
  <c r="O700" i="15"/>
  <c r="O685" i="15"/>
  <c r="O675" i="15"/>
  <c r="O662" i="15"/>
  <c r="O638" i="15"/>
  <c r="O631" i="15"/>
  <c r="O619" i="15"/>
  <c r="O571" i="15"/>
  <c r="O554" i="15"/>
  <c r="O612" i="15"/>
  <c r="O606" i="15"/>
  <c r="O601" i="15"/>
  <c r="O596" i="15"/>
  <c r="O578" i="15"/>
  <c r="O540" i="15"/>
  <c r="O518" i="15"/>
  <c r="O507" i="15"/>
  <c r="O499" i="15"/>
  <c r="O535" i="15"/>
  <c r="O529" i="15"/>
  <c r="O487" i="15"/>
  <c r="O477" i="15"/>
  <c r="O469" i="15"/>
  <c r="O464" i="15"/>
  <c r="E456" i="15" s="1"/>
  <c r="O155" i="15"/>
  <c r="O121" i="15"/>
  <c r="O311" i="15"/>
  <c r="O296" i="15"/>
  <c r="O382" i="15"/>
  <c r="O361" i="15"/>
  <c r="O420" i="15"/>
  <c r="O413" i="15"/>
  <c r="O4" i="15"/>
  <c r="O403" i="15"/>
  <c r="O354" i="15"/>
  <c r="O337" i="15"/>
  <c r="E316" i="15" s="1"/>
  <c r="O278" i="15"/>
  <c r="O259" i="15"/>
  <c r="O310" i="15"/>
  <c r="O206" i="15"/>
  <c r="O198" i="15"/>
  <c r="O238" i="15"/>
  <c r="O226" i="15"/>
  <c r="O178" i="15"/>
  <c r="O76" i="15"/>
  <c r="O13" i="15"/>
  <c r="O26" i="15"/>
  <c r="O1628" i="15"/>
  <c r="O1616" i="15"/>
  <c r="O1615" i="15"/>
  <c r="O1597" i="15"/>
  <c r="O1585" i="15"/>
  <c r="O1564" i="15"/>
  <c r="O1563" i="15"/>
  <c r="O1562" i="15"/>
  <c r="O1561" i="15"/>
  <c r="O1463" i="15"/>
  <c r="O1406" i="15"/>
  <c r="O1370" i="15"/>
  <c r="O1369" i="15"/>
  <c r="O1317" i="15"/>
  <c r="O1269" i="15"/>
  <c r="O1135" i="15"/>
  <c r="O1151" i="15"/>
  <c r="O1185" i="15"/>
  <c r="O1184" i="15"/>
  <c r="O1115" i="15"/>
  <c r="O1113" i="15"/>
  <c r="O1080" i="15"/>
  <c r="O1057" i="15"/>
  <c r="O869" i="15"/>
  <c r="O898" i="15"/>
  <c r="O930" i="15"/>
  <c r="O931" i="15"/>
  <c r="O929" i="15"/>
  <c r="O952" i="15"/>
  <c r="O995" i="15"/>
  <c r="O1029" i="15"/>
  <c r="O1028" i="15"/>
  <c r="O1027" i="15"/>
  <c r="O1025" i="15"/>
  <c r="O842" i="15"/>
  <c r="O841" i="15"/>
  <c r="O783" i="15"/>
  <c r="O747" i="15"/>
  <c r="O723" i="15"/>
  <c r="O722" i="15"/>
  <c r="O721" i="15"/>
  <c r="O698" i="15"/>
  <c r="O674" i="15"/>
  <c r="O648" i="15"/>
  <c r="O642" i="15"/>
  <c r="O623" i="15"/>
  <c r="O618" i="15"/>
  <c r="O595" i="15"/>
  <c r="O498" i="15"/>
  <c r="O553" i="15"/>
  <c r="O552" i="15"/>
  <c r="O336" i="15"/>
  <c r="O335" i="15"/>
  <c r="O353" i="15"/>
  <c r="O381" i="15"/>
  <c r="O402" i="15"/>
  <c r="O401" i="15"/>
  <c r="O412" i="15"/>
  <c r="O419" i="15"/>
  <c r="O439" i="15"/>
  <c r="O437" i="15"/>
  <c r="O436" i="15"/>
  <c r="O295" i="15"/>
  <c r="O294" i="15"/>
  <c r="O293" i="15"/>
  <c r="O258" i="15"/>
  <c r="O197" i="15"/>
  <c r="O196" i="15"/>
  <c r="O177" i="15"/>
  <c r="O153" i="15"/>
  <c r="O154" i="15"/>
  <c r="I4" i="16"/>
  <c r="F1394" i="15" l="1"/>
  <c r="E1394" i="15"/>
  <c r="F1393" i="15"/>
  <c r="E1393" i="15"/>
  <c r="E1398" i="15"/>
  <c r="F1399" i="15"/>
  <c r="F1398" i="15"/>
  <c r="E1399" i="15"/>
  <c r="F696" i="15"/>
  <c r="E696" i="15"/>
  <c r="F683" i="15"/>
  <c r="E683" i="15"/>
  <c r="F684" i="15"/>
  <c r="E684" i="15"/>
  <c r="F471" i="15"/>
  <c r="F316" i="15"/>
  <c r="E471" i="15"/>
  <c r="F646" i="15"/>
  <c r="F643" i="15"/>
  <c r="F456" i="15"/>
  <c r="E646" i="15"/>
  <c r="E643" i="15"/>
  <c r="F632" i="15"/>
  <c r="E632" i="15"/>
  <c r="F633" i="15"/>
  <c r="E633" i="15"/>
  <c r="E644" i="15"/>
  <c r="F644" i="15"/>
  <c r="F532" i="15"/>
  <c r="F533" i="15"/>
  <c r="F535" i="15"/>
  <c r="E533" i="15"/>
  <c r="F551" i="15"/>
  <c r="E550" i="15"/>
  <c r="E551" i="15"/>
  <c r="F550" i="15"/>
  <c r="E380" i="15"/>
  <c r="F379" i="15"/>
  <c r="E379" i="15"/>
  <c r="F380" i="15"/>
  <c r="E808" i="15"/>
  <c r="F808" i="15"/>
  <c r="F527" i="15"/>
  <c r="E527" i="15"/>
  <c r="F569" i="15"/>
  <c r="E569" i="15"/>
  <c r="F455" i="15"/>
  <c r="F462" i="15"/>
  <c r="E462" i="15"/>
  <c r="F467" i="15"/>
  <c r="E467" i="15"/>
  <c r="E771" i="15"/>
  <c r="F466" i="15"/>
  <c r="F472" i="15"/>
  <c r="E466" i="15"/>
  <c r="E465" i="15"/>
  <c r="F469" i="15"/>
  <c r="F468" i="15"/>
  <c r="F470" i="15"/>
  <c r="E468" i="15"/>
  <c r="E476" i="15"/>
  <c r="F475" i="15"/>
  <c r="F476" i="15"/>
  <c r="E475" i="15"/>
  <c r="F496" i="15"/>
  <c r="E496" i="15"/>
  <c r="E485" i="15"/>
  <c r="F485" i="15"/>
  <c r="E542" i="15"/>
  <c r="F543" i="15"/>
  <c r="E541" i="15"/>
  <c r="F544" i="15"/>
  <c r="F541" i="15"/>
  <c r="E543" i="15"/>
  <c r="F542" i="15"/>
  <c r="F555" i="15"/>
  <c r="F556" i="15"/>
  <c r="E555" i="15"/>
  <c r="E556" i="15"/>
  <c r="F628" i="15"/>
  <c r="F625" i="15"/>
  <c r="F627" i="15"/>
  <c r="F626" i="15"/>
  <c r="F621" i="15"/>
  <c r="E621" i="15"/>
  <c r="F505" i="15"/>
  <c r="E505" i="15"/>
  <c r="F516" i="15"/>
  <c r="E516" i="15"/>
  <c r="F697" i="15"/>
  <c r="E697" i="15"/>
  <c r="F695" i="15"/>
  <c r="E695" i="15"/>
  <c r="E694" i="15"/>
  <c r="F698" i="15"/>
  <c r="F691" i="15"/>
  <c r="F694" i="15"/>
  <c r="F834" i="15"/>
  <c r="F832" i="15"/>
  <c r="E832" i="15"/>
  <c r="E834" i="15"/>
  <c r="F771" i="15"/>
  <c r="E754" i="15"/>
  <c r="F772" i="15"/>
  <c r="E772" i="15"/>
  <c r="E775" i="15"/>
  <c r="F773" i="15"/>
  <c r="E773" i="15"/>
  <c r="F775" i="15"/>
  <c r="F792" i="15"/>
  <c r="E792" i="15"/>
  <c r="F818" i="15"/>
  <c r="F787" i="15"/>
  <c r="F794" i="15"/>
  <c r="E794" i="15"/>
  <c r="F806" i="15"/>
  <c r="F804" i="15"/>
  <c r="E806" i="15"/>
  <c r="E804" i="15"/>
  <c r="F805" i="15"/>
  <c r="F809" i="15"/>
  <c r="E805" i="15"/>
  <c r="E802" i="15"/>
  <c r="F836" i="15"/>
  <c r="E837" i="15"/>
  <c r="E836" i="15"/>
  <c r="F837" i="15"/>
  <c r="F1118" i="15"/>
  <c r="E1118" i="15"/>
  <c r="E1298" i="15"/>
  <c r="E1010" i="15"/>
  <c r="E1014" i="15"/>
  <c r="E999" i="15"/>
  <c r="E1003" i="15"/>
  <c r="E1007" i="15"/>
  <c r="F1002" i="15"/>
  <c r="F1009" i="15"/>
  <c r="F1005" i="15"/>
  <c r="F1016" i="15"/>
  <c r="F1020" i="15"/>
  <c r="F1024" i="15"/>
  <c r="E1021" i="15"/>
  <c r="F1026" i="15"/>
  <c r="E1011" i="15"/>
  <c r="E1015" i="15"/>
  <c r="E1000" i="15"/>
  <c r="E1004" i="15"/>
  <c r="E1008" i="15"/>
  <c r="F1012" i="15"/>
  <c r="F1008" i="15"/>
  <c r="F1013" i="15"/>
  <c r="F1017" i="15"/>
  <c r="F1021" i="15"/>
  <c r="E1018" i="15"/>
  <c r="E1022" i="15"/>
  <c r="F1027" i="15"/>
  <c r="E1012" i="15"/>
  <c r="E1016" i="15"/>
  <c r="E1001" i="15"/>
  <c r="E1005" i="15"/>
  <c r="E1009" i="15"/>
  <c r="F1011" i="15"/>
  <c r="F1007" i="15"/>
  <c r="F1014" i="15"/>
  <c r="F1018" i="15"/>
  <c r="F1022" i="15"/>
  <c r="E1019" i="15"/>
  <c r="E1023" i="15"/>
  <c r="F1025" i="15"/>
  <c r="E1013" i="15"/>
  <c r="E1017" i="15"/>
  <c r="E1002" i="15"/>
  <c r="E1006" i="15"/>
  <c r="E998" i="15"/>
  <c r="F1010" i="15"/>
  <c r="F1006" i="15"/>
  <c r="F1015" i="15"/>
  <c r="F1019" i="15"/>
  <c r="F1023" i="15"/>
  <c r="E1020" i="15"/>
  <c r="E1024" i="15"/>
  <c r="E1025" i="15"/>
  <c r="F1436" i="15"/>
  <c r="F1437" i="15"/>
  <c r="E1436" i="15"/>
  <c r="E1437" i="15"/>
  <c r="F995" i="15"/>
  <c r="F1031" i="15"/>
  <c r="F1461" i="15"/>
  <c r="F1462" i="15"/>
  <c r="E1461" i="15"/>
  <c r="E1462" i="15"/>
  <c r="E1297" i="15"/>
  <c r="F1298" i="15"/>
  <c r="F1297" i="15"/>
  <c r="E1411" i="15"/>
  <c r="F1473" i="15"/>
  <c r="E1426" i="15"/>
  <c r="F1521" i="15"/>
  <c r="E1502" i="15"/>
  <c r="E1496" i="15"/>
  <c r="E1495" i="15"/>
  <c r="F1503" i="15"/>
  <c r="F1505" i="15"/>
  <c r="F1498" i="15"/>
  <c r="E1498" i="15"/>
  <c r="F1489" i="15"/>
  <c r="E1497" i="15"/>
  <c r="E1489" i="15"/>
  <c r="F1496" i="15"/>
  <c r="F1485" i="15"/>
  <c r="E1487" i="15"/>
  <c r="F1488" i="15"/>
  <c r="F1497" i="15"/>
  <c r="F1486" i="15"/>
  <c r="E1488" i="15"/>
  <c r="F1502" i="15"/>
  <c r="F1495" i="15"/>
  <c r="F1487" i="15"/>
  <c r="F1426" i="15"/>
  <c r="F1425" i="15"/>
  <c r="E1425" i="15"/>
  <c r="E1538" i="15"/>
  <c r="E1536" i="15"/>
  <c r="F1540" i="15"/>
  <c r="F1536" i="15"/>
  <c r="E1541" i="15"/>
  <c r="F1539" i="15"/>
  <c r="F1537" i="15"/>
  <c r="F1541" i="15"/>
  <c r="F1538" i="15"/>
  <c r="E1539" i="15"/>
  <c r="E1537" i="15"/>
  <c r="E1540" i="15"/>
  <c r="E1473" i="15"/>
  <c r="F1475" i="15"/>
  <c r="F1522" i="15"/>
  <c r="E1503" i="15"/>
  <c r="E1505" i="15"/>
  <c r="E1501" i="15"/>
  <c r="E1506" i="15"/>
  <c r="E1522" i="15"/>
  <c r="E1521" i="15"/>
  <c r="F1504" i="15"/>
  <c r="E1507" i="15"/>
  <c r="E1504" i="15"/>
  <c r="E1508" i="15"/>
  <c r="F1512" i="15"/>
  <c r="F1516" i="15"/>
  <c r="E1514" i="15"/>
  <c r="E1518" i="15"/>
  <c r="E1526" i="15"/>
  <c r="F1506" i="15"/>
  <c r="F1513" i="15"/>
  <c r="F1517" i="15"/>
  <c r="E1515" i="15"/>
  <c r="E1513" i="15"/>
  <c r="F1527" i="15"/>
  <c r="F1514" i="15"/>
  <c r="F1518" i="15"/>
  <c r="E1516" i="15"/>
  <c r="E1527" i="15"/>
  <c r="F1510" i="15"/>
  <c r="F1515" i="15"/>
  <c r="F1519" i="15"/>
  <c r="E1517" i="15"/>
  <c r="F1526" i="15"/>
  <c r="E1525" i="15"/>
  <c r="E1409" i="15"/>
  <c r="F1411" i="15"/>
  <c r="F1402" i="15"/>
  <c r="F1401" i="15"/>
  <c r="E1401" i="15"/>
  <c r="F1409" i="15"/>
  <c r="E1475" i="15"/>
  <c r="F1507" i="15"/>
  <c r="E1380" i="15"/>
  <c r="F1380" i="15"/>
  <c r="F1520" i="15"/>
  <c r="E1493" i="15"/>
  <c r="F1524" i="15"/>
  <c r="E1492" i="15"/>
  <c r="F1523" i="15"/>
  <c r="E1491" i="15"/>
  <c r="E1524" i="15"/>
  <c r="F1528" i="15"/>
  <c r="E1523" i="15"/>
  <c r="F1525" i="15"/>
  <c r="E1520" i="15"/>
  <c r="F1529" i="15"/>
  <c r="E1531" i="15"/>
  <c r="E1530" i="15"/>
  <c r="E1529" i="15"/>
  <c r="E1528" i="15"/>
  <c r="F1545" i="15"/>
  <c r="E1547" i="15"/>
  <c r="F1547" i="15"/>
  <c r="E1418" i="15"/>
  <c r="E1479" i="15"/>
  <c r="F1418" i="15"/>
  <c r="F1442" i="15"/>
  <c r="E1442" i="15"/>
  <c r="F1479" i="15"/>
  <c r="E1454" i="15"/>
  <c r="F1454" i="15"/>
  <c r="F1492" i="15"/>
  <c r="F1491" i="15"/>
  <c r="F1532" i="15"/>
  <c r="E1532" i="15"/>
  <c r="F1448" i="15"/>
  <c r="E1448" i="15"/>
  <c r="F1449" i="15"/>
  <c r="E1449" i="15"/>
  <c r="E782" i="15"/>
  <c r="F782" i="15"/>
  <c r="E994" i="15"/>
  <c r="F994" i="15"/>
  <c r="F988" i="15"/>
  <c r="E988" i="15"/>
  <c r="F1045" i="15"/>
  <c r="E1045" i="15"/>
  <c r="F1342" i="15"/>
  <c r="F1341" i="15"/>
  <c r="E1342" i="15"/>
  <c r="E1341" i="15"/>
  <c r="F1316" i="15"/>
  <c r="F1315" i="15"/>
  <c r="E1316" i="15"/>
  <c r="E1315" i="15"/>
  <c r="F1290" i="15"/>
  <c r="E1290" i="15"/>
  <c r="F1228" i="15"/>
  <c r="F1227" i="15"/>
  <c r="E1228" i="15"/>
  <c r="E1227" i="15"/>
  <c r="F1191" i="15"/>
  <c r="F1190" i="15"/>
  <c r="E1191" i="15"/>
  <c r="E1190" i="15"/>
  <c r="E1127" i="15"/>
  <c r="F1128" i="15"/>
  <c r="E1128" i="15"/>
  <c r="F1127" i="15"/>
  <c r="F1150" i="15"/>
  <c r="F1149" i="15"/>
  <c r="E1150" i="15"/>
  <c r="E1149" i="15"/>
  <c r="F1144" i="15"/>
  <c r="F1143" i="15"/>
  <c r="E1144" i="15"/>
  <c r="E1143" i="15"/>
  <c r="E1079" i="15"/>
  <c r="F1079" i="15"/>
  <c r="F570" i="15"/>
  <c r="E570" i="15"/>
  <c r="F568" i="15"/>
  <c r="E568" i="15"/>
  <c r="E313" i="15"/>
  <c r="F1557" i="15"/>
  <c r="E1542" i="15"/>
  <c r="F1542" i="15"/>
  <c r="E1519" i="15"/>
  <c r="E1490" i="15"/>
  <c r="F1508" i="15"/>
  <c r="F1472" i="15"/>
  <c r="E1405" i="15"/>
  <c r="F1408" i="15"/>
  <c r="E1447" i="15"/>
  <c r="F1368" i="15"/>
  <c r="E1368" i="15"/>
  <c r="F1340" i="15"/>
  <c r="E1340" i="15"/>
  <c r="E1364" i="15"/>
  <c r="F1366" i="15"/>
  <c r="E1366" i="15"/>
  <c r="F1364" i="15"/>
  <c r="F1291" i="15"/>
  <c r="F1289" i="15"/>
  <c r="E1291" i="15"/>
  <c r="E1289" i="15"/>
  <c r="F1268" i="15"/>
  <c r="F1267" i="15"/>
  <c r="E1268" i="15"/>
  <c r="E1267" i="15"/>
  <c r="E1199" i="15"/>
  <c r="E945" i="15"/>
  <c r="F1199" i="15"/>
  <c r="E1257" i="15"/>
  <c r="F1257" i="15"/>
  <c r="E751" i="15"/>
  <c r="F945" i="15"/>
  <c r="F751" i="15"/>
  <c r="E645" i="15"/>
  <c r="E640" i="15"/>
  <c r="E626" i="15"/>
  <c r="E630" i="15"/>
  <c r="F634" i="15"/>
  <c r="F623" i="15"/>
  <c r="E634" i="15"/>
  <c r="E627" i="15"/>
  <c r="F629" i="15"/>
  <c r="F639" i="15"/>
  <c r="E624" i="15"/>
  <c r="E628" i="15"/>
  <c r="F630" i="15"/>
  <c r="E625" i="15"/>
  <c r="E629" i="15"/>
  <c r="F631" i="15"/>
  <c r="F640" i="15"/>
  <c r="F648" i="15"/>
  <c r="F622" i="15"/>
  <c r="F647" i="15"/>
  <c r="E622" i="15"/>
  <c r="F641" i="15"/>
  <c r="E620" i="15"/>
  <c r="E623" i="15"/>
  <c r="F645" i="15"/>
  <c r="E635" i="15"/>
  <c r="F638" i="15"/>
  <c r="F486" i="15"/>
  <c r="F484" i="15"/>
  <c r="E486" i="15"/>
  <c r="E484" i="15"/>
  <c r="F277" i="15"/>
  <c r="E277" i="15"/>
  <c r="F788" i="15"/>
  <c r="E788" i="15"/>
  <c r="E1612" i="15"/>
  <c r="F812" i="15"/>
  <c r="F789" i="15"/>
  <c r="E789" i="15"/>
  <c r="F757" i="15"/>
  <c r="F756" i="15"/>
  <c r="F777" i="15"/>
  <c r="F774" i="15"/>
  <c r="E777" i="15"/>
  <c r="E774" i="15"/>
  <c r="F776" i="15"/>
  <c r="E776" i="15"/>
  <c r="F767" i="15"/>
  <c r="F738" i="15"/>
  <c r="F743" i="15"/>
  <c r="E1444" i="15"/>
  <c r="F1444" i="15"/>
  <c r="E1329" i="15"/>
  <c r="F1329" i="15"/>
  <c r="E1123" i="15"/>
  <c r="F1122" i="15"/>
  <c r="E1122" i="15"/>
  <c r="F1123" i="15"/>
  <c r="F1089" i="15"/>
  <c r="E1089" i="15"/>
  <c r="E1092" i="15"/>
  <c r="F1092" i="15"/>
  <c r="E1104" i="15"/>
  <c r="F1104" i="15"/>
  <c r="E1095" i="15"/>
  <c r="F1095" i="15"/>
  <c r="F1046" i="15"/>
  <c r="E1046" i="15"/>
  <c r="E1101" i="15"/>
  <c r="F1100" i="15"/>
  <c r="E1100" i="15"/>
  <c r="F1101" i="15"/>
  <c r="E911" i="15"/>
  <c r="F989" i="15"/>
  <c r="F990" i="15"/>
  <c r="E990" i="15"/>
  <c r="E989" i="15"/>
  <c r="F1077" i="15"/>
  <c r="E1077" i="15"/>
  <c r="F911" i="15"/>
  <c r="E909" i="15"/>
  <c r="E910" i="15"/>
  <c r="E881" i="15"/>
  <c r="F881" i="15"/>
  <c r="F886" i="15"/>
  <c r="E886" i="15"/>
  <c r="F910" i="15"/>
  <c r="E761" i="15"/>
  <c r="F761" i="15"/>
  <c r="F765" i="15"/>
  <c r="E765" i="15"/>
  <c r="F784" i="15"/>
  <c r="E784" i="15"/>
  <c r="F750" i="15"/>
  <c r="E749" i="15"/>
  <c r="F748" i="15"/>
  <c r="E748" i="15"/>
  <c r="F749" i="15"/>
  <c r="F730" i="15"/>
  <c r="E731" i="15"/>
  <c r="F731" i="15"/>
  <c r="F732" i="15"/>
  <c r="E730" i="15"/>
  <c r="E732" i="15"/>
  <c r="E717" i="15"/>
  <c r="F717" i="15"/>
  <c r="E699" i="15"/>
  <c r="E686" i="15"/>
  <c r="F686" i="15"/>
  <c r="F699" i="15"/>
  <c r="E658" i="15"/>
  <c r="F658" i="15"/>
  <c r="F438" i="15"/>
  <c r="F610" i="15"/>
  <c r="E610" i="15"/>
  <c r="F593" i="15"/>
  <c r="E593" i="15"/>
  <c r="E576" i="15"/>
  <c r="F576" i="15"/>
  <c r="E528" i="15"/>
  <c r="E526" i="15"/>
  <c r="F528" i="15"/>
  <c r="F526" i="15"/>
  <c r="F495" i="15"/>
  <c r="F497" i="15"/>
  <c r="E495" i="15"/>
  <c r="E497" i="15"/>
  <c r="F435" i="15"/>
  <c r="F434" i="15"/>
  <c r="F433" i="15"/>
  <c r="E435" i="15"/>
  <c r="E434" i="15"/>
  <c r="E433" i="15"/>
  <c r="E438" i="15"/>
  <c r="E276" i="15"/>
  <c r="E275" i="15"/>
  <c r="F276" i="15"/>
  <c r="F275" i="15"/>
  <c r="E1552" i="15"/>
  <c r="F1553" i="15"/>
  <c r="F1552" i="15"/>
  <c r="E1469" i="15"/>
  <c r="E1553" i="15"/>
  <c r="F1469" i="15"/>
  <c r="F1476" i="15"/>
  <c r="F1470" i="15"/>
  <c r="E1476" i="15"/>
  <c r="E1470" i="15"/>
  <c r="F1474" i="15"/>
  <c r="E1474" i="15"/>
  <c r="F1410" i="15"/>
  <c r="E1412" i="15"/>
  <c r="F1412" i="15"/>
  <c r="E1410" i="15"/>
  <c r="F1415" i="15"/>
  <c r="E1415" i="15"/>
  <c r="F1432" i="15"/>
  <c r="E1432" i="15"/>
  <c r="F1416" i="15"/>
  <c r="E1416" i="15"/>
  <c r="F1365" i="15"/>
  <c r="E1365" i="15"/>
  <c r="F1363" i="15"/>
  <c r="E1363" i="15"/>
  <c r="F1330" i="15"/>
  <c r="E1330" i="15"/>
  <c r="F1328" i="15"/>
  <c r="E1328" i="15"/>
  <c r="E1306" i="15"/>
  <c r="E1305" i="15"/>
  <c r="F1305" i="15"/>
  <c r="F1317" i="15"/>
  <c r="F1293" i="15"/>
  <c r="F1306" i="15"/>
  <c r="F1294" i="15"/>
  <c r="F1309" i="15"/>
  <c r="F1295" i="15"/>
  <c r="F1310" i="15"/>
  <c r="F1304" i="15"/>
  <c r="E1304" i="15"/>
  <c r="F1303" i="15"/>
  <c r="E1303" i="15"/>
  <c r="E1282" i="15"/>
  <c r="E1281" i="15"/>
  <c r="F1282" i="15"/>
  <c r="F1281" i="15"/>
  <c r="E1254" i="15"/>
  <c r="F1255" i="15"/>
  <c r="F1254" i="15"/>
  <c r="F1256" i="15"/>
  <c r="E1256" i="15"/>
  <c r="E1255" i="15"/>
  <c r="E1197" i="15"/>
  <c r="F1198" i="15"/>
  <c r="F1197" i="15"/>
  <c r="E1198" i="15"/>
  <c r="F1196" i="15"/>
  <c r="E1196" i="15"/>
  <c r="E967" i="15"/>
  <c r="E966" i="15"/>
  <c r="F967" i="15"/>
  <c r="F966" i="15"/>
  <c r="E1183" i="15"/>
  <c r="F1182" i="15"/>
  <c r="E1182" i="15"/>
  <c r="F1183" i="15"/>
  <c r="E1181" i="15"/>
  <c r="F1181" i="15"/>
  <c r="E1169" i="15"/>
  <c r="F1169" i="15"/>
  <c r="F1161" i="15"/>
  <c r="E1161" i="15"/>
  <c r="F1172" i="15"/>
  <c r="E1172" i="15"/>
  <c r="F1171" i="15"/>
  <c r="F1170" i="15"/>
  <c r="E1171" i="15"/>
  <c r="E1170" i="15"/>
  <c r="E1163" i="15"/>
  <c r="E1162" i="15"/>
  <c r="F1162" i="15"/>
  <c r="F1163" i="15"/>
  <c r="F1142" i="15"/>
  <c r="E1141" i="15"/>
  <c r="F1141" i="15"/>
  <c r="E1142" i="15"/>
  <c r="F1152" i="15"/>
  <c r="F1148" i="15"/>
  <c r="E1148" i="15"/>
  <c r="E1152" i="15"/>
  <c r="E1126" i="15"/>
  <c r="F1126" i="15"/>
  <c r="E1134" i="15"/>
  <c r="F1134" i="15"/>
  <c r="F1119" i="15"/>
  <c r="E1119" i="15"/>
  <c r="F1120" i="15"/>
  <c r="E1120" i="15"/>
  <c r="F1121" i="15"/>
  <c r="E1121" i="15"/>
  <c r="F1111" i="15"/>
  <c r="E1110" i="15"/>
  <c r="F1112" i="15"/>
  <c r="E1111" i="15"/>
  <c r="E1112" i="15"/>
  <c r="F1110" i="15"/>
  <c r="F1102" i="15"/>
  <c r="F1099" i="15"/>
  <c r="E1099" i="15"/>
  <c r="E1102" i="15"/>
  <c r="F1093" i="15"/>
  <c r="F1090" i="15"/>
  <c r="E1093" i="15"/>
  <c r="E1090" i="15"/>
  <c r="F1091" i="15"/>
  <c r="E1091" i="15"/>
  <c r="F1078" i="15"/>
  <c r="F1076" i="15"/>
  <c r="E1078" i="15"/>
  <c r="E1076" i="15"/>
  <c r="F1066" i="15"/>
  <c r="E1066" i="15"/>
  <c r="F1068" i="15"/>
  <c r="E1067" i="15"/>
  <c r="F1069" i="15"/>
  <c r="E1068" i="15"/>
  <c r="E1069" i="15"/>
  <c r="F1067" i="15"/>
  <c r="E1057" i="15"/>
  <c r="F1054" i="15"/>
  <c r="F1055" i="15"/>
  <c r="E1054" i="15"/>
  <c r="E1056" i="15"/>
  <c r="F1056" i="15"/>
  <c r="E1055" i="15"/>
  <c r="F1044" i="15"/>
  <c r="F1043" i="15"/>
  <c r="F1047" i="15"/>
  <c r="E1043" i="15"/>
  <c r="E1044" i="15"/>
  <c r="E1047" i="15"/>
  <c r="F993" i="15"/>
  <c r="F992" i="15"/>
  <c r="E985" i="15"/>
  <c r="F984" i="15"/>
  <c r="E991" i="15"/>
  <c r="E986" i="15"/>
  <c r="F985" i="15"/>
  <c r="E993" i="15"/>
  <c r="E992" i="15"/>
  <c r="E984" i="15"/>
  <c r="F991" i="15"/>
  <c r="F986" i="15"/>
  <c r="E1026" i="15"/>
  <c r="E996" i="15"/>
  <c r="F996" i="15"/>
  <c r="F953" i="15"/>
  <c r="E953" i="15"/>
  <c r="F951" i="15"/>
  <c r="E950" i="15"/>
  <c r="E951" i="15"/>
  <c r="F950" i="15"/>
  <c r="F943" i="15"/>
  <c r="E943" i="15"/>
  <c r="F944" i="15"/>
  <c r="E944" i="15"/>
  <c r="E923" i="15"/>
  <c r="E922" i="15"/>
  <c r="F923" i="15"/>
  <c r="F922" i="15"/>
  <c r="E928" i="15"/>
  <c r="E927" i="15"/>
  <c r="F928" i="15"/>
  <c r="F927" i="15"/>
  <c r="F895" i="15"/>
  <c r="F896" i="15"/>
  <c r="E895" i="15"/>
  <c r="F897" i="15"/>
  <c r="E896" i="15"/>
  <c r="E897" i="15"/>
  <c r="E870" i="15"/>
  <c r="F870" i="15"/>
  <c r="F868" i="15"/>
  <c r="F867" i="15"/>
  <c r="E868" i="15"/>
  <c r="E867" i="15"/>
  <c r="F854" i="15"/>
  <c r="F853" i="15"/>
  <c r="E854" i="15"/>
  <c r="E853" i="15"/>
  <c r="F815" i="15"/>
  <c r="F813" i="15"/>
  <c r="F814" i="15"/>
  <c r="E813" i="15"/>
  <c r="E814" i="15"/>
  <c r="E815" i="15"/>
  <c r="E523" i="15"/>
  <c r="F823" i="15"/>
  <c r="F822" i="15"/>
  <c r="E822" i="15"/>
  <c r="E823" i="15"/>
  <c r="F830" i="15"/>
  <c r="E812" i="15"/>
  <c r="E830" i="15"/>
  <c r="E790" i="15"/>
  <c r="F798" i="15"/>
  <c r="F797" i="15"/>
  <c r="E798" i="15"/>
  <c r="E797" i="15"/>
  <c r="E763" i="15"/>
  <c r="F764" i="15"/>
  <c r="E764" i="15"/>
  <c r="F763" i="15"/>
  <c r="F781" i="15"/>
  <c r="F780" i="15"/>
  <c r="E781" i="15"/>
  <c r="E780" i="15"/>
  <c r="E670" i="15"/>
  <c r="E758" i="15"/>
  <c r="F759" i="15"/>
  <c r="E759" i="15"/>
  <c r="F758" i="15"/>
  <c r="E757" i="15"/>
  <c r="E766" i="15"/>
  <c r="E744" i="15"/>
  <c r="F766" i="15"/>
  <c r="F744" i="15"/>
  <c r="F661" i="15"/>
  <c r="F729" i="15"/>
  <c r="E729" i="15"/>
  <c r="F670" i="15"/>
  <c r="E666" i="15"/>
  <c r="F666" i="15"/>
  <c r="E656" i="15"/>
  <c r="F656" i="15"/>
  <c r="E661" i="15"/>
  <c r="E636" i="15"/>
  <c r="F617" i="15"/>
  <c r="F636" i="15"/>
  <c r="E637" i="15"/>
  <c r="F637" i="15"/>
  <c r="F620" i="15"/>
  <c r="E617" i="15"/>
  <c r="F616" i="15"/>
  <c r="E616" i="15"/>
  <c r="F605" i="15"/>
  <c r="E611" i="15"/>
  <c r="E604" i="15"/>
  <c r="E609" i="15"/>
  <c r="F611" i="15"/>
  <c r="F604" i="15"/>
  <c r="F609" i="15"/>
  <c r="E603" i="15"/>
  <c r="E605" i="15"/>
  <c r="F603" i="15"/>
  <c r="E600" i="15"/>
  <c r="F599" i="15"/>
  <c r="F600" i="15"/>
  <c r="E598" i="15"/>
  <c r="F598" i="15"/>
  <c r="E599" i="15"/>
  <c r="F577" i="15"/>
  <c r="E594" i="15"/>
  <c r="F594" i="15"/>
  <c r="E592" i="15"/>
  <c r="F592" i="15"/>
  <c r="E575" i="15"/>
  <c r="F575" i="15"/>
  <c r="E577" i="15"/>
  <c r="F565" i="15"/>
  <c r="F566" i="15"/>
  <c r="E534" i="15"/>
  <c r="E566" i="15"/>
  <c r="E565" i="15"/>
  <c r="E539" i="15"/>
  <c r="F44" i="15"/>
  <c r="E515" i="15"/>
  <c r="F515" i="15"/>
  <c r="F534" i="15"/>
  <c r="E514" i="15"/>
  <c r="E538" i="15"/>
  <c r="F539" i="15"/>
  <c r="E532" i="15"/>
  <c r="F538" i="15"/>
  <c r="F506" i="15"/>
  <c r="F517" i="15"/>
  <c r="E1543" i="15"/>
  <c r="E455" i="15"/>
  <c r="E176" i="15"/>
  <c r="E517" i="15"/>
  <c r="E169" i="15"/>
  <c r="E204" i="15"/>
  <c r="E573" i="15"/>
  <c r="E1251" i="15"/>
  <c r="E746" i="15"/>
  <c r="E1592" i="15"/>
  <c r="E1625" i="15"/>
  <c r="E46" i="15"/>
  <c r="E860" i="15"/>
  <c r="E399" i="15"/>
  <c r="E116" i="15"/>
  <c r="E884" i="15"/>
  <c r="E918" i="15"/>
  <c r="E504" i="15"/>
  <c r="F504" i="15"/>
  <c r="E1610" i="15"/>
  <c r="E188" i="15"/>
  <c r="E506" i="15"/>
  <c r="E212" i="15"/>
  <c r="E161" i="15"/>
  <c r="E330" i="15"/>
  <c r="F211" i="15"/>
  <c r="E1614" i="15"/>
  <c r="E469" i="15"/>
  <c r="E92" i="15"/>
  <c r="E1235" i="15"/>
  <c r="E1608" i="15"/>
  <c r="E1616" i="15"/>
  <c r="E265" i="15"/>
  <c r="E369" i="15"/>
  <c r="E124" i="15"/>
  <c r="E477" i="15"/>
  <c r="E657" i="15"/>
  <c r="F737" i="15"/>
  <c r="E1129" i="15"/>
  <c r="E1535" i="15"/>
  <c r="E1391" i="15"/>
  <c r="E1594" i="15"/>
  <c r="E1626" i="15"/>
  <c r="E460" i="15"/>
  <c r="E530" i="15"/>
  <c r="E668" i="15"/>
  <c r="E840" i="15"/>
  <c r="E136" i="15"/>
  <c r="E451" i="15"/>
  <c r="E224" i="15"/>
  <c r="E563" i="15"/>
  <c r="E702" i="15"/>
  <c r="E429" i="15"/>
  <c r="F360" i="15"/>
  <c r="E602" i="15"/>
  <c r="E1275" i="15"/>
  <c r="E156" i="15"/>
  <c r="E193" i="15"/>
  <c r="F207" i="15"/>
  <c r="E171" i="15"/>
  <c r="E159" i="15"/>
  <c r="E165" i="15"/>
  <c r="E172" i="15"/>
  <c r="E183" i="15"/>
  <c r="E196" i="15"/>
  <c r="E1593" i="15"/>
  <c r="E1627" i="15"/>
  <c r="F459" i="15"/>
  <c r="F463" i="15"/>
  <c r="F461" i="15"/>
  <c r="E463" i="15"/>
  <c r="E461" i="15"/>
  <c r="F218" i="15"/>
  <c r="E164" i="15"/>
  <c r="E177" i="15"/>
  <c r="E375" i="15"/>
  <c r="E201" i="15"/>
  <c r="E160" i="15"/>
  <c r="E167" i="15"/>
  <c r="E175" i="15"/>
  <c r="E185" i="15"/>
  <c r="E199" i="15"/>
  <c r="E738" i="15"/>
  <c r="E1595" i="15"/>
  <c r="E1628" i="15"/>
  <c r="F182" i="15"/>
  <c r="E254" i="15"/>
  <c r="E395" i="15"/>
  <c r="E652" i="15"/>
  <c r="E871" i="15"/>
  <c r="F1391" i="15"/>
  <c r="E1452" i="15"/>
  <c r="F1355" i="15"/>
  <c r="E1588" i="15"/>
  <c r="E1597" i="15"/>
  <c r="E1556" i="15"/>
  <c r="E1618" i="15"/>
  <c r="E965" i="15"/>
  <c r="E1184" i="15"/>
  <c r="E1439" i="15"/>
  <c r="E1500" i="15"/>
  <c r="E726" i="15"/>
  <c r="E1581" i="15"/>
  <c r="E1632" i="15"/>
  <c r="E30" i="15"/>
  <c r="E383" i="15"/>
  <c r="E144" i="15"/>
  <c r="E112" i="15"/>
  <c r="E387" i="15"/>
  <c r="F171" i="15"/>
  <c r="E411" i="15"/>
  <c r="E502" i="15"/>
  <c r="E540" i="15"/>
  <c r="E104" i="15"/>
  <c r="E403" i="15"/>
  <c r="E62" i="15"/>
  <c r="E365" i="15"/>
  <c r="E409" i="15"/>
  <c r="E681" i="15"/>
  <c r="E803" i="15"/>
  <c r="F487" i="15"/>
  <c r="E591" i="15"/>
  <c r="E548" i="15"/>
  <c r="F912" i="15"/>
  <c r="E1296" i="15"/>
  <c r="E80" i="15"/>
  <c r="E157" i="15"/>
  <c r="E163" i="15"/>
  <c r="E168" i="15"/>
  <c r="E173" i="15"/>
  <c r="E180" i="15"/>
  <c r="E191" i="15"/>
  <c r="E242" i="15"/>
  <c r="E393" i="15"/>
  <c r="E417" i="15"/>
  <c r="E586" i="15"/>
  <c r="E811" i="15"/>
  <c r="E1384" i="15"/>
  <c r="E1591" i="15"/>
  <c r="E1629" i="15"/>
  <c r="E218" i="15"/>
  <c r="E88" i="15"/>
  <c r="E108" i="15"/>
  <c r="E128" i="15"/>
  <c r="E152" i="15"/>
  <c r="E181" i="15"/>
  <c r="E187" i="15"/>
  <c r="E192" i="15"/>
  <c r="E197" i="15"/>
  <c r="E203" i="15"/>
  <c r="E210" i="15"/>
  <c r="E220" i="15"/>
  <c r="E258" i="15"/>
  <c r="E322" i="15"/>
  <c r="E367" i="15"/>
  <c r="E377" i="15"/>
  <c r="E391" i="15"/>
  <c r="E401" i="15"/>
  <c r="E407" i="15"/>
  <c r="E413" i="15"/>
  <c r="E441" i="15"/>
  <c r="E470" i="15"/>
  <c r="E500" i="15"/>
  <c r="E558" i="15"/>
  <c r="E583" i="15"/>
  <c r="E607" i="15"/>
  <c r="E800" i="15"/>
  <c r="E879" i="15"/>
  <c r="E899" i="15"/>
  <c r="E983" i="15"/>
  <c r="E1388" i="15"/>
  <c r="F54" i="15"/>
  <c r="E222" i="15"/>
  <c r="E285" i="15"/>
  <c r="E381" i="15"/>
  <c r="E148" i="15"/>
  <c r="E590" i="15"/>
  <c r="E690" i="15"/>
  <c r="F898" i="15"/>
  <c r="F959" i="15"/>
  <c r="E1065" i="15"/>
  <c r="F1176" i="15"/>
  <c r="E96" i="15"/>
  <c r="E120" i="15"/>
  <c r="E140" i="15"/>
  <c r="E179" i="15"/>
  <c r="E184" i="15"/>
  <c r="E189" i="15"/>
  <c r="E195" i="15"/>
  <c r="E200" i="15"/>
  <c r="E205" i="15"/>
  <c r="E216" i="15"/>
  <c r="E226" i="15"/>
  <c r="E273" i="15"/>
  <c r="E351" i="15"/>
  <c r="E373" i="15"/>
  <c r="E385" i="15"/>
  <c r="E405" i="15"/>
  <c r="E410" i="15"/>
  <c r="E421" i="15"/>
  <c r="E480" i="15"/>
  <c r="E588" i="15"/>
  <c r="E673" i="15"/>
  <c r="E809" i="15"/>
  <c r="E889" i="15"/>
  <c r="E938" i="15"/>
  <c r="E1320" i="15"/>
  <c r="E1441" i="15"/>
  <c r="F159" i="15"/>
  <c r="E238" i="15"/>
  <c r="F376" i="15"/>
  <c r="E439" i="15"/>
  <c r="E597" i="15"/>
  <c r="E562" i="15"/>
  <c r="E654" i="15"/>
  <c r="E709" i="15"/>
  <c r="E447" i="15"/>
  <c r="F449" i="15"/>
  <c r="F448" i="15"/>
  <c r="E449" i="15"/>
  <c r="E448" i="15"/>
  <c r="F811" i="15"/>
  <c r="E847" i="15"/>
  <c r="E979" i="15"/>
  <c r="E1029" i="15"/>
  <c r="E1109" i="15"/>
  <c r="E1243" i="15"/>
  <c r="E208" i="15"/>
  <c r="E406" i="15"/>
  <c r="E487" i="15"/>
  <c r="E580" i="15"/>
  <c r="E875" i="15"/>
  <c r="E893" i="15"/>
  <c r="E1450" i="15"/>
  <c r="E412" i="15"/>
  <c r="E554" i="15"/>
  <c r="E38" i="15"/>
  <c r="E70" i="15"/>
  <c r="E246" i="15"/>
  <c r="E357" i="15"/>
  <c r="E414" i="15"/>
  <c r="E418" i="15"/>
  <c r="E423" i="15"/>
  <c r="E431" i="15"/>
  <c r="E443" i="15"/>
  <c r="E452" i="15"/>
  <c r="E457" i="15"/>
  <c r="E464" i="15"/>
  <c r="E472" i="15"/>
  <c r="E478" i="15"/>
  <c r="E491" i="15"/>
  <c r="E544" i="15"/>
  <c r="E552" i="15"/>
  <c r="E559" i="15"/>
  <c r="E564" i="15"/>
  <c r="E574" i="15"/>
  <c r="E582" i="15"/>
  <c r="E587" i="15"/>
  <c r="E595" i="15"/>
  <c r="E660" i="15"/>
  <c r="E677" i="15"/>
  <c r="E706" i="15"/>
  <c r="E734" i="15"/>
  <c r="E739" i="15"/>
  <c r="E752" i="15"/>
  <c r="E801" i="15"/>
  <c r="E810" i="15"/>
  <c r="E862" i="15"/>
  <c r="E872" i="15"/>
  <c r="E876" i="15"/>
  <c r="E880" i="15"/>
  <c r="E885" i="15"/>
  <c r="E890" i="15"/>
  <c r="E894" i="15"/>
  <c r="E907" i="15"/>
  <c r="E949" i="15"/>
  <c r="E971" i="15"/>
  <c r="E1175" i="15"/>
  <c r="E1186" i="15"/>
  <c r="E1263" i="15"/>
  <c r="E1375" i="15"/>
  <c r="E1385" i="15"/>
  <c r="E1392" i="15"/>
  <c r="E1445" i="15"/>
  <c r="F176" i="15"/>
  <c r="F193" i="15"/>
  <c r="F191" i="15"/>
  <c r="E507" i="15"/>
  <c r="F587" i="15"/>
  <c r="F827" i="15"/>
  <c r="F879" i="15"/>
  <c r="F902" i="15"/>
  <c r="E1173" i="15"/>
  <c r="E768" i="15"/>
  <c r="E1188" i="15"/>
  <c r="E230" i="15"/>
  <c r="E250" i="15"/>
  <c r="E361" i="15"/>
  <c r="E415" i="15"/>
  <c r="E419" i="15"/>
  <c r="E425" i="15"/>
  <c r="E436" i="15"/>
  <c r="E445" i="15"/>
  <c r="E453" i="15"/>
  <c r="E458" i="15"/>
  <c r="E473" i="15"/>
  <c r="E536" i="15"/>
  <c r="E546" i="15"/>
  <c r="E553" i="15"/>
  <c r="E560" i="15"/>
  <c r="E571" i="15"/>
  <c r="E578" i="15"/>
  <c r="E663" i="15"/>
  <c r="E736" i="15"/>
  <c r="E741" i="15"/>
  <c r="E756" i="15"/>
  <c r="E856" i="15"/>
  <c r="E873" i="15"/>
  <c r="E882" i="15"/>
  <c r="E891" i="15"/>
  <c r="E975" i="15"/>
  <c r="E1177" i="15"/>
  <c r="E1382" i="15"/>
  <c r="E1389" i="15"/>
  <c r="F287" i="15"/>
  <c r="F874" i="15"/>
  <c r="E722" i="15"/>
  <c r="F884" i="15"/>
  <c r="E864" i="15"/>
  <c r="E877" i="15"/>
  <c r="E887" i="15"/>
  <c r="E957" i="15"/>
  <c r="E1386" i="15"/>
  <c r="E1395" i="15"/>
  <c r="F460" i="15"/>
  <c r="E1478" i="15"/>
  <c r="E54" i="15"/>
  <c r="E84" i="15"/>
  <c r="E100" i="15"/>
  <c r="E132" i="15"/>
  <c r="E158" i="15"/>
  <c r="E162" i="15"/>
  <c r="E166" i="15"/>
  <c r="E170" i="15"/>
  <c r="E174" i="15"/>
  <c r="E178" i="15"/>
  <c r="E182" i="15"/>
  <c r="E186" i="15"/>
  <c r="E190" i="15"/>
  <c r="E194" i="15"/>
  <c r="E198" i="15"/>
  <c r="E202" i="15"/>
  <c r="E206" i="15"/>
  <c r="E214" i="15"/>
  <c r="E289" i="15"/>
  <c r="E343" i="15"/>
  <c r="E363" i="15"/>
  <c r="E371" i="15"/>
  <c r="E389" i="15"/>
  <c r="E397" i="15"/>
  <c r="E404" i="15"/>
  <c r="E408" i="15"/>
  <c r="E416" i="15"/>
  <c r="E420" i="15"/>
  <c r="E427" i="15"/>
  <c r="E454" i="15"/>
  <c r="E459" i="15"/>
  <c r="E474" i="15"/>
  <c r="E482" i="15"/>
  <c r="E537" i="15"/>
  <c r="E547" i="15"/>
  <c r="E572" i="15"/>
  <c r="E579" i="15"/>
  <c r="E584" i="15"/>
  <c r="E718" i="15"/>
  <c r="E737" i="15"/>
  <c r="E742" i="15"/>
  <c r="E807" i="15"/>
  <c r="E816" i="15"/>
  <c r="E858" i="15"/>
  <c r="E866" i="15"/>
  <c r="E874" i="15"/>
  <c r="E878" i="15"/>
  <c r="E883" i="15"/>
  <c r="E888" i="15"/>
  <c r="E892" i="15"/>
  <c r="E898" i="15"/>
  <c r="E930" i="15"/>
  <c r="E961" i="15"/>
  <c r="E1179" i="15"/>
  <c r="E1383" i="15"/>
  <c r="E1387" i="15"/>
  <c r="E1390" i="15"/>
  <c r="E1463" i="15"/>
  <c r="E1590" i="15"/>
  <c r="F174" i="15"/>
  <c r="F177" i="15"/>
  <c r="F222" i="15"/>
  <c r="F431" i="15"/>
  <c r="F339" i="15"/>
  <c r="F452" i="15"/>
  <c r="F820" i="15"/>
  <c r="E1147" i="15"/>
  <c r="E1259" i="15"/>
  <c r="E1285" i="15"/>
  <c r="E1331" i="15"/>
  <c r="F786" i="15"/>
  <c r="F1374" i="15"/>
  <c r="E1371" i="15"/>
  <c r="E1347" i="15"/>
  <c r="F1347" i="15"/>
  <c r="E1379" i="15"/>
  <c r="E1358" i="15"/>
  <c r="E261" i="15"/>
  <c r="E281" i="15"/>
  <c r="E345" i="15"/>
  <c r="E353" i="15"/>
  <c r="E358" i="15"/>
  <c r="E493" i="15"/>
  <c r="E519" i="15"/>
  <c r="E535" i="15"/>
  <c r="E1165" i="15"/>
  <c r="E1202" i="15"/>
  <c r="E1239" i="15"/>
  <c r="E1339" i="15"/>
  <c r="F595" i="15"/>
  <c r="E596" i="15"/>
  <c r="E589" i="15"/>
  <c r="E585" i="15"/>
  <c r="E581" i="15"/>
  <c r="E567" i="15"/>
  <c r="E561" i="15"/>
  <c r="E557" i="15"/>
  <c r="E549" i="15"/>
  <c r="E545" i="15"/>
  <c r="F635" i="15"/>
  <c r="E638" i="15"/>
  <c r="E704" i="15"/>
  <c r="E934" i="15"/>
  <c r="E914" i="15"/>
  <c r="E942" i="15"/>
  <c r="E924" i="15"/>
  <c r="E903" i="15"/>
  <c r="E347" i="15"/>
  <c r="E359" i="15"/>
  <c r="E521" i="15"/>
  <c r="E1167" i="15"/>
  <c r="E1218" i="15"/>
  <c r="E1354" i="15"/>
  <c r="E819" i="15"/>
  <c r="E817" i="15"/>
  <c r="F1193" i="15"/>
  <c r="E1261" i="15"/>
  <c r="E1249" i="15"/>
  <c r="E1241" i="15"/>
  <c r="E1233" i="15"/>
  <c r="E1210" i="15"/>
  <c r="E1265" i="15"/>
  <c r="E1253" i="15"/>
  <c r="E1245" i="15"/>
  <c r="E1237" i="15"/>
  <c r="E1226" i="15"/>
  <c r="F1511" i="15"/>
  <c r="F508" i="15"/>
  <c r="E512" i="15"/>
  <c r="E762" i="15"/>
  <c r="E1433" i="15"/>
  <c r="E1397" i="15"/>
  <c r="E1420" i="15"/>
  <c r="E339" i="15"/>
  <c r="E355" i="15"/>
  <c r="E508" i="15"/>
  <c r="E1406" i="15"/>
  <c r="F510" i="15"/>
  <c r="E503" i="15"/>
  <c r="E498" i="15"/>
  <c r="F1312" i="15"/>
  <c r="E1292" i="15"/>
  <c r="E1271" i="15"/>
  <c r="E1279" i="15"/>
  <c r="E1483" i="15"/>
  <c r="E1511" i="15"/>
  <c r="E1468" i="15"/>
  <c r="E728" i="15"/>
  <c r="E720" i="15"/>
  <c r="E711" i="15"/>
  <c r="E724" i="15"/>
  <c r="E715" i="15"/>
  <c r="E707" i="15"/>
  <c r="E22" i="15"/>
  <c r="E269" i="15"/>
  <c r="E341" i="15"/>
  <c r="E349" i="15"/>
  <c r="E356" i="15"/>
  <c r="E360" i="15"/>
  <c r="E489" i="15"/>
  <c r="E501" i="15"/>
  <c r="E510" i="15"/>
  <c r="E525" i="15"/>
  <c r="E713" i="15"/>
  <c r="E821" i="15"/>
  <c r="E1231" i="15"/>
  <c r="E1247" i="15"/>
  <c r="E1269" i="15"/>
  <c r="E1310" i="15"/>
  <c r="E1362" i="15"/>
  <c r="E1430" i="15"/>
  <c r="E494" i="15"/>
  <c r="F584" i="15"/>
  <c r="E631" i="15"/>
  <c r="E614" i="15"/>
  <c r="E685" i="15"/>
  <c r="E675" i="15"/>
  <c r="E665" i="15"/>
  <c r="E679" i="15"/>
  <c r="E671" i="15"/>
  <c r="E641" i="15"/>
  <c r="E648" i="15"/>
  <c r="E844" i="15"/>
  <c r="F883" i="15"/>
  <c r="E850" i="15"/>
  <c r="E829" i="15"/>
  <c r="F987" i="15"/>
  <c r="E987" i="15"/>
  <c r="F970" i="15"/>
  <c r="E981" i="15"/>
  <c r="E973" i="15"/>
  <c r="E963" i="15"/>
  <c r="E955" i="15"/>
  <c r="E997" i="15"/>
  <c r="E977" i="15"/>
  <c r="E969" i="15"/>
  <c r="E959" i="15"/>
  <c r="E1037" i="15"/>
  <c r="F1165" i="15"/>
  <c r="E1185" i="15"/>
  <c r="E1178" i="15"/>
  <c r="E1174" i="15"/>
  <c r="E1166" i="15"/>
  <c r="F1184" i="15"/>
  <c r="E1180" i="15"/>
  <c r="E1176" i="15"/>
  <c r="E1168" i="15"/>
  <c r="E1314" i="15"/>
  <c r="E1302" i="15"/>
  <c r="E619" i="15"/>
  <c r="F693" i="15"/>
  <c r="F894" i="15"/>
  <c r="E1155" i="15"/>
  <c r="F502" i="15"/>
  <c r="E601" i="15"/>
  <c r="E1085" i="15"/>
  <c r="E1135" i="15"/>
  <c r="E796" i="15"/>
  <c r="E785" i="15"/>
  <c r="E779" i="15"/>
  <c r="E1337" i="15"/>
  <c r="E1326" i="15"/>
  <c r="E1333" i="15"/>
  <c r="E1322" i="15"/>
  <c r="E1499" i="15"/>
  <c r="E1482" i="15"/>
  <c r="E1477" i="15"/>
  <c r="E1467" i="15"/>
  <c r="E1512" i="15"/>
  <c r="E1509" i="15"/>
  <c r="E1484" i="15"/>
  <c r="E1480" i="15"/>
  <c r="E1471" i="15"/>
  <c r="E1465" i="15"/>
  <c r="F726" i="15"/>
  <c r="F752" i="15"/>
  <c r="E1107" i="15"/>
  <c r="E1105" i="15"/>
  <c r="F1132" i="15"/>
  <c r="E1117" i="15"/>
  <c r="F1146" i="15"/>
  <c r="E1125" i="15"/>
  <c r="E1605" i="15"/>
  <c r="E1603" i="15"/>
  <c r="E268" i="15"/>
  <c r="E278" i="15"/>
  <c r="E293" i="15"/>
  <c r="E481" i="15"/>
  <c r="E488" i="15"/>
  <c r="E492" i="15"/>
  <c r="E499" i="15"/>
  <c r="E606" i="15"/>
  <c r="E618" i="15"/>
  <c r="E708" i="15"/>
  <c r="E712" i="15"/>
  <c r="E716" i="15"/>
  <c r="E721" i="15"/>
  <c r="E725" i="15"/>
  <c r="E733" i="15"/>
  <c r="E786" i="15"/>
  <c r="E1094" i="15"/>
  <c r="E1335" i="15"/>
  <c r="E1349" i="15"/>
  <c r="E1360" i="15"/>
  <c r="E1373" i="15"/>
  <c r="E1413" i="15"/>
  <c r="E1466" i="15"/>
  <c r="E1481" i="15"/>
  <c r="E7" i="15"/>
  <c r="F192" i="15"/>
  <c r="F173" i="15"/>
  <c r="F165" i="15"/>
  <c r="F581" i="15"/>
  <c r="F560" i="15"/>
  <c r="F710" i="15"/>
  <c r="E848" i="15"/>
  <c r="E842" i="15"/>
  <c r="E827" i="15"/>
  <c r="F845" i="15"/>
  <c r="E852" i="15"/>
  <c r="E846" i="15"/>
  <c r="E833" i="15"/>
  <c r="F963" i="15"/>
  <c r="E982" i="15"/>
  <c r="E978" i="15"/>
  <c r="E974" i="15"/>
  <c r="E970" i="15"/>
  <c r="E964" i="15"/>
  <c r="E960" i="15"/>
  <c r="E956" i="15"/>
  <c r="F978" i="15"/>
  <c r="E995" i="15"/>
  <c r="E980" i="15"/>
  <c r="E976" i="15"/>
  <c r="E972" i="15"/>
  <c r="E968" i="15"/>
  <c r="E962" i="15"/>
  <c r="E958" i="15"/>
  <c r="F1129" i="15"/>
  <c r="F1369" i="15"/>
  <c r="F1371" i="15"/>
  <c r="E1222" i="15"/>
  <c r="E1206" i="15"/>
  <c r="E1214" i="15"/>
  <c r="E1194" i="15"/>
  <c r="F1136" i="15"/>
  <c r="E1145" i="15"/>
  <c r="E1130" i="15"/>
  <c r="E1139" i="15"/>
  <c r="E1435" i="15"/>
  <c r="E1428" i="15"/>
  <c r="E1417" i="15"/>
  <c r="E1404" i="15"/>
  <c r="E1396" i="15"/>
  <c r="E1422" i="15"/>
  <c r="E1407" i="15"/>
  <c r="E1400" i="15"/>
  <c r="E1584" i="15"/>
  <c r="F601" i="15"/>
  <c r="E1041" i="15"/>
  <c r="F1032" i="15"/>
  <c r="E1033" i="15"/>
  <c r="F1349" i="15"/>
  <c r="F1555" i="15"/>
  <c r="E1459" i="15"/>
  <c r="E1455" i="15"/>
  <c r="F1373" i="15"/>
  <c r="F1420" i="15"/>
  <c r="F1375" i="15"/>
  <c r="F1359" i="15"/>
  <c r="F1354" i="15"/>
  <c r="E1378" i="15"/>
  <c r="E1374" i="15"/>
  <c r="E1370" i="15"/>
  <c r="E1361" i="15"/>
  <c r="E1357" i="15"/>
  <c r="E1353" i="15"/>
  <c r="E1346" i="15"/>
  <c r="F1357" i="15"/>
  <c r="F1372" i="15"/>
  <c r="E1381" i="15"/>
  <c r="E1376" i="15"/>
  <c r="E1372" i="15"/>
  <c r="E1367" i="15"/>
  <c r="E1359" i="15"/>
  <c r="E1355" i="15"/>
  <c r="E1348" i="15"/>
  <c r="E1344" i="15"/>
  <c r="E1571" i="15"/>
  <c r="E1567" i="15"/>
  <c r="E14" i="15"/>
  <c r="E263" i="15"/>
  <c r="E271" i="15"/>
  <c r="E479" i="15"/>
  <c r="E483" i="15"/>
  <c r="E490" i="15"/>
  <c r="E612" i="15"/>
  <c r="E710" i="15"/>
  <c r="E714" i="15"/>
  <c r="E719" i="15"/>
  <c r="E723" i="15"/>
  <c r="E727" i="15"/>
  <c r="E769" i="15"/>
  <c r="E1050" i="15"/>
  <c r="E1124" i="15"/>
  <c r="E1159" i="15"/>
  <c r="E1324" i="15"/>
  <c r="E1345" i="15"/>
  <c r="E1356" i="15"/>
  <c r="E1369" i="15"/>
  <c r="E1377" i="15"/>
  <c r="E1403" i="15"/>
  <c r="E1402" i="15" s="1"/>
  <c r="E1424" i="15"/>
  <c r="E1457" i="15"/>
  <c r="E1472" i="15"/>
  <c r="E1494" i="15"/>
  <c r="E1533" i="15"/>
  <c r="E1573" i="15"/>
  <c r="F206" i="15"/>
  <c r="F224" i="15"/>
  <c r="F208" i="15"/>
  <c r="F725" i="15"/>
  <c r="E947" i="15"/>
  <c r="E936" i="15"/>
  <c r="E926" i="15"/>
  <c r="E916" i="15"/>
  <c r="E905" i="15"/>
  <c r="E954" i="15"/>
  <c r="E940" i="15"/>
  <c r="E932" i="15"/>
  <c r="E920" i="15"/>
  <c r="E912" i="15"/>
  <c r="E901" i="15"/>
  <c r="F1358" i="15"/>
  <c r="E1318" i="15"/>
  <c r="E1308" i="15"/>
  <c r="E1294" i="15"/>
  <c r="E1283" i="15"/>
  <c r="E1273" i="15"/>
  <c r="E1312" i="15"/>
  <c r="E1300" i="15"/>
  <c r="E1287" i="15"/>
  <c r="E1277" i="15"/>
  <c r="F1419" i="15"/>
  <c r="F198" i="15"/>
  <c r="F230" i="15"/>
  <c r="E272" i="15"/>
  <c r="E1048" i="15"/>
  <c r="F63" i="15"/>
  <c r="F26" i="15"/>
  <c r="F169" i="15"/>
  <c r="F170" i="15"/>
  <c r="F179" i="15"/>
  <c r="F180" i="15"/>
  <c r="F363" i="15"/>
  <c r="F474" i="15"/>
  <c r="F891" i="15"/>
  <c r="F1130" i="15"/>
  <c r="F1468" i="15"/>
  <c r="F32" i="15"/>
  <c r="F255" i="15"/>
  <c r="F248" i="15"/>
  <c r="F673" i="15"/>
  <c r="F667" i="15"/>
  <c r="F664" i="15"/>
  <c r="F677" i="15"/>
  <c r="F492" i="15"/>
  <c r="F446" i="15"/>
  <c r="E1061" i="15"/>
  <c r="E1073" i="15"/>
  <c r="E1160" i="15"/>
  <c r="E1156" i="15"/>
  <c r="E1151" i="15"/>
  <c r="E1158" i="15"/>
  <c r="E1154" i="15"/>
  <c r="E1146" i="15"/>
  <c r="E1580" i="15"/>
  <c r="E1575" i="15"/>
  <c r="E1583" i="15"/>
  <c r="E1576" i="15"/>
  <c r="E1579" i="15"/>
  <c r="E1622" i="15"/>
  <c r="E26" i="15"/>
  <c r="E42" i="15"/>
  <c r="E58" i="15"/>
  <c r="E74" i="15"/>
  <c r="E240" i="15"/>
  <c r="E248" i="15"/>
  <c r="E256" i="15"/>
  <c r="E262" i="15"/>
  <c r="E266" i="15"/>
  <c r="E270" i="15"/>
  <c r="E274" i="15"/>
  <c r="E424" i="15"/>
  <c r="E428" i="15"/>
  <c r="E432" i="15"/>
  <c r="E440" i="15"/>
  <c r="E444" i="15"/>
  <c r="E450" i="15"/>
  <c r="E653" i="15"/>
  <c r="E659" i="15"/>
  <c r="E664" i="15"/>
  <c r="E669" i="15"/>
  <c r="E674" i="15"/>
  <c r="E678" i="15"/>
  <c r="E682" i="15"/>
  <c r="E692" i="15"/>
  <c r="E778" i="15"/>
  <c r="E783" i="15"/>
  <c r="E791" i="15"/>
  <c r="E795" i="15"/>
  <c r="E1027" i="15"/>
  <c r="E1035" i="15"/>
  <c r="E1081" i="15"/>
  <c r="E1132" i="15"/>
  <c r="E1157" i="15"/>
  <c r="E1551" i="15"/>
  <c r="E1636" i="15"/>
  <c r="F273" i="15"/>
  <c r="F432" i="15"/>
  <c r="F291" i="15"/>
  <c r="F329" i="15"/>
  <c r="E303" i="15"/>
  <c r="F442" i="15"/>
  <c r="F855" i="15"/>
  <c r="F862" i="15"/>
  <c r="F865" i="15"/>
  <c r="F858" i="15"/>
  <c r="E869" i="15"/>
  <c r="E863" i="15"/>
  <c r="E859" i="15"/>
  <c r="E855" i="15"/>
  <c r="E849" i="15"/>
  <c r="E845" i="15"/>
  <c r="F860" i="15"/>
  <c r="E865" i="15"/>
  <c r="E861" i="15"/>
  <c r="E857" i="15"/>
  <c r="E851" i="15"/>
  <c r="F1452" i="15"/>
  <c r="F1459" i="15"/>
  <c r="E1460" i="15"/>
  <c r="E1456" i="15"/>
  <c r="E1451" i="15"/>
  <c r="E1443" i="15"/>
  <c r="E1464" i="15"/>
  <c r="E1458" i="15"/>
  <c r="E1453" i="15"/>
  <c r="E1446" i="15"/>
  <c r="E1440" i="15"/>
  <c r="F650" i="15"/>
  <c r="F651" i="15"/>
  <c r="F1040" i="15"/>
  <c r="E1042" i="15"/>
  <c r="E1038" i="15"/>
  <c r="E1034" i="15"/>
  <c r="E1030" i="15"/>
  <c r="E1040" i="15"/>
  <c r="E1036" i="15"/>
  <c r="E1032" i="15"/>
  <c r="E1028" i="15"/>
  <c r="E1113" i="15"/>
  <c r="E1106" i="15"/>
  <c r="E1116" i="15"/>
  <c r="E1108" i="15"/>
  <c r="E1098" i="15"/>
  <c r="F1166" i="15"/>
  <c r="E1140" i="15"/>
  <c r="E1136" i="15"/>
  <c r="E1131" i="15"/>
  <c r="F1137" i="15"/>
  <c r="E1138" i="15"/>
  <c r="E1133" i="15"/>
  <c r="E1585" i="15"/>
  <c r="E1589" i="15"/>
  <c r="E1587" i="15"/>
  <c r="E1601" i="15"/>
  <c r="E1599" i="15"/>
  <c r="E1569" i="15"/>
  <c r="E1562" i="15"/>
  <c r="E1545" i="15"/>
  <c r="F1590" i="15"/>
  <c r="E1568" i="15"/>
  <c r="E1558" i="15"/>
  <c r="E1549" i="15"/>
  <c r="F1548" i="15"/>
  <c r="E1572" i="15"/>
  <c r="E1564" i="15"/>
  <c r="E1548" i="15"/>
  <c r="E18" i="15"/>
  <c r="E34" i="15"/>
  <c r="E50" i="15"/>
  <c r="E66" i="15"/>
  <c r="E234" i="15"/>
  <c r="E244" i="15"/>
  <c r="E252" i="15"/>
  <c r="E260" i="15"/>
  <c r="E264" i="15"/>
  <c r="E267" i="15"/>
  <c r="E422" i="15"/>
  <c r="E426" i="15"/>
  <c r="E430" i="15"/>
  <c r="E437" i="15"/>
  <c r="E442" i="15"/>
  <c r="E446" i="15"/>
  <c r="E650" i="15"/>
  <c r="E655" i="15"/>
  <c r="E662" i="15"/>
  <c r="E667" i="15"/>
  <c r="E672" i="15"/>
  <c r="E676" i="15"/>
  <c r="E680" i="15"/>
  <c r="E688" i="15"/>
  <c r="E700" i="15"/>
  <c r="E770" i="15"/>
  <c r="E787" i="15"/>
  <c r="E793" i="15"/>
  <c r="E799" i="15"/>
  <c r="E1031" i="15"/>
  <c r="E1039" i="15"/>
  <c r="E1115" i="15"/>
  <c r="E1137" i="15"/>
  <c r="E1153" i="15"/>
  <c r="E1164" i="15"/>
  <c r="E1560" i="15"/>
  <c r="E1577" i="15"/>
  <c r="F1587" i="15"/>
  <c r="F37" i="15"/>
  <c r="F74" i="15"/>
  <c r="F155" i="15"/>
  <c r="F12" i="15"/>
  <c r="F8" i="15"/>
  <c r="F359" i="15"/>
  <c r="F365" i="15"/>
  <c r="F391" i="15"/>
  <c r="F382" i="15"/>
  <c r="F361" i="15"/>
  <c r="F357" i="15"/>
  <c r="F367" i="15"/>
  <c r="F385" i="15"/>
  <c r="F358" i="15"/>
  <c r="F355" i="15"/>
  <c r="F97" i="15"/>
  <c r="F89" i="15"/>
  <c r="F150" i="15"/>
  <c r="F124" i="15"/>
  <c r="F478" i="15"/>
  <c r="F493" i="15"/>
  <c r="F523" i="15"/>
  <c r="F613" i="15"/>
  <c r="F607" i="15"/>
  <c r="F615" i="15"/>
  <c r="F606" i="15"/>
  <c r="F659" i="15"/>
  <c r="F802" i="15"/>
  <c r="E838" i="15"/>
  <c r="E825" i="15"/>
  <c r="F1327" i="15"/>
  <c r="F1322" i="15"/>
  <c r="E1338" i="15"/>
  <c r="E1334" i="15"/>
  <c r="E1327" i="15"/>
  <c r="E1323" i="15"/>
  <c r="E1319" i="15"/>
  <c r="E1313" i="15"/>
  <c r="E1309" i="15"/>
  <c r="E1301" i="15"/>
  <c r="E1295" i="15"/>
  <c r="F1338" i="15"/>
  <c r="E1343" i="15"/>
  <c r="E1336" i="15"/>
  <c r="E1332" i="15"/>
  <c r="E1325" i="15"/>
  <c r="E1321" i="15"/>
  <c r="E1317" i="15"/>
  <c r="E1311" i="15"/>
  <c r="E1307" i="15"/>
  <c r="E1299" i="15"/>
  <c r="E1293" i="15"/>
  <c r="F1251" i="15"/>
  <c r="E1288" i="15"/>
  <c r="E1284" i="15"/>
  <c r="E1278" i="15"/>
  <c r="E1274" i="15"/>
  <c r="E1270" i="15"/>
  <c r="E1264" i="15"/>
  <c r="E1260" i="15"/>
  <c r="E1252" i="15"/>
  <c r="E1248" i="15"/>
  <c r="E1244" i="15"/>
  <c r="E1240" i="15"/>
  <c r="E1236" i="15"/>
  <c r="E1232" i="15"/>
  <c r="E1286" i="15"/>
  <c r="E1280" i="15"/>
  <c r="E1276" i="15"/>
  <c r="E1272" i="15"/>
  <c r="E1266" i="15"/>
  <c r="E1262" i="15"/>
  <c r="E1258" i="15"/>
  <c r="E1250" i="15"/>
  <c r="E1246" i="15"/>
  <c r="E1242" i="15"/>
  <c r="E1238" i="15"/>
  <c r="E1234" i="15"/>
  <c r="E1230" i="15"/>
  <c r="E1224" i="15"/>
  <c r="E1216" i="15"/>
  <c r="E1208" i="15"/>
  <c r="E1200" i="15"/>
  <c r="F1266" i="15"/>
  <c r="E1220" i="15"/>
  <c r="E1212" i="15"/>
  <c r="E1204" i="15"/>
  <c r="E1192" i="15"/>
  <c r="E1438" i="15"/>
  <c r="E1429" i="15"/>
  <c r="E1423" i="15"/>
  <c r="E1419" i="15"/>
  <c r="E1408" i="15"/>
  <c r="E1434" i="15"/>
  <c r="E1431" i="15"/>
  <c r="E1427" i="15"/>
  <c r="E1421" i="15"/>
  <c r="E1414" i="15"/>
  <c r="F280" i="15"/>
  <c r="F263" i="15"/>
  <c r="F366" i="15"/>
  <c r="F266" i="15"/>
  <c r="F304" i="15"/>
  <c r="F288" i="15"/>
  <c r="F249" i="15"/>
  <c r="F1108" i="15"/>
  <c r="F498" i="15"/>
  <c r="F520" i="15"/>
  <c r="F1117" i="15"/>
  <c r="F1186" i="15"/>
  <c r="E1510" i="15"/>
  <c r="F1564" i="15"/>
  <c r="F741" i="15"/>
  <c r="F728" i="15"/>
  <c r="F195" i="15"/>
  <c r="F194" i="15"/>
  <c r="F378" i="15"/>
  <c r="F349" i="15"/>
  <c r="F558" i="15"/>
  <c r="F564" i="15"/>
  <c r="F999" i="15"/>
  <c r="F976" i="15"/>
  <c r="F968" i="15"/>
  <c r="F1001" i="15"/>
  <c r="F1154" i="15"/>
  <c r="F1279" i="15"/>
  <c r="E1565" i="15"/>
  <c r="F1424" i="15"/>
  <c r="F1382" i="15"/>
  <c r="F368" i="15"/>
  <c r="F164" i="15"/>
  <c r="F172" i="15"/>
  <c r="F166" i="15"/>
  <c r="F181" i="15"/>
  <c r="F465" i="15"/>
  <c r="F481" i="15"/>
  <c r="F608" i="15"/>
  <c r="F669" i="15"/>
  <c r="F739" i="15"/>
  <c r="F801" i="15"/>
  <c r="F869" i="15"/>
  <c r="F877" i="15"/>
  <c r="F888" i="15"/>
  <c r="F885" i="15"/>
  <c r="F1116" i="15"/>
  <c r="F1124" i="15"/>
  <c r="F1367" i="15"/>
  <c r="F1348" i="15"/>
  <c r="F1356" i="15"/>
  <c r="F1636" i="15"/>
  <c r="F83" i="15"/>
  <c r="F91" i="15"/>
  <c r="F82" i="15"/>
  <c r="F65" i="15"/>
  <c r="F70" i="15"/>
  <c r="F75" i="15"/>
  <c r="F59" i="15"/>
  <c r="F55" i="15"/>
  <c r="F45" i="15"/>
  <c r="F38" i="15"/>
  <c r="F43" i="15"/>
  <c r="F27" i="15"/>
  <c r="F94" i="15"/>
  <c r="F84" i="15"/>
  <c r="F62" i="15"/>
  <c r="F67" i="15"/>
  <c r="F73" i="15"/>
  <c r="F78" i="15"/>
  <c r="F53" i="15"/>
  <c r="F46" i="15"/>
  <c r="F35" i="15"/>
  <c r="F41" i="15"/>
  <c r="F30" i="15"/>
  <c r="F23" i="15"/>
  <c r="F29" i="15"/>
  <c r="F1057" i="15"/>
  <c r="F1062" i="15"/>
  <c r="F1070" i="15"/>
  <c r="F1061" i="15"/>
  <c r="F1085" i="15"/>
  <c r="F1097" i="15"/>
  <c r="F1096" i="15"/>
  <c r="F1088" i="15"/>
  <c r="F1084" i="15"/>
  <c r="F1094" i="15"/>
  <c r="F334" i="15"/>
  <c r="F310" i="15"/>
  <c r="F308" i="15"/>
  <c r="F313" i="15"/>
  <c r="E301" i="15"/>
  <c r="E309" i="15"/>
  <c r="F312" i="15"/>
  <c r="F302" i="15"/>
  <c r="F322" i="15"/>
  <c r="F297" i="15"/>
  <c r="E305" i="15"/>
  <c r="F293" i="15"/>
  <c r="F1080" i="15"/>
  <c r="F1074" i="15"/>
  <c r="E15" i="15"/>
  <c r="E19" i="15"/>
  <c r="E23" i="15"/>
  <c r="E27" i="15"/>
  <c r="E31" i="15"/>
  <c r="E35" i="15"/>
  <c r="E39" i="15"/>
  <c r="E43" i="15"/>
  <c r="E47" i="15"/>
  <c r="E51" i="15"/>
  <c r="E55" i="15"/>
  <c r="E59" i="15"/>
  <c r="E63" i="15"/>
  <c r="E67" i="15"/>
  <c r="E71" i="15"/>
  <c r="E75" i="15"/>
  <c r="E82" i="15"/>
  <c r="E90" i="15"/>
  <c r="E98" i="15"/>
  <c r="E106" i="15"/>
  <c r="E114" i="15"/>
  <c r="E122" i="15"/>
  <c r="E130" i="15"/>
  <c r="E138" i="15"/>
  <c r="E146" i="15"/>
  <c r="E154" i="15"/>
  <c r="E232" i="15"/>
  <c r="E239" i="15"/>
  <c r="E243" i="15"/>
  <c r="E247" i="15"/>
  <c r="E251" i="15"/>
  <c r="E255" i="15"/>
  <c r="E259" i="15"/>
  <c r="E282" i="15"/>
  <c r="E286" i="15"/>
  <c r="E290" i="15"/>
  <c r="E294" i="15"/>
  <c r="E315" i="15"/>
  <c r="E324" i="15"/>
  <c r="E332" i="15"/>
  <c r="E1051" i="15"/>
  <c r="E1058" i="15"/>
  <c r="E1062" i="15"/>
  <c r="E1070" i="15"/>
  <c r="E1074" i="15"/>
  <c r="E1082" i="15"/>
  <c r="E1086" i="15"/>
  <c r="E1096" i="15"/>
  <c r="E1103" i="15"/>
  <c r="E1630" i="15"/>
  <c r="E1638" i="15"/>
  <c r="F1565" i="15"/>
  <c r="F10" i="15"/>
  <c r="F28" i="15"/>
  <c r="F31" i="15"/>
  <c r="F34" i="15"/>
  <c r="F51" i="15"/>
  <c r="F71" i="15"/>
  <c r="F61" i="15"/>
  <c r="F107" i="15"/>
  <c r="F212" i="15"/>
  <c r="F217" i="15"/>
  <c r="F197" i="15"/>
  <c r="F185" i="15"/>
  <c r="F204" i="15"/>
  <c r="F201" i="15"/>
  <c r="F202" i="15"/>
  <c r="F187" i="15"/>
  <c r="E299" i="15"/>
  <c r="F330" i="15"/>
  <c r="F271" i="15"/>
  <c r="F268" i="15"/>
  <c r="F264" i="15"/>
  <c r="F278" i="15"/>
  <c r="F283" i="15"/>
  <c r="F396" i="15"/>
  <c r="F353" i="15"/>
  <c r="F373" i="15"/>
  <c r="F344" i="15"/>
  <c r="F342" i="15"/>
  <c r="E312" i="15"/>
  <c r="F332" i="15"/>
  <c r="F724" i="15"/>
  <c r="F499" i="15"/>
  <c r="F450" i="15"/>
  <c r="F441" i="15"/>
  <c r="F444" i="15"/>
  <c r="F457" i="15"/>
  <c r="F427" i="15"/>
  <c r="F490" i="15"/>
  <c r="F847" i="15"/>
  <c r="F851" i="15"/>
  <c r="F857" i="15"/>
  <c r="F849" i="15"/>
  <c r="F948" i="15"/>
  <c r="F1086" i="15"/>
  <c r="F1157" i="15"/>
  <c r="F1151" i="15"/>
  <c r="F1207" i="15"/>
  <c r="F783" i="15"/>
  <c r="F1422" i="15"/>
  <c r="F1414" i="15"/>
  <c r="F1384" i="15"/>
  <c r="F1429" i="15"/>
  <c r="F1379" i="15"/>
  <c r="F1388" i="15"/>
  <c r="F1407" i="15"/>
  <c r="F1386" i="15"/>
  <c r="F1588" i="15"/>
  <c r="F1585" i="15"/>
  <c r="F1603" i="15"/>
  <c r="F1596" i="15"/>
  <c r="E1586" i="15"/>
  <c r="E1598" i="15"/>
  <c r="E1600" i="15"/>
  <c r="E1596" i="15"/>
  <c r="E16" i="15"/>
  <c r="E24" i="15"/>
  <c r="E36" i="15"/>
  <c r="E44" i="15"/>
  <c r="E52" i="15"/>
  <c r="E60" i="15"/>
  <c r="E68" i="15"/>
  <c r="E76" i="15"/>
  <c r="E283" i="15"/>
  <c r="E291" i="15"/>
  <c r="E318" i="15"/>
  <c r="E334" i="15"/>
  <c r="E1052" i="15"/>
  <c r="E1059" i="15"/>
  <c r="E1071" i="15"/>
  <c r="E1083" i="15"/>
  <c r="E1087" i="15"/>
  <c r="F24" i="15"/>
  <c r="F47" i="15"/>
  <c r="F69" i="15"/>
  <c r="F282" i="15"/>
  <c r="F260" i="15"/>
  <c r="F245" i="15"/>
  <c r="F235" i="15"/>
  <c r="F262" i="15"/>
  <c r="F253" i="15"/>
  <c r="F239" i="15"/>
  <c r="E297" i="15"/>
  <c r="F300" i="15"/>
  <c r="F296" i="15"/>
  <c r="F17" i="15"/>
  <c r="F9" i="15"/>
  <c r="F7" i="15"/>
  <c r="F135" i="15"/>
  <c r="F11" i="15"/>
  <c r="F4" i="15"/>
  <c r="E4" i="15"/>
  <c r="F1115" i="15"/>
  <c r="F1638" i="15"/>
  <c r="F1633" i="15"/>
  <c r="F1635" i="15"/>
  <c r="E1639" i="15"/>
  <c r="E1635" i="15"/>
  <c r="E1631" i="15"/>
  <c r="E1637" i="15"/>
  <c r="E1633" i="15"/>
  <c r="E20" i="15"/>
  <c r="E28" i="15"/>
  <c r="E32" i="15"/>
  <c r="E40" i="15"/>
  <c r="E48" i="15"/>
  <c r="E56" i="15"/>
  <c r="E64" i="15"/>
  <c r="E72" i="15"/>
  <c r="E279" i="15"/>
  <c r="E287" i="15"/>
  <c r="E295" i="15"/>
  <c r="E326" i="15"/>
  <c r="E1063" i="15"/>
  <c r="E1075" i="15"/>
  <c r="E1097" i="15"/>
  <c r="E1620" i="15"/>
  <c r="E1640" i="15"/>
  <c r="F42" i="15"/>
  <c r="F79" i="15"/>
  <c r="F85" i="15"/>
  <c r="F16" i="15"/>
  <c r="E9" i="15"/>
  <c r="F20" i="15"/>
  <c r="E13" i="15"/>
  <c r="F305" i="15"/>
  <c r="F144" i="15"/>
  <c r="F137" i="15"/>
  <c r="F105" i="15"/>
  <c r="F184" i="15"/>
  <c r="F138" i="15"/>
  <c r="F119" i="15"/>
  <c r="E17" i="15"/>
  <c r="E21" i="15"/>
  <c r="E25" i="15"/>
  <c r="E29" i="15"/>
  <c r="E33" i="15"/>
  <c r="E37" i="15"/>
  <c r="E41" i="15"/>
  <c r="E45" i="15"/>
  <c r="E49" i="15"/>
  <c r="E53" i="15"/>
  <c r="E57" i="15"/>
  <c r="E61" i="15"/>
  <c r="E65" i="15"/>
  <c r="E69" i="15"/>
  <c r="E73" i="15"/>
  <c r="E78" i="15"/>
  <c r="E86" i="15"/>
  <c r="E94" i="15"/>
  <c r="E102" i="15"/>
  <c r="E110" i="15"/>
  <c r="E118" i="15"/>
  <c r="E126" i="15"/>
  <c r="E134" i="15"/>
  <c r="E142" i="15"/>
  <c r="E150" i="15"/>
  <c r="E228" i="15"/>
  <c r="E236" i="15"/>
  <c r="E241" i="15"/>
  <c r="E245" i="15"/>
  <c r="E249" i="15"/>
  <c r="E253" i="15"/>
  <c r="E257" i="15"/>
  <c r="E280" i="15"/>
  <c r="E284" i="15"/>
  <c r="E288" i="15"/>
  <c r="E292" i="15"/>
  <c r="E296" i="15"/>
  <c r="E320" i="15"/>
  <c r="E328" i="15"/>
  <c r="E336" i="15"/>
  <c r="E1049" i="15"/>
  <c r="E1053" i="15"/>
  <c r="E1060" i="15"/>
  <c r="E1064" i="15"/>
  <c r="E1072" i="15"/>
  <c r="E1080" i="15"/>
  <c r="E1084" i="15"/>
  <c r="E1088" i="15"/>
  <c r="E1624" i="15"/>
  <c r="E1634" i="15"/>
  <c r="E11" i="15"/>
  <c r="F5" i="15"/>
  <c r="F19" i="15"/>
  <c r="F22" i="15"/>
  <c r="F39" i="15"/>
  <c r="F57" i="15"/>
  <c r="F77" i="15"/>
  <c r="F66" i="15"/>
  <c r="F90" i="15"/>
  <c r="F113" i="15"/>
  <c r="F129" i="15"/>
  <c r="F241" i="15"/>
  <c r="F269" i="15"/>
  <c r="F286" i="15"/>
  <c r="F298" i="15"/>
  <c r="E307" i="15"/>
  <c r="F317" i="15"/>
  <c r="F326" i="15"/>
  <c r="F680" i="15"/>
  <c r="F690" i="15"/>
  <c r="F676" i="15"/>
  <c r="F831" i="15"/>
  <c r="F800" i="15"/>
  <c r="F795" i="15"/>
  <c r="F799" i="15"/>
  <c r="F842" i="15"/>
  <c r="F817" i="15"/>
  <c r="F793" i="15"/>
  <c r="F819" i="15"/>
  <c r="F790" i="15"/>
  <c r="F810" i="15"/>
  <c r="F840" i="15"/>
  <c r="F916" i="15"/>
  <c r="F946" i="15"/>
  <c r="F1082" i="15"/>
  <c r="F1145" i="15"/>
  <c r="F1153" i="15"/>
  <c r="F1155" i="15"/>
  <c r="F1139" i="15"/>
  <c r="F1138" i="15"/>
  <c r="F1140" i="15"/>
  <c r="F1135" i="15"/>
  <c r="F1370" i="15"/>
  <c r="F1332" i="15"/>
  <c r="F1343" i="15"/>
  <c r="F1319" i="15"/>
  <c r="F1325" i="15"/>
  <c r="F1336" i="15"/>
  <c r="F1321" i="15"/>
  <c r="F1323" i="15"/>
  <c r="F1345" i="15"/>
  <c r="F1334" i="15"/>
  <c r="F1314" i="15"/>
  <c r="F1283" i="15"/>
  <c r="F1242" i="15"/>
  <c r="F1308" i="15"/>
  <c r="F1277" i="15"/>
  <c r="F1292" i="15"/>
  <c r="F1272" i="15"/>
  <c r="F1232" i="15"/>
  <c r="F1318" i="15"/>
  <c r="F1302" i="15"/>
  <c r="F1287" i="15"/>
  <c r="F1262" i="15"/>
  <c r="F1218" i="15"/>
  <c r="F1226" i="15"/>
  <c r="F1233" i="15"/>
  <c r="F1421" i="15"/>
  <c r="F1417" i="15"/>
  <c r="F1395" i="15"/>
  <c r="F1431" i="15"/>
  <c r="F1389" i="15"/>
  <c r="F1403" i="15"/>
  <c r="F1427" i="15"/>
  <c r="F1406" i="15"/>
  <c r="F1434" i="15"/>
  <c r="F1397" i="15"/>
  <c r="F1559" i="15"/>
  <c r="F1533" i="15"/>
  <c r="F1594" i="15"/>
  <c r="F1581" i="15"/>
  <c r="F1583" i="15"/>
  <c r="E1582" i="15"/>
  <c r="E1578" i="15"/>
  <c r="E1574" i="15"/>
  <c r="E1606" i="15"/>
  <c r="E1602" i="15"/>
  <c r="E1604" i="15"/>
  <c r="E1570" i="15"/>
  <c r="E1566" i="15"/>
  <c r="F1570" i="15"/>
  <c r="F15" i="15"/>
  <c r="F295" i="15"/>
  <c r="F398" i="15"/>
  <c r="F397" i="15"/>
  <c r="F421" i="15"/>
  <c r="F419" i="15"/>
  <c r="F439" i="15"/>
  <c r="F562" i="15"/>
  <c r="F552" i="15"/>
  <c r="F702" i="15"/>
  <c r="F672" i="15"/>
  <c r="F660" i="15"/>
  <c r="F655" i="15"/>
  <c r="F657" i="15"/>
  <c r="F663" i="15"/>
  <c r="F762" i="15"/>
  <c r="F769" i="15"/>
  <c r="F997" i="15"/>
  <c r="F962" i="15"/>
  <c r="F969" i="15"/>
  <c r="F974" i="15"/>
  <c r="F1003" i="15"/>
  <c r="F956" i="15"/>
  <c r="F1000" i="15"/>
  <c r="F964" i="15"/>
  <c r="F972" i="15"/>
  <c r="F977" i="15"/>
  <c r="F980" i="15"/>
  <c r="F957" i="15"/>
  <c r="F409" i="15"/>
  <c r="F414" i="15"/>
  <c r="F423" i="15"/>
  <c r="F489" i="15"/>
  <c r="F480" i="15"/>
  <c r="F546" i="15"/>
  <c r="F503" i="15"/>
  <c r="F500" i="15"/>
  <c r="F494" i="15"/>
  <c r="F501" i="15"/>
  <c r="F521" i="15"/>
  <c r="F512" i="15"/>
  <c r="F591" i="15"/>
  <c r="F579" i="15"/>
  <c r="F573" i="15"/>
  <c r="F619" i="15"/>
  <c r="F602" i="15"/>
  <c r="F583" i="15"/>
  <c r="F589" i="15"/>
  <c r="F614" i="15"/>
  <c r="F597" i="15"/>
  <c r="F585" i="15"/>
  <c r="F582" i="15"/>
  <c r="F612" i="15"/>
  <c r="F662" i="15"/>
  <c r="F711" i="15"/>
  <c r="F768" i="15"/>
  <c r="F961" i="15"/>
  <c r="F973" i="15"/>
  <c r="F981" i="15"/>
  <c r="F1036" i="15"/>
  <c r="F1060" i="15"/>
  <c r="F1105" i="15"/>
  <c r="F1125" i="15"/>
  <c r="F1175" i="15"/>
  <c r="F1131" i="15"/>
  <c r="F1465" i="15"/>
  <c r="F1478" i="15"/>
  <c r="F1439" i="15"/>
  <c r="F843" i="15"/>
  <c r="F727" i="15"/>
  <c r="F714" i="15"/>
  <c r="F779" i="15"/>
  <c r="F733" i="15"/>
  <c r="F746" i="15"/>
  <c r="F712" i="15"/>
  <c r="F537" i="15"/>
  <c r="F509" i="15"/>
  <c r="F654" i="15"/>
  <c r="F1180" i="15"/>
  <c r="F1534" i="15"/>
  <c r="F454" i="15"/>
  <c r="F464" i="15"/>
  <c r="F553" i="15"/>
  <c r="F1041" i="15"/>
  <c r="F1560" i="15"/>
  <c r="F518" i="15"/>
  <c r="F511" i="15"/>
  <c r="F530" i="15"/>
  <c r="F513" i="15"/>
  <c r="F687" i="15"/>
  <c r="F689" i="15"/>
  <c r="F692" i="15"/>
  <c r="F754" i="15"/>
  <c r="F785" i="15"/>
  <c r="F770" i="15"/>
  <c r="F740" i="15"/>
  <c r="F735" i="15"/>
  <c r="F742" i="15"/>
  <c r="F833" i="15"/>
  <c r="F796" i="15"/>
  <c r="F778" i="15"/>
  <c r="F753" i="15"/>
  <c r="F747" i="15"/>
  <c r="F734" i="15"/>
  <c r="F257" i="15"/>
  <c r="F227" i="15"/>
  <c r="F231" i="15"/>
  <c r="F225" i="15"/>
  <c r="F214" i="15"/>
  <c r="F259" i="15"/>
  <c r="F251" i="15"/>
  <c r="F243" i="15"/>
  <c r="F238" i="15"/>
  <c r="F229" i="15"/>
  <c r="F240" i="15"/>
  <c r="F221" i="15"/>
  <c r="F219" i="15"/>
  <c r="F384" i="15"/>
  <c r="F381" i="15"/>
  <c r="F364" i="15"/>
  <c r="F370" i="15"/>
  <c r="F386" i="15"/>
  <c r="F389" i="15"/>
  <c r="F374" i="15"/>
  <c r="F178" i="15"/>
  <c r="F167" i="15"/>
  <c r="F158" i="15"/>
  <c r="F156" i="15"/>
  <c r="F145" i="15"/>
  <c r="F149" i="15"/>
  <c r="F141" i="15"/>
  <c r="F132" i="15"/>
  <c r="F130" i="15"/>
  <c r="F142" i="15"/>
  <c r="F110" i="15"/>
  <c r="F114" i="15"/>
  <c r="F118" i="15"/>
  <c r="F122" i="15"/>
  <c r="F102" i="15"/>
  <c r="F106" i="15"/>
  <c r="F96" i="15"/>
  <c r="F87" i="15"/>
  <c r="F92" i="15"/>
  <c r="F429" i="15"/>
  <c r="F828" i="15"/>
  <c r="F821" i="15"/>
  <c r="F940" i="15"/>
  <c r="F925" i="15"/>
  <c r="F914" i="15"/>
  <c r="F918" i="15"/>
  <c r="F924" i="15"/>
  <c r="F903" i="15"/>
  <c r="F1029" i="15"/>
  <c r="F955" i="15"/>
  <c r="F939" i="15"/>
  <c r="F941" i="15"/>
  <c r="F933" i="15"/>
  <c r="F929" i="15"/>
  <c r="F917" i="15"/>
  <c r="F920" i="15"/>
  <c r="F900" i="15"/>
  <c r="F960" i="15"/>
  <c r="F936" i="15"/>
  <c r="F947" i="15"/>
  <c r="F915" i="15"/>
  <c r="F907" i="15"/>
  <c r="F905" i="15"/>
  <c r="F1625" i="15"/>
  <c r="F1629" i="15"/>
  <c r="F1618" i="15"/>
  <c r="F1619" i="15"/>
  <c r="F1620" i="15"/>
  <c r="F1615" i="15"/>
  <c r="F1622" i="15"/>
  <c r="F1623" i="15"/>
  <c r="F1632" i="15"/>
  <c r="F1624" i="15"/>
  <c r="E79" i="15"/>
  <c r="E83" i="15"/>
  <c r="E87" i="15"/>
  <c r="E91" i="15"/>
  <c r="E95" i="15"/>
  <c r="E99" i="15"/>
  <c r="E103" i="15"/>
  <c r="E107" i="15"/>
  <c r="E111" i="15"/>
  <c r="E115" i="15"/>
  <c r="E119" i="15"/>
  <c r="E123" i="15"/>
  <c r="E127" i="15"/>
  <c r="E131" i="15"/>
  <c r="E135" i="15"/>
  <c r="E139" i="15"/>
  <c r="E143" i="15"/>
  <c r="E147" i="15"/>
  <c r="E151" i="15"/>
  <c r="E155" i="15"/>
  <c r="E207" i="15"/>
  <c r="E211" i="15"/>
  <c r="E215" i="15"/>
  <c r="E219" i="15"/>
  <c r="E223" i="15"/>
  <c r="E227" i="15"/>
  <c r="E231" i="15"/>
  <c r="E235" i="15"/>
  <c r="E314" i="15"/>
  <c r="E319" i="15"/>
  <c r="E323" i="15"/>
  <c r="E327" i="15"/>
  <c r="E331" i="15"/>
  <c r="E335" i="15"/>
  <c r="E340" i="15"/>
  <c r="E344" i="15"/>
  <c r="E348" i="15"/>
  <c r="E352" i="15"/>
  <c r="E364" i="15"/>
  <c r="E368" i="15"/>
  <c r="E372" i="15"/>
  <c r="E376" i="15"/>
  <c r="E382" i="15"/>
  <c r="E386" i="15"/>
  <c r="E390" i="15"/>
  <c r="E394" i="15"/>
  <c r="E398" i="15"/>
  <c r="E402" i="15"/>
  <c r="E511" i="15"/>
  <c r="E518" i="15"/>
  <c r="E522" i="15"/>
  <c r="E529" i="15"/>
  <c r="E613" i="15"/>
  <c r="E647" i="15"/>
  <c r="E649" i="15"/>
  <c r="E689" i="15"/>
  <c r="E693" i="15"/>
  <c r="E701" i="15"/>
  <c r="E705" i="15"/>
  <c r="E743" i="15"/>
  <c r="E750" i="15"/>
  <c r="E767" i="15"/>
  <c r="E747" i="15"/>
  <c r="E755" i="15"/>
  <c r="E818" i="15"/>
  <c r="E824" i="15"/>
  <c r="E828" i="15"/>
  <c r="E835" i="15"/>
  <c r="E841" i="15"/>
  <c r="E902" i="15"/>
  <c r="E906" i="15"/>
  <c r="E913" i="15"/>
  <c r="E917" i="15"/>
  <c r="E921" i="15"/>
  <c r="E929" i="15"/>
  <c r="E933" i="15"/>
  <c r="E937" i="15"/>
  <c r="E941" i="15"/>
  <c r="E948" i="15"/>
  <c r="E1187" i="15"/>
  <c r="E1193" i="15"/>
  <c r="E1201" i="15"/>
  <c r="E1205" i="15"/>
  <c r="E1209" i="15"/>
  <c r="E1213" i="15"/>
  <c r="E1217" i="15"/>
  <c r="E1221" i="15"/>
  <c r="E1225" i="15"/>
  <c r="E1550" i="15"/>
  <c r="E1555" i="15"/>
  <c r="E1557" i="15"/>
  <c r="E1561" i="15"/>
  <c r="E1609" i="15"/>
  <c r="E1613" i="15"/>
  <c r="E1617" i="15"/>
  <c r="E1621" i="15"/>
  <c r="E6" i="15"/>
  <c r="E10" i="15"/>
  <c r="E5" i="15"/>
  <c r="F18" i="15"/>
  <c r="F13" i="15"/>
  <c r="F58" i="15"/>
  <c r="F88" i="15"/>
  <c r="F100" i="15"/>
  <c r="F104" i="15"/>
  <c r="F123" i="15"/>
  <c r="F117" i="15"/>
  <c r="F112" i="15"/>
  <c r="F127" i="15"/>
  <c r="F128" i="15"/>
  <c r="F143" i="15"/>
  <c r="F148" i="15"/>
  <c r="F152" i="15"/>
  <c r="F168" i="15"/>
  <c r="F216" i="15"/>
  <c r="F220" i="15"/>
  <c r="F228" i="15"/>
  <c r="F237" i="15"/>
  <c r="F252" i="15"/>
  <c r="F279" i="15"/>
  <c r="F336" i="15"/>
  <c r="F348" i="15"/>
  <c r="F351" i="15"/>
  <c r="F377" i="15"/>
  <c r="F371" i="15"/>
  <c r="F394" i="15"/>
  <c r="F406" i="15"/>
  <c r="F405" i="15"/>
  <c r="F399" i="15"/>
  <c r="F393" i="15"/>
  <c r="F404" i="15"/>
  <c r="F388" i="15"/>
  <c r="F410" i="15"/>
  <c r="F407" i="15"/>
  <c r="F401" i="15"/>
  <c r="F395" i="15"/>
  <c r="F392" i="15"/>
  <c r="F415" i="15"/>
  <c r="F430" i="15"/>
  <c r="F408" i="15"/>
  <c r="F420" i="15"/>
  <c r="F413" i="15"/>
  <c r="F437" i="15"/>
  <c r="F412" i="15"/>
  <c r="F422" i="15"/>
  <c r="F514" i="15"/>
  <c r="F524" i="15"/>
  <c r="F596" i="15"/>
  <c r="F586" i="15"/>
  <c r="F578" i="15"/>
  <c r="F571" i="15"/>
  <c r="F563" i="15"/>
  <c r="F590" i="15"/>
  <c r="F580" i="15"/>
  <c r="F574" i="15"/>
  <c r="F561" i="15"/>
  <c r="F559" i="15"/>
  <c r="F681" i="15"/>
  <c r="F700" i="15"/>
  <c r="F671" i="15"/>
  <c r="F679" i="15"/>
  <c r="F685" i="15"/>
  <c r="F678" i="15"/>
  <c r="F668" i="15"/>
  <c r="F674" i="15"/>
  <c r="F688" i="15"/>
  <c r="F718" i="15"/>
  <c r="F713" i="15"/>
  <c r="F709" i="15"/>
  <c r="F707" i="15"/>
  <c r="F706" i="15"/>
  <c r="F716" i="15"/>
  <c r="F715" i="15"/>
  <c r="F721" i="15"/>
  <c r="F704" i="15"/>
  <c r="F720" i="15"/>
  <c r="F703" i="15"/>
  <c r="F554" i="15"/>
  <c r="F443" i="15"/>
  <c r="F447" i="15"/>
  <c r="F473" i="15"/>
  <c r="F436" i="15"/>
  <c r="F424" i="15"/>
  <c r="F719" i="15"/>
  <c r="F491" i="15"/>
  <c r="F445" i="15"/>
  <c r="F451" i="15"/>
  <c r="F453" i="15"/>
  <c r="F428" i="15"/>
  <c r="F745" i="15"/>
  <c r="F736" i="15"/>
  <c r="F791" i="15"/>
  <c r="F825" i="15"/>
  <c r="F913" i="15"/>
  <c r="F930" i="15"/>
  <c r="F938" i="15"/>
  <c r="F871" i="15"/>
  <c r="F846" i="15"/>
  <c r="F850" i="15"/>
  <c r="F864" i="15"/>
  <c r="F826" i="15"/>
  <c r="F838" i="15"/>
  <c r="F931" i="15"/>
  <c r="F848" i="15"/>
  <c r="F852" i="15"/>
  <c r="F844" i="15"/>
  <c r="F829" i="15"/>
  <c r="F1211" i="15"/>
  <c r="F1598" i="15"/>
  <c r="F1600" i="15"/>
  <c r="F1591" i="15"/>
  <c r="F1595" i="15"/>
  <c r="F1589" i="15"/>
  <c r="F1610" i="15"/>
  <c r="F1602" i="15"/>
  <c r="F1601" i="15"/>
  <c r="F1597" i="15"/>
  <c r="F1612" i="15"/>
  <c r="F1611" i="15"/>
  <c r="F1609" i="15"/>
  <c r="F86" i="15"/>
  <c r="F108" i="15"/>
  <c r="F121" i="15"/>
  <c r="F131" i="15"/>
  <c r="F147" i="15"/>
  <c r="F157" i="15"/>
  <c r="F163" i="15"/>
  <c r="F226" i="15"/>
  <c r="F256" i="15"/>
  <c r="F383" i="15"/>
  <c r="F369" i="15"/>
  <c r="F519" i="15"/>
  <c r="F618" i="15"/>
  <c r="F624" i="15"/>
  <c r="F722" i="15"/>
  <c r="F675" i="15"/>
  <c r="F652" i="15"/>
  <c r="F642" i="15"/>
  <c r="F723" i="15"/>
  <c r="F653" i="15"/>
  <c r="F760" i="15"/>
  <c r="F835" i="15"/>
  <c r="F1543" i="15"/>
  <c r="F1561" i="15"/>
  <c r="F1549" i="15"/>
  <c r="F1558" i="15"/>
  <c r="F1546" i="15"/>
  <c r="F1562" i="15"/>
  <c r="F1544" i="15"/>
  <c r="F1627" i="15"/>
  <c r="F103" i="15"/>
  <c r="F116" i="15"/>
  <c r="F111" i="15"/>
  <c r="F134" i="15"/>
  <c r="F140" i="15"/>
  <c r="F153" i="15"/>
  <c r="F162" i="15"/>
  <c r="F233" i="15"/>
  <c r="F234" i="15"/>
  <c r="F375" i="15"/>
  <c r="F350" i="15"/>
  <c r="F354" i="15"/>
  <c r="F343" i="15"/>
  <c r="F333" i="15"/>
  <c r="F327" i="15"/>
  <c r="F323" i="15"/>
  <c r="E337" i="15"/>
  <c r="F403" i="15"/>
  <c r="F372" i="15"/>
  <c r="F356" i="15"/>
  <c r="F352" i="15"/>
  <c r="F341" i="15"/>
  <c r="F346" i="15"/>
  <c r="F345" i="15"/>
  <c r="F331" i="15"/>
  <c r="F325" i="15"/>
  <c r="F335" i="15"/>
  <c r="F318" i="15"/>
  <c r="F402" i="15"/>
  <c r="F418" i="15"/>
  <c r="F425" i="15"/>
  <c r="F529" i="15"/>
  <c r="F545" i="15"/>
  <c r="F548" i="15"/>
  <c r="F824" i="15"/>
  <c r="F908" i="15"/>
  <c r="F926" i="15"/>
  <c r="F935" i="15"/>
  <c r="F979" i="15"/>
  <c r="F1248" i="15"/>
  <c r="F1192" i="15"/>
  <c r="F1203" i="15"/>
  <c r="F1361" i="15"/>
  <c r="F1188" i="15"/>
  <c r="F1210" i="15"/>
  <c r="F1194" i="15"/>
  <c r="F1189" i="15"/>
  <c r="F1187" i="15"/>
  <c r="F1270" i="15"/>
  <c r="F1206" i="15"/>
  <c r="F1249" i="15"/>
  <c r="F1222" i="15"/>
  <c r="F1200" i="15"/>
  <c r="F1235" i="15"/>
  <c r="F1214" i="15"/>
  <c r="F1204" i="15"/>
  <c r="E77" i="15"/>
  <c r="E81" i="15"/>
  <c r="E85" i="15"/>
  <c r="E89" i="15"/>
  <c r="E93" i="15"/>
  <c r="E97" i="15"/>
  <c r="E101" i="15"/>
  <c r="E105" i="15"/>
  <c r="E109" i="15"/>
  <c r="E113" i="15"/>
  <c r="E117" i="15"/>
  <c r="E121" i="15"/>
  <c r="E125" i="15"/>
  <c r="E129" i="15"/>
  <c r="E133" i="15"/>
  <c r="E137" i="15"/>
  <c r="E141" i="15"/>
  <c r="E145" i="15"/>
  <c r="E149" i="15"/>
  <c r="E153" i="15"/>
  <c r="E209" i="15"/>
  <c r="E213" i="15"/>
  <c r="E217" i="15"/>
  <c r="E221" i="15"/>
  <c r="E225" i="15"/>
  <c r="E229" i="15"/>
  <c r="E233" i="15"/>
  <c r="E237" i="15"/>
  <c r="E317" i="15"/>
  <c r="E321" i="15"/>
  <c r="E325" i="15"/>
  <c r="E329" i="15"/>
  <c r="E333" i="15"/>
  <c r="E338" i="15"/>
  <c r="E342" i="15"/>
  <c r="E346" i="15"/>
  <c r="E350" i="15"/>
  <c r="E354" i="15"/>
  <c r="E362" i="15"/>
  <c r="E366" i="15"/>
  <c r="E370" i="15"/>
  <c r="E374" i="15"/>
  <c r="E378" i="15"/>
  <c r="E384" i="15"/>
  <c r="E388" i="15"/>
  <c r="E392" i="15"/>
  <c r="E396" i="15"/>
  <c r="E400" i="15"/>
  <c r="E509" i="15"/>
  <c r="E513" i="15"/>
  <c r="E520" i="15"/>
  <c r="E524" i="15"/>
  <c r="E531" i="15"/>
  <c r="E608" i="15"/>
  <c r="E615" i="15"/>
  <c r="E639" i="15"/>
  <c r="E642" i="15"/>
  <c r="E651" i="15"/>
  <c r="E687" i="15"/>
  <c r="E691" i="15"/>
  <c r="E698" i="15"/>
  <c r="E703" i="15"/>
  <c r="E735" i="15"/>
  <c r="E740" i="15"/>
  <c r="E745" i="15"/>
  <c r="E753" i="15"/>
  <c r="E760" i="15"/>
  <c r="E820" i="15"/>
  <c r="E826" i="15"/>
  <c r="E831" i="15"/>
  <c r="E839" i="15"/>
  <c r="E843" i="15"/>
  <c r="E900" i="15"/>
  <c r="E904" i="15"/>
  <c r="E908" i="15"/>
  <c r="E915" i="15"/>
  <c r="E919" i="15"/>
  <c r="E925" i="15"/>
  <c r="E931" i="15"/>
  <c r="E935" i="15"/>
  <c r="E939" i="15"/>
  <c r="E946" i="15"/>
  <c r="E952" i="15"/>
  <c r="E1189" i="15"/>
  <c r="E1195" i="15"/>
  <c r="E1203" i="15"/>
  <c r="E1207" i="15"/>
  <c r="E1211" i="15"/>
  <c r="E1215" i="15"/>
  <c r="E1219" i="15"/>
  <c r="E1223" i="15"/>
  <c r="E1229" i="15"/>
  <c r="E1534" i="15"/>
  <c r="E1544" i="15"/>
  <c r="E1554" i="15"/>
  <c r="E1546" i="15"/>
  <c r="E1559" i="15"/>
  <c r="E1563" i="15"/>
  <c r="E1607" i="15"/>
  <c r="E1611" i="15"/>
  <c r="E1615" i="15"/>
  <c r="E1619" i="15"/>
  <c r="E1623" i="15"/>
  <c r="E12" i="15"/>
  <c r="E8" i="15"/>
  <c r="F14" i="15"/>
  <c r="F6" i="15"/>
  <c r="F21" i="15"/>
  <c r="F25" i="15"/>
  <c r="F33" i="15"/>
  <c r="F40" i="15"/>
  <c r="F36" i="15"/>
  <c r="F50" i="15"/>
  <c r="F56" i="15"/>
  <c r="F52" i="15"/>
  <c r="F80" i="15"/>
  <c r="F76" i="15"/>
  <c r="F72" i="15"/>
  <c r="F68" i="15"/>
  <c r="F64" i="15"/>
  <c r="F60" i="15"/>
  <c r="F95" i="15"/>
  <c r="F98" i="15"/>
  <c r="F126" i="15"/>
  <c r="F101" i="15"/>
  <c r="F120" i="15"/>
  <c r="F115" i="15"/>
  <c r="F109" i="15"/>
  <c r="F125" i="15"/>
  <c r="F133" i="15"/>
  <c r="F136" i="15"/>
  <c r="F139" i="15"/>
  <c r="F146" i="15"/>
  <c r="F151" i="15"/>
  <c r="F160" i="15"/>
  <c r="F161" i="15"/>
  <c r="F175" i="15"/>
  <c r="F242" i="15"/>
  <c r="F244" i="15"/>
  <c r="F250" i="15"/>
  <c r="F213" i="15"/>
  <c r="F200" i="15"/>
  <c r="F190" i="15"/>
  <c r="F199" i="15"/>
  <c r="F183" i="15"/>
  <c r="F223" i="15"/>
  <c r="F205" i="15"/>
  <c r="F209" i="15"/>
  <c r="F210" i="15"/>
  <c r="F196" i="15"/>
  <c r="F186" i="15"/>
  <c r="F189" i="15"/>
  <c r="F320" i="15"/>
  <c r="F324" i="15"/>
  <c r="F347" i="15"/>
  <c r="F340" i="15"/>
  <c r="F362" i="15"/>
  <c r="F338" i="15"/>
  <c r="F315" i="15"/>
  <c r="F306" i="15"/>
  <c r="F292" i="15"/>
  <c r="F285" i="15"/>
  <c r="F274" i="15"/>
  <c r="F267" i="15"/>
  <c r="F284" i="15"/>
  <c r="F270" i="15"/>
  <c r="F321" i="15"/>
  <c r="F290" i="15"/>
  <c r="F289" i="15"/>
  <c r="F272" i="15"/>
  <c r="F265" i="15"/>
  <c r="F294" i="15"/>
  <c r="F281" i="15"/>
  <c r="F387" i="15"/>
  <c r="F390" i="15"/>
  <c r="F400" i="15"/>
  <c r="F411" i="15"/>
  <c r="F416" i="15"/>
  <c r="F440" i="15"/>
  <c r="F188" i="15"/>
  <c r="F337" i="15"/>
  <c r="F311" i="15"/>
  <c r="F303" i="15"/>
  <c r="F319" i="15"/>
  <c r="F307" i="15"/>
  <c r="E298" i="15"/>
  <c r="E302" i="15"/>
  <c r="E306" i="15"/>
  <c r="E310" i="15"/>
  <c r="F426" i="15"/>
  <c r="F309" i="15"/>
  <c r="F301" i="15"/>
  <c r="F328" i="15"/>
  <c r="F314" i="15"/>
  <c r="F299" i="15"/>
  <c r="E300" i="15"/>
  <c r="E304" i="15"/>
  <c r="E308" i="15"/>
  <c r="E311" i="15"/>
  <c r="F522" i="15"/>
  <c r="F479" i="15"/>
  <c r="F488" i="15"/>
  <c r="F525" i="15"/>
  <c r="F483" i="15"/>
  <c r="F482" i="15"/>
  <c r="F477" i="15"/>
  <c r="F536" i="15"/>
  <c r="F531" i="15"/>
  <c r="F549" i="15"/>
  <c r="F567" i="15"/>
  <c r="F540" i="15"/>
  <c r="F557" i="15"/>
  <c r="F547" i="15"/>
  <c r="F572" i="15"/>
  <c r="F588" i="15"/>
  <c r="F649" i="15"/>
  <c r="F665" i="15"/>
  <c r="F682" i="15"/>
  <c r="F701" i="15"/>
  <c r="F705" i="15"/>
  <c r="F708" i="15"/>
  <c r="F755" i="15"/>
  <c r="F841" i="15"/>
  <c r="F839" i="15"/>
  <c r="F807" i="15"/>
  <c r="F803" i="15"/>
  <c r="F816" i="15"/>
  <c r="F921" i="15"/>
  <c r="F904" i="15"/>
  <c r="F861" i="15"/>
  <c r="F866" i="15"/>
  <c r="F919" i="15"/>
  <c r="F887" i="15"/>
  <c r="F892" i="15"/>
  <c r="F873" i="15"/>
  <c r="F878" i="15"/>
  <c r="F872" i="15"/>
  <c r="F859" i="15"/>
  <c r="F863" i="15"/>
  <c r="F856" i="15"/>
  <c r="F906" i="15"/>
  <c r="F932" i="15"/>
  <c r="F942" i="15"/>
  <c r="F952" i="15"/>
  <c r="F1028" i="15"/>
  <c r="F1065" i="15"/>
  <c r="F1063" i="15"/>
  <c r="F1071" i="15"/>
  <c r="F1075" i="15"/>
  <c r="F1072" i="15"/>
  <c r="F1081" i="15"/>
  <c r="F1064" i="15"/>
  <c r="F1051" i="15"/>
  <c r="F1048" i="15"/>
  <c r="F1033" i="15"/>
  <c r="F1037" i="15"/>
  <c r="F1059" i="15"/>
  <c r="F1053" i="15"/>
  <c r="F1042" i="15"/>
  <c r="F1035" i="15"/>
  <c r="F1039" i="15"/>
  <c r="F1058" i="15"/>
  <c r="F1049" i="15"/>
  <c r="F1038" i="15"/>
  <c r="F1052" i="15"/>
  <c r="F1034" i="15"/>
  <c r="F1050" i="15"/>
  <c r="F1185" i="15"/>
  <c r="F1174" i="15"/>
  <c r="F1168" i="15"/>
  <c r="F1164" i="15"/>
  <c r="F1179" i="15"/>
  <c r="F1158" i="15"/>
  <c r="F1178" i="15"/>
  <c r="F1177" i="15"/>
  <c r="F1159" i="15"/>
  <c r="F1167" i="15"/>
  <c r="F1173" i="15"/>
  <c r="F1156" i="15"/>
  <c r="F1605" i="15"/>
  <c r="F1606" i="15"/>
  <c r="F1604" i="15"/>
  <c r="F1614" i="15"/>
  <c r="F1613" i="15"/>
  <c r="F1617" i="15"/>
  <c r="F1586" i="15"/>
  <c r="F1580" i="15"/>
  <c r="F1567" i="15"/>
  <c r="F1571" i="15"/>
  <c r="F1637" i="15"/>
  <c r="F1592" i="15"/>
  <c r="F1578" i="15"/>
  <c r="F1576" i="15"/>
  <c r="F1582" i="15"/>
  <c r="F1569" i="15"/>
  <c r="F1566" i="15"/>
  <c r="F1639" i="15"/>
  <c r="F1575" i="15"/>
  <c r="F1568" i="15"/>
  <c r="F1599" i="15"/>
  <c r="F1584" i="15"/>
  <c r="F1573" i="15"/>
  <c r="F1572" i="15"/>
  <c r="F1579" i="15"/>
  <c r="F1608" i="15"/>
  <c r="F1577" i="15"/>
  <c r="F889" i="15"/>
  <c r="F893" i="15"/>
  <c r="F899" i="15"/>
  <c r="F876" i="15"/>
  <c r="F880" i="15"/>
  <c r="F1004" i="15"/>
  <c r="F1109" i="15"/>
  <c r="F1103" i="15"/>
  <c r="F1106" i="15"/>
  <c r="F1467" i="15"/>
  <c r="F1477" i="15"/>
  <c r="F1466" i="15"/>
  <c r="F1451" i="15"/>
  <c r="F1456" i="15"/>
  <c r="F1438" i="15"/>
  <c r="F1433" i="15"/>
  <c r="F1483" i="15"/>
  <c r="F1471" i="15"/>
  <c r="F1446" i="15"/>
  <c r="F1453" i="15"/>
  <c r="F1458" i="15"/>
  <c r="F1440" i="15"/>
  <c r="F1435" i="15"/>
  <c r="F1481" i="15"/>
  <c r="F1455" i="15"/>
  <c r="F1447" i="15"/>
  <c r="F1484" i="15"/>
  <c r="F1450" i="15"/>
  <c r="F1445" i="15"/>
  <c r="F1616" i="15"/>
  <c r="F1621" i="15"/>
  <c r="F203" i="15"/>
  <c r="F215" i="15"/>
  <c r="F232" i="15"/>
  <c r="F236" i="15"/>
  <c r="F246" i="15"/>
  <c r="F254" i="15"/>
  <c r="F247" i="15"/>
  <c r="F258" i="15"/>
  <c r="F261" i="15"/>
  <c r="F417" i="15"/>
  <c r="F458" i="15"/>
  <c r="F507" i="15"/>
  <c r="F882" i="15"/>
  <c r="F875" i="15"/>
  <c r="F909" i="15"/>
  <c r="F890" i="15"/>
  <c r="F901" i="15"/>
  <c r="F1030" i="15"/>
  <c r="F983" i="15"/>
  <c r="F958" i="15"/>
  <c r="F954" i="15"/>
  <c r="F937" i="15"/>
  <c r="F949" i="15"/>
  <c r="F934" i="15"/>
  <c r="F1098" i="15"/>
  <c r="F1299" i="15"/>
  <c r="F1265" i="15"/>
  <c r="F1269" i="15"/>
  <c r="F1259" i="15"/>
  <c r="F1239" i="15"/>
  <c r="F1243" i="15"/>
  <c r="F1236" i="15"/>
  <c r="F1247" i="15"/>
  <c r="F1258" i="15"/>
  <c r="F1215" i="15"/>
  <c r="F1219" i="15"/>
  <c r="F1223" i="15"/>
  <c r="F1229" i="15"/>
  <c r="F1205" i="15"/>
  <c r="F1195" i="15"/>
  <c r="F1271" i="15"/>
  <c r="F1273" i="15"/>
  <c r="F1261" i="15"/>
  <c r="F1253" i="15"/>
  <c r="F1241" i="15"/>
  <c r="F1234" i="15"/>
  <c r="F1260" i="15"/>
  <c r="F1238" i="15"/>
  <c r="F1245" i="15"/>
  <c r="F1213" i="15"/>
  <c r="F1217" i="15"/>
  <c r="F1221" i="15"/>
  <c r="F1225" i="15"/>
  <c r="F1231" i="15"/>
  <c r="F1209" i="15"/>
  <c r="F1202" i="15"/>
  <c r="F1263" i="15"/>
  <c r="F1252" i="15"/>
  <c r="F1244" i="15"/>
  <c r="F1246" i="15"/>
  <c r="F1212" i="15"/>
  <c r="F1220" i="15"/>
  <c r="F1230" i="15"/>
  <c r="F1201" i="15"/>
  <c r="F1264" i="15"/>
  <c r="F1240" i="15"/>
  <c r="F1237" i="15"/>
  <c r="F1250" i="15"/>
  <c r="F1216" i="15"/>
  <c r="F1224" i="15"/>
  <c r="F1208" i="15"/>
  <c r="F1443" i="15"/>
  <c r="F1464" i="15"/>
  <c r="F1482" i="15"/>
  <c r="F1460" i="15"/>
  <c r="F1500" i="15"/>
  <c r="F1480" i="15"/>
  <c r="F1457" i="15"/>
  <c r="F1501" i="15"/>
  <c r="F1490" i="15"/>
  <c r="F1499" i="15"/>
  <c r="F1463" i="15"/>
  <c r="F1147" i="15"/>
  <c r="F1160" i="15"/>
  <c r="F1301" i="15"/>
  <c r="F1313" i="15"/>
  <c r="F1300" i="15"/>
  <c r="F1278" i="15"/>
  <c r="F1284" i="15"/>
  <c r="F1288" i="15"/>
  <c r="F1307" i="15"/>
  <c r="F1311" i="15"/>
  <c r="F1276" i="15"/>
  <c r="F1280" i="15"/>
  <c r="F1286" i="15"/>
  <c r="F1274" i="15"/>
  <c r="F1535" i="15"/>
  <c r="F1509" i="15"/>
  <c r="F1556" i="15"/>
  <c r="F1554" i="15"/>
  <c r="F1493" i="15"/>
  <c r="F1494" i="15"/>
  <c r="F1428" i="15"/>
  <c r="F1392" i="15"/>
  <c r="F1400" i="15"/>
  <c r="F1405" i="15"/>
  <c r="F1378" i="15"/>
  <c r="F1383" i="15"/>
  <c r="F1387" i="15"/>
  <c r="F1423" i="15"/>
  <c r="F1390" i="15"/>
  <c r="F1396" i="15"/>
  <c r="F1404" i="15"/>
  <c r="F1413" i="15"/>
  <c r="F1381" i="15"/>
  <c r="F1385" i="15"/>
  <c r="F1377" i="15"/>
  <c r="F1630" i="15"/>
  <c r="F975" i="15"/>
  <c r="F971" i="15"/>
  <c r="F965" i="15"/>
  <c r="F982" i="15"/>
  <c r="F998" i="15"/>
  <c r="F1073" i="15"/>
  <c r="F1107" i="15"/>
  <c r="F1087" i="15"/>
  <c r="F1083" i="15"/>
  <c r="F1113" i="15"/>
  <c r="F1133" i="15"/>
  <c r="F1296" i="15"/>
  <c r="F1285" i="15"/>
  <c r="F1275" i="15"/>
  <c r="F1362" i="15"/>
  <c r="F1326" i="15"/>
  <c r="F1333" i="15"/>
  <c r="F1337" i="15"/>
  <c r="F1344" i="15"/>
  <c r="F1353" i="15"/>
  <c r="F1376" i="15"/>
  <c r="F1324" i="15"/>
  <c r="F1331" i="15"/>
  <c r="F1335" i="15"/>
  <c r="F1339" i="15"/>
  <c r="F1346" i="15"/>
  <c r="F1320" i="15"/>
  <c r="F1360" i="15"/>
  <c r="F1430" i="15"/>
  <c r="F1441" i="15"/>
  <c r="F1531" i="15"/>
  <c r="F1551" i="15"/>
  <c r="F1563" i="15"/>
  <c r="F1593" i="15"/>
  <c r="F1631" i="15"/>
  <c r="F1628" i="15"/>
  <c r="F1634" i="15"/>
  <c r="F1640" i="15"/>
  <c r="F1530" i="15"/>
  <c r="F1550" i="15"/>
  <c r="F1574" i="15"/>
  <c r="F1607" i="15"/>
  <c r="F1626" i="15"/>
  <c r="E1485" i="15" l="1"/>
  <c r="E1486" i="15"/>
</calcChain>
</file>

<file path=xl/sharedStrings.xml><?xml version="1.0" encoding="utf-8"?>
<sst xmlns="http://schemas.openxmlformats.org/spreadsheetml/2006/main" count="13704" uniqueCount="2196">
  <si>
    <t>INTERNATIONAL STAGES - GTS2020</t>
  </si>
  <si>
    <t>Eon</t>
  </si>
  <si>
    <t>Era</t>
  </si>
  <si>
    <t>Period</t>
  </si>
  <si>
    <t>Sub-Period</t>
  </si>
  <si>
    <t>Epoch</t>
  </si>
  <si>
    <t>Sub-epoch</t>
  </si>
  <si>
    <t>Stage/Age</t>
  </si>
  <si>
    <t>Sub-stage/Sub-age</t>
  </si>
  <si>
    <t>Ma</t>
  </si>
  <si>
    <t>TOP</t>
  </si>
  <si>
    <t>Anthropocene</t>
  </si>
  <si>
    <t>Lt</t>
  </si>
  <si>
    <t>Meghalayan</t>
  </si>
  <si>
    <t>M</t>
  </si>
  <si>
    <t>Northgrippian</t>
  </si>
  <si>
    <t>Holocene</t>
  </si>
  <si>
    <t>E</t>
  </si>
  <si>
    <t>Greenlandian</t>
  </si>
  <si>
    <t>Lt. Pleist.</t>
  </si>
  <si>
    <t>Chibanian</t>
  </si>
  <si>
    <t>Calabrian</t>
  </si>
  <si>
    <t>Quaternary</t>
  </si>
  <si>
    <t>Pleistocene</t>
  </si>
  <si>
    <t>Gelasian</t>
  </si>
  <si>
    <t>Piacenzian</t>
  </si>
  <si>
    <t>Pliocene</t>
  </si>
  <si>
    <t>Zanclean</t>
  </si>
  <si>
    <t>Messinian</t>
  </si>
  <si>
    <t>Tortonian</t>
  </si>
  <si>
    <t>Serravallian</t>
  </si>
  <si>
    <t>Langhian</t>
  </si>
  <si>
    <t>Burdigalian</t>
  </si>
  <si>
    <t>Neogene</t>
  </si>
  <si>
    <t>Miocene</t>
  </si>
  <si>
    <t>Aquitanian</t>
  </si>
  <si>
    <t>Chattian</t>
  </si>
  <si>
    <t>Oligocene</t>
  </si>
  <si>
    <t>Rupelian</t>
  </si>
  <si>
    <t>Priabonian</t>
  </si>
  <si>
    <t>Bartonian</t>
  </si>
  <si>
    <t>Lutetian</t>
  </si>
  <si>
    <t>Eocene</t>
  </si>
  <si>
    <t>Ypresian</t>
  </si>
  <si>
    <t>Thanetian</t>
  </si>
  <si>
    <t>Selandian</t>
  </si>
  <si>
    <t>Cenozoic</t>
  </si>
  <si>
    <t>Paleogene</t>
  </si>
  <si>
    <t>Paleocene</t>
  </si>
  <si>
    <t>Danian</t>
  </si>
  <si>
    <t>Maastrichtian</t>
  </si>
  <si>
    <t>Campanian</t>
  </si>
  <si>
    <t>Santonian</t>
  </si>
  <si>
    <t>Coniacian</t>
  </si>
  <si>
    <t>Turonian</t>
  </si>
  <si>
    <t>Late</t>
  </si>
  <si>
    <t>Cenomanian</t>
  </si>
  <si>
    <t>Albian</t>
  </si>
  <si>
    <t>Clans</t>
  </si>
  <si>
    <t>Aptian</t>
  </si>
  <si>
    <t>Barremian</t>
  </si>
  <si>
    <t>Hauterivian</t>
  </si>
  <si>
    <t>Valanginian</t>
  </si>
  <si>
    <t>Cretaceous</t>
  </si>
  <si>
    <t>Early</t>
  </si>
  <si>
    <t>Berriasian</t>
  </si>
  <si>
    <t>Tithonian</t>
  </si>
  <si>
    <t>Kimmeridgian</t>
  </si>
  <si>
    <t>Oxfordian</t>
  </si>
  <si>
    <t>Callovian</t>
  </si>
  <si>
    <t>Bathonian</t>
  </si>
  <si>
    <t>Bajocian</t>
  </si>
  <si>
    <t>Middle</t>
  </si>
  <si>
    <t>Aalenian</t>
  </si>
  <si>
    <t>M ?</t>
  </si>
  <si>
    <t>Toarcian</t>
  </si>
  <si>
    <t>Lt - Domerian</t>
  </si>
  <si>
    <t>Pliensbachian</t>
  </si>
  <si>
    <t>E - Carixian</t>
  </si>
  <si>
    <t>Sinemurian</t>
  </si>
  <si>
    <t>Jurassic</t>
  </si>
  <si>
    <t>Hettangian</t>
  </si>
  <si>
    <t xml:space="preserve"> </t>
  </si>
  <si>
    <t>Rhaetian</t>
  </si>
  <si>
    <t>Sevatian</t>
  </si>
  <si>
    <t>Alaunian</t>
  </si>
  <si>
    <t>Norian</t>
  </si>
  <si>
    <t>Lacian</t>
  </si>
  <si>
    <t>Tuvalian</t>
  </si>
  <si>
    <t>Carnian</t>
  </si>
  <si>
    <t>Julian</t>
  </si>
  <si>
    <t>Longobardian</t>
  </si>
  <si>
    <t>Ladinian</t>
  </si>
  <si>
    <t>Fassanian</t>
  </si>
  <si>
    <t>Illyrian</t>
  </si>
  <si>
    <t>Pelsonian</t>
  </si>
  <si>
    <t>Bithynian</t>
  </si>
  <si>
    <t>Anisian</t>
  </si>
  <si>
    <t>Aegean</t>
  </si>
  <si>
    <t>Spathian</t>
  </si>
  <si>
    <t>Olenekian</t>
  </si>
  <si>
    <t>Smithian</t>
  </si>
  <si>
    <t>Dienerian</t>
  </si>
  <si>
    <t>Mesozoic</t>
  </si>
  <si>
    <t>Triassic</t>
  </si>
  <si>
    <t>Induan</t>
  </si>
  <si>
    <t>Griesbachian</t>
  </si>
  <si>
    <t>Changhsingian</t>
  </si>
  <si>
    <t>Lopingian</t>
  </si>
  <si>
    <t>Wuchiapingian</t>
  </si>
  <si>
    <t>Capitanian</t>
  </si>
  <si>
    <t>Wordian</t>
  </si>
  <si>
    <t>Guadalupian</t>
  </si>
  <si>
    <t>Roadian</t>
  </si>
  <si>
    <t>Kungurian</t>
  </si>
  <si>
    <t>Artinskian</t>
  </si>
  <si>
    <t>Sakmarian</t>
  </si>
  <si>
    <t>Permian</t>
  </si>
  <si>
    <t>Cisuralian</t>
  </si>
  <si>
    <t>Asselian</t>
  </si>
  <si>
    <t>Gzhelian</t>
  </si>
  <si>
    <t>Late Penn.</t>
  </si>
  <si>
    <t>Kasimovian</t>
  </si>
  <si>
    <t>Middle Penn.</t>
  </si>
  <si>
    <t>Moscovian</t>
  </si>
  <si>
    <t>Pennsylvanian</t>
  </si>
  <si>
    <t>Early Penn.</t>
  </si>
  <si>
    <t>Bashkirian</t>
  </si>
  <si>
    <t>Late Miss.</t>
  </si>
  <si>
    <t>Serpukhovian</t>
  </si>
  <si>
    <t>Middle Miss.</t>
  </si>
  <si>
    <t>Visean</t>
  </si>
  <si>
    <t>Carboniferous</t>
  </si>
  <si>
    <t>Mississippian</t>
  </si>
  <si>
    <t>Early Miss.</t>
  </si>
  <si>
    <t>Tournaisian</t>
  </si>
  <si>
    <t>Latest</t>
  </si>
  <si>
    <t>Famennian</t>
  </si>
  <si>
    <t>Frasnian</t>
  </si>
  <si>
    <t>Givetian</t>
  </si>
  <si>
    <t>Eifelian</t>
  </si>
  <si>
    <t>Emsian</t>
  </si>
  <si>
    <t>-</t>
  </si>
  <si>
    <t>see note</t>
  </si>
  <si>
    <t>Pragian</t>
  </si>
  <si>
    <t>Devonian</t>
  </si>
  <si>
    <t>Lochkovian</t>
  </si>
  <si>
    <t>Pridoli</t>
  </si>
  <si>
    <t>Ludfordian</t>
  </si>
  <si>
    <t>Ludlow</t>
  </si>
  <si>
    <t>Gorstian</t>
  </si>
  <si>
    <t>Homerian</t>
  </si>
  <si>
    <t>Wenlock</t>
  </si>
  <si>
    <t>Sheinwoodian</t>
  </si>
  <si>
    <t>Telychian</t>
  </si>
  <si>
    <t>Aeronian</t>
  </si>
  <si>
    <t>Silurian</t>
  </si>
  <si>
    <t>Llandovery</t>
  </si>
  <si>
    <t>Rhuddanian</t>
  </si>
  <si>
    <t>Hirnantian</t>
  </si>
  <si>
    <t>Katian</t>
  </si>
  <si>
    <t>Sandbian</t>
  </si>
  <si>
    <t>Darriwilian</t>
  </si>
  <si>
    <t>Dapingian</t>
  </si>
  <si>
    <t>Floian</t>
  </si>
  <si>
    <t>Ordovician</t>
  </si>
  <si>
    <t>Tremadocian</t>
  </si>
  <si>
    <t>Stage 10</t>
  </si>
  <si>
    <t>Jiangshanian</t>
  </si>
  <si>
    <t>Furongian</t>
  </si>
  <si>
    <t>Paibian</t>
  </si>
  <si>
    <t>Guzhangian</t>
  </si>
  <si>
    <t>Drumian</t>
  </si>
  <si>
    <t>Miaolingian</t>
  </si>
  <si>
    <t>Wuliuan</t>
  </si>
  <si>
    <t>Stage 4</t>
  </si>
  <si>
    <t>Epoch 2</t>
  </si>
  <si>
    <t>Stage 3</t>
  </si>
  <si>
    <t>Stage 2</t>
  </si>
  <si>
    <t>Phanerozoic</t>
  </si>
  <si>
    <t>Paleozoic</t>
  </si>
  <si>
    <t>Cambrian</t>
  </si>
  <si>
    <t>Terreneuvian</t>
  </si>
  <si>
    <t>Fortunian</t>
  </si>
  <si>
    <t>Ediacaran</t>
  </si>
  <si>
    <t>Cryogenian</t>
  </si>
  <si>
    <t>Neoproterozoic</t>
  </si>
  <si>
    <t>Tonian</t>
  </si>
  <si>
    <t>Stenian</t>
  </si>
  <si>
    <t>Ectasian</t>
  </si>
  <si>
    <t>Mesoproterozoic</t>
  </si>
  <si>
    <t>Calymmian</t>
  </si>
  <si>
    <t>Statherian</t>
  </si>
  <si>
    <t>Orosirian</t>
  </si>
  <si>
    <t>Rhyacian</t>
  </si>
  <si>
    <t>Proterozoic</t>
  </si>
  <si>
    <t>Paleoproterozoic</t>
  </si>
  <si>
    <t>Siderian</t>
  </si>
  <si>
    <t>Neoarchean</t>
  </si>
  <si>
    <t>Mesoarchean</t>
  </si>
  <si>
    <t>Paleoarchean</t>
  </si>
  <si>
    <t>Archean</t>
  </si>
  <si>
    <t>Eoarchean</t>
  </si>
  <si>
    <t>Hadean</t>
  </si>
  <si>
    <t>Geologic units - calibration of its time span to International Stages from Base (in black) to Top (green)</t>
  </si>
  <si>
    <t>STAGE</t>
  </si>
  <si>
    <t>Rank</t>
  </si>
  <si>
    <t>Region</t>
  </si>
  <si>
    <t>Base</t>
  </si>
  <si>
    <t>Comments</t>
  </si>
  <si>
    <t>BEGIN: % up in Reference ICS stage of:</t>
  </si>
  <si>
    <t>Decimal version</t>
  </si>
  <si>
    <t>Base within International Stage</t>
  </si>
  <si>
    <t>Recognized on 2020 ICS Chart</t>
  </si>
  <si>
    <t>Notation</t>
  </si>
  <si>
    <t>International Stage base</t>
  </si>
  <si>
    <t>END % up in Reference ICS stage of:</t>
  </si>
  <si>
    <t>Top within International Stage</t>
  </si>
  <si>
    <t>Synthesis</t>
  </si>
  <si>
    <t>% occuped if included in</t>
  </si>
  <si>
    <t>Today</t>
  </si>
  <si>
    <t>QUATERNARY</t>
  </si>
  <si>
    <t>Global standard</t>
  </si>
  <si>
    <t>Type section is in a cave in North India</t>
  </si>
  <si>
    <t>Stratotype</t>
  </si>
  <si>
    <t>q7</t>
  </si>
  <si>
    <t/>
  </si>
  <si>
    <t>q6</t>
  </si>
  <si>
    <t>Devensian</t>
  </si>
  <si>
    <t>Great Britain</t>
  </si>
  <si>
    <t>Equivalent to the base of</t>
  </si>
  <si>
    <t>Flandrian</t>
  </si>
  <si>
    <t>Equivalent to</t>
  </si>
  <si>
    <t>Hallian</t>
  </si>
  <si>
    <t>California</t>
  </si>
  <si>
    <t>Hawera</t>
  </si>
  <si>
    <t>New Zealand</t>
  </si>
  <si>
    <t>Haweran</t>
  </si>
  <si>
    <t>Q2</t>
  </si>
  <si>
    <t>Periode</t>
  </si>
  <si>
    <t>Recent</t>
  </si>
  <si>
    <t>Informal term</t>
  </si>
  <si>
    <t>q5</t>
  </si>
  <si>
    <t>Wisconsinian</t>
  </si>
  <si>
    <t>North America</t>
  </si>
  <si>
    <t>Pleistocene Upper</t>
  </si>
  <si>
    <t>Overlapping</t>
  </si>
  <si>
    <t>Malanghuangtuan</t>
  </si>
  <si>
    <t>China</t>
  </si>
  <si>
    <t>Pontinian</t>
  </si>
  <si>
    <t>Italy</t>
  </si>
  <si>
    <t>Versilian</t>
  </si>
  <si>
    <t>Tubantian</t>
  </si>
  <si>
    <t>Weichselian</t>
  </si>
  <si>
    <t>Northern Europe</t>
  </si>
  <si>
    <t>Würm Glacial</t>
  </si>
  <si>
    <t>Alps</t>
  </si>
  <si>
    <t>Valdaian</t>
  </si>
  <si>
    <t>Russian Plain</t>
  </si>
  <si>
    <t>Include in</t>
  </si>
  <si>
    <t>Sangamonian</t>
  </si>
  <si>
    <t>Mikulinian</t>
  </si>
  <si>
    <t>Tarantian</t>
  </si>
  <si>
    <t>Tyrrhenian</t>
  </si>
  <si>
    <t>Europe</t>
  </si>
  <si>
    <t>q4</t>
  </si>
  <si>
    <t>Riss-Würm Interglacial</t>
  </si>
  <si>
    <t>Eemian</t>
  </si>
  <si>
    <t>Ipswichian</t>
  </si>
  <si>
    <t>Warthian</t>
  </si>
  <si>
    <t>NW Europe</t>
  </si>
  <si>
    <t>Warthe</t>
  </si>
  <si>
    <t>Equivalent to the top of</t>
  </si>
  <si>
    <t>Illinoian</t>
  </si>
  <si>
    <t>Treenean</t>
  </si>
  <si>
    <t>Dnieper</t>
  </si>
  <si>
    <t>Drenthe</t>
  </si>
  <si>
    <t>Drenthian</t>
  </si>
  <si>
    <t>Riss Glacial</t>
  </si>
  <si>
    <t>Saalian</t>
  </si>
  <si>
    <t>Wolstonian</t>
  </si>
  <si>
    <t>Nomentanan</t>
  </si>
  <si>
    <t>Oostermeer Interglacial</t>
  </si>
  <si>
    <t>Netherlands</t>
  </si>
  <si>
    <t>Yarmouthian</t>
  </si>
  <si>
    <t>Likhvinian</t>
  </si>
  <si>
    <t>Eastern Europe</t>
  </si>
  <si>
    <t>Rancholabrean</t>
  </si>
  <si>
    <t>Belvedere Interglacial</t>
  </si>
  <si>
    <t>Domnitz</t>
  </si>
  <si>
    <t>Wacken</t>
  </si>
  <si>
    <t>Kvalinian</t>
  </si>
  <si>
    <t>Georgia</t>
  </si>
  <si>
    <t>Neoeuxian</t>
  </si>
  <si>
    <t>Fuhne</t>
  </si>
  <si>
    <t>Holsteinian</t>
  </si>
  <si>
    <t>Needian</t>
  </si>
  <si>
    <t>Okian</t>
  </si>
  <si>
    <t>Anglian</t>
  </si>
  <si>
    <t>Elsterian</t>
  </si>
  <si>
    <t>Mindel-Riss</t>
  </si>
  <si>
    <t>Kansan</t>
  </si>
  <si>
    <t>Putikian</t>
  </si>
  <si>
    <t>Flaminian</t>
  </si>
  <si>
    <t>Noordbergum</t>
  </si>
  <si>
    <t>Hesbayan</t>
  </si>
  <si>
    <t>Muchkapian</t>
  </si>
  <si>
    <t>Aftonian</t>
  </si>
  <si>
    <t>Rosmalen</t>
  </si>
  <si>
    <t>Donian</t>
  </si>
  <si>
    <t>Ilynian</t>
  </si>
  <si>
    <t>Westerhoven</t>
  </si>
  <si>
    <t>Girkan</t>
  </si>
  <si>
    <t>Karangatian</t>
  </si>
  <si>
    <t>Pokrovian</t>
  </si>
  <si>
    <t>Campinian</t>
  </si>
  <si>
    <t>Hoxnian</t>
  </si>
  <si>
    <t>Ionian</t>
  </si>
  <si>
    <t>Milazzian</t>
  </si>
  <si>
    <t>Pleistocene Middle</t>
  </si>
  <si>
    <t>q3</t>
  </si>
  <si>
    <t>Lujanian</t>
  </si>
  <si>
    <t>South America</t>
  </si>
  <si>
    <t>Morozovan</t>
  </si>
  <si>
    <t>Cromerian</t>
  </si>
  <si>
    <t>Netherlands, Great Britain</t>
  </si>
  <si>
    <t>Mindel</t>
  </si>
  <si>
    <t>Neopleistocene</t>
  </si>
  <si>
    <t>Petropavlovian</t>
  </si>
  <si>
    <t>Waardenburg</t>
  </si>
  <si>
    <t>Dorst</t>
  </si>
  <si>
    <t>Nebraskan</t>
  </si>
  <si>
    <t>Leerdam</t>
  </si>
  <si>
    <t>Bavel Interglacial</t>
  </si>
  <si>
    <t>Bavelian</t>
  </si>
  <si>
    <t>Linge</t>
  </si>
  <si>
    <t>Khzarian</t>
  </si>
  <si>
    <t>Uzunlarian</t>
  </si>
  <si>
    <t>Cassian</t>
  </si>
  <si>
    <t>Castlecliffian</t>
  </si>
  <si>
    <t>Okehuan</t>
  </si>
  <si>
    <t>Bavel</t>
  </si>
  <si>
    <t>Bayelian</t>
  </si>
  <si>
    <t>Sicilian</t>
  </si>
  <si>
    <t>Ensenadan</t>
  </si>
  <si>
    <t>Lishihhuangtuan</t>
  </si>
  <si>
    <t>Odessan</t>
  </si>
  <si>
    <t>Mosean</t>
  </si>
  <si>
    <t>Menapian</t>
  </si>
  <si>
    <t>Bakunian</t>
  </si>
  <si>
    <t>Chaudian</t>
  </si>
  <si>
    <t>Waalian</t>
  </si>
  <si>
    <t>Emilian</t>
  </si>
  <si>
    <t>Yuzanjian</t>
  </si>
  <si>
    <t>Japan</t>
  </si>
  <si>
    <t>Krinitsa</t>
  </si>
  <si>
    <t>Donau Glacial</t>
  </si>
  <si>
    <t>Eopleistocene</t>
  </si>
  <si>
    <t>Tolucheevka</t>
  </si>
  <si>
    <t>Beestonian</t>
  </si>
  <si>
    <t>Eburonian</t>
  </si>
  <si>
    <t>Taxandrian</t>
  </si>
  <si>
    <t>Aphsheronian</t>
  </si>
  <si>
    <t>Gurian</t>
  </si>
  <si>
    <t>Irvingtonian</t>
  </si>
  <si>
    <t>Pleistocene Lower</t>
  </si>
  <si>
    <t>Santomian</t>
  </si>
  <si>
    <t>Werrikooian</t>
  </si>
  <si>
    <t>Australia</t>
  </si>
  <si>
    <t>q2</t>
  </si>
  <si>
    <t>Pastonian</t>
  </si>
  <si>
    <t>Kechienjian</t>
  </si>
  <si>
    <t>Kryzhanovan</t>
  </si>
  <si>
    <t>Wheelerian</t>
  </si>
  <si>
    <t>Nukumaruan</t>
  </si>
  <si>
    <t>Baventian</t>
  </si>
  <si>
    <t>Prepastonian</t>
  </si>
  <si>
    <t>Antian</t>
  </si>
  <si>
    <t>Bramertonian</t>
  </si>
  <si>
    <t>Khapry</t>
  </si>
  <si>
    <t>Marahuan</t>
  </si>
  <si>
    <t>Venturian</t>
  </si>
  <si>
    <t>Thurnian</t>
  </si>
  <si>
    <t>Günz Glacial</t>
  </si>
  <si>
    <t>Icenian</t>
  </si>
  <si>
    <t>Netherlands, England</t>
  </si>
  <si>
    <t>Wuchenghuangtuan</t>
  </si>
  <si>
    <t>Egrissian</t>
  </si>
  <si>
    <t>Biber Glacial</t>
  </si>
  <si>
    <t>Merksemian</t>
  </si>
  <si>
    <t>Belgium</t>
  </si>
  <si>
    <t>Merxemian</t>
  </si>
  <si>
    <t>Neporatan</t>
  </si>
  <si>
    <t>Ludhamian</t>
  </si>
  <si>
    <t>Preludhamian</t>
  </si>
  <si>
    <t>Pre-Ludhamian</t>
  </si>
  <si>
    <t>Praetiglian</t>
  </si>
  <si>
    <t>Amstelian</t>
  </si>
  <si>
    <t>Aquatraversian</t>
  </si>
  <si>
    <t>Brüggenian</t>
  </si>
  <si>
    <t>Pretiglian</t>
  </si>
  <si>
    <t>Tiglian</t>
  </si>
  <si>
    <t>Waltonian</t>
  </si>
  <si>
    <t>q1</t>
  </si>
  <si>
    <t>Q1</t>
  </si>
  <si>
    <t>Periiod</t>
  </si>
  <si>
    <t>Q</t>
  </si>
  <si>
    <t>NEOGENE</t>
  </si>
  <si>
    <t>Mangapanian</t>
  </si>
  <si>
    <t>Verkhodon</t>
  </si>
  <si>
    <t>Reuverian C</t>
  </si>
  <si>
    <t>Reuverian B</t>
  </si>
  <si>
    <t>Repettian</t>
  </si>
  <si>
    <t>Kuyalnikian</t>
  </si>
  <si>
    <t>Suchian</t>
  </si>
  <si>
    <t>Uquian</t>
  </si>
  <si>
    <t>Poerdilian</t>
  </si>
  <si>
    <t>Hautawan</t>
  </si>
  <si>
    <t>Villanyian</t>
  </si>
  <si>
    <t>Yatalan</t>
  </si>
  <si>
    <t>Poederlian</t>
  </si>
  <si>
    <t>Akchagylian</t>
  </si>
  <si>
    <t>Astian</t>
  </si>
  <si>
    <t>Redonian</t>
  </si>
  <si>
    <t>Reuverian</t>
  </si>
  <si>
    <t>Romanian</t>
  </si>
  <si>
    <t>Totomian</t>
  </si>
  <si>
    <t>Villafranchian</t>
  </si>
  <si>
    <t>Waipipian</t>
  </si>
  <si>
    <t>n8</t>
  </si>
  <si>
    <t>Pliocene Upper</t>
  </si>
  <si>
    <t>Waitotaran</t>
  </si>
  <si>
    <t>Scaldisian</t>
  </si>
  <si>
    <t>Chapadmalalan</t>
  </si>
  <si>
    <t>Kalimnan</t>
  </si>
  <si>
    <t>Kasterlian</t>
  </si>
  <si>
    <t>Blancan</t>
  </si>
  <si>
    <t>Opoitian</t>
  </si>
  <si>
    <t>Cheltenhamian</t>
  </si>
  <si>
    <t>Kattendijkian</t>
  </si>
  <si>
    <t>Wanganui</t>
  </si>
  <si>
    <t>Brunssumian</t>
  </si>
  <si>
    <t>Dacian</t>
  </si>
  <si>
    <t>Diestian</t>
  </si>
  <si>
    <t>Kimmerian</t>
  </si>
  <si>
    <t>Ruscinian</t>
  </si>
  <si>
    <t>Tabianian</t>
  </si>
  <si>
    <t>Zanclian</t>
  </si>
  <si>
    <t>Pliocene Lower</t>
  </si>
  <si>
    <t>N2</t>
  </si>
  <si>
    <t>Kapitean</t>
  </si>
  <si>
    <t>Montehermosan</t>
  </si>
  <si>
    <t>Andalousian</t>
  </si>
  <si>
    <t>Andalousia</t>
  </si>
  <si>
    <t>Bolderian</t>
  </si>
  <si>
    <t>Pikermian</t>
  </si>
  <si>
    <t>Pontian</t>
  </si>
  <si>
    <t>Susterian</t>
  </si>
  <si>
    <t>n6</t>
  </si>
  <si>
    <t>Delmontian</t>
  </si>
  <si>
    <t>Syltian</t>
  </si>
  <si>
    <t>Northern Germany</t>
  </si>
  <si>
    <t>Turolian</t>
  </si>
  <si>
    <t>Spain</t>
  </si>
  <si>
    <t>Hemphilian</t>
  </si>
  <si>
    <t>Hemphillian</t>
  </si>
  <si>
    <t>Huayquerian</t>
  </si>
  <si>
    <t>Yuian</t>
  </si>
  <si>
    <t>Chasicoan</t>
  </si>
  <si>
    <t>Tongaporutuan</t>
  </si>
  <si>
    <t>Gramian</t>
  </si>
  <si>
    <t>Mitchellian</t>
  </si>
  <si>
    <t>Taranaki</t>
  </si>
  <si>
    <t>Fujian</t>
  </si>
  <si>
    <t>Waiauan</t>
  </si>
  <si>
    <t>Anversian</t>
  </si>
  <si>
    <t>Deurnien</t>
  </si>
  <si>
    <t>Miocene Upper</t>
  </si>
  <si>
    <t>Pannonian</t>
  </si>
  <si>
    <t>Vallesian</t>
  </si>
  <si>
    <t>n5</t>
  </si>
  <si>
    <t>Clarendonian</t>
  </si>
  <si>
    <t>Mayoan</t>
  </si>
  <si>
    <t>Mayoian</t>
  </si>
  <si>
    <t>Langenfeldian</t>
  </si>
  <si>
    <t>Meotian</t>
  </si>
  <si>
    <t>Sarmatian</t>
  </si>
  <si>
    <t>Kaburan</t>
  </si>
  <si>
    <t>Mohnian</t>
  </si>
  <si>
    <t>Laventan</t>
  </si>
  <si>
    <t>Astaracian</t>
  </si>
  <si>
    <t>Savignean</t>
  </si>
  <si>
    <t>n4</t>
  </si>
  <si>
    <t>Chokrakian</t>
  </si>
  <si>
    <t>Bairnsdalian</t>
  </si>
  <si>
    <t>Karaganian</t>
  </si>
  <si>
    <t>Lillburnian</t>
  </si>
  <si>
    <t>Colloncuran</t>
  </si>
  <si>
    <t>Colloncurian</t>
  </si>
  <si>
    <t>Balcombian</t>
  </si>
  <si>
    <t>Barstovian</t>
  </si>
  <si>
    <t>Konkian</t>
  </si>
  <si>
    <t>Luisian</t>
  </si>
  <si>
    <t>Clifdenian</t>
  </si>
  <si>
    <t>Southland</t>
  </si>
  <si>
    <t>Badenian</t>
  </si>
  <si>
    <t>Austria</t>
  </si>
  <si>
    <t>Helvetian</t>
  </si>
  <si>
    <t>Pontilevian</t>
  </si>
  <si>
    <t>Reinbekian</t>
  </si>
  <si>
    <t>Tarkhanian</t>
  </si>
  <si>
    <t>Tozawan</t>
  </si>
  <si>
    <t>Vindobonian</t>
  </si>
  <si>
    <t>n3</t>
  </si>
  <si>
    <t>Miocene Middle</t>
  </si>
  <si>
    <t>Friasian</t>
  </si>
  <si>
    <t>Batesfordian</t>
  </si>
  <si>
    <t>Cliffdenian</t>
  </si>
  <si>
    <t>Relizian</t>
  </si>
  <si>
    <t>Karpatian</t>
  </si>
  <si>
    <t>Paratethys</t>
  </si>
  <si>
    <t>Altonian</t>
  </si>
  <si>
    <t>Santacrucian</t>
  </si>
  <si>
    <t>Carpatian</t>
  </si>
  <si>
    <t>Haranoyan</t>
  </si>
  <si>
    <t>Hemingfordian</t>
  </si>
  <si>
    <t>Ottnangian</t>
  </si>
  <si>
    <t>Awamoan</t>
  </si>
  <si>
    <t>Eggenburgian</t>
  </si>
  <si>
    <t>Hemmoorian</t>
  </si>
  <si>
    <t>Orleanian</t>
  </si>
  <si>
    <t>n2</t>
  </si>
  <si>
    <t>Antwerpian</t>
  </si>
  <si>
    <t>Colhuehuapian</t>
  </si>
  <si>
    <t>Hutchinsonian</t>
  </si>
  <si>
    <t>Pareora</t>
  </si>
  <si>
    <t>Saucesian</t>
  </si>
  <si>
    <t>Kozakhurian</t>
  </si>
  <si>
    <t>Sakaraulian</t>
  </si>
  <si>
    <t>Aginian</t>
  </si>
  <si>
    <t>Falunian</t>
  </si>
  <si>
    <t>Girondian</t>
  </si>
  <si>
    <t>Houthalenian</t>
  </si>
  <si>
    <t>Otaian</t>
  </si>
  <si>
    <t>Uphlistsikhean</t>
  </si>
  <si>
    <t>Vierlandian</t>
  </si>
  <si>
    <t>n1</t>
  </si>
  <si>
    <t>Miocene Lower</t>
  </si>
  <si>
    <t>N1</t>
  </si>
  <si>
    <t>N</t>
  </si>
  <si>
    <t>PALEOGENE</t>
  </si>
  <si>
    <t>Arvernian</t>
  </si>
  <si>
    <t>Harrisonian</t>
  </si>
  <si>
    <t>Tabenbulakian</t>
  </si>
  <si>
    <t>Asia</t>
  </si>
  <si>
    <t>Tabenbulukian</t>
  </si>
  <si>
    <t>Neochattian</t>
  </si>
  <si>
    <t>Germany</t>
  </si>
  <si>
    <t>Monroecreekian</t>
  </si>
  <si>
    <t>Waitakian</t>
  </si>
  <si>
    <t>Longfordian</t>
  </si>
  <si>
    <t>Duntroonian</t>
  </si>
  <si>
    <t>Caucasian</t>
  </si>
  <si>
    <t>Chickasawhayan</t>
  </si>
  <si>
    <t>Egerian</t>
  </si>
  <si>
    <t>Eochattian</t>
  </si>
  <si>
    <t>e9</t>
  </si>
  <si>
    <t>Oligocene Upper</t>
  </si>
  <si>
    <t>Deseadan</t>
  </si>
  <si>
    <t>Avernian</t>
  </si>
  <si>
    <t>Janjukian</t>
  </si>
  <si>
    <t>Arikareean</t>
  </si>
  <si>
    <t>Geringian</t>
  </si>
  <si>
    <t>Whitneyan</t>
  </si>
  <si>
    <t>Kiscellian</t>
  </si>
  <si>
    <t>Orellan</t>
  </si>
  <si>
    <t>Zemorrian</t>
  </si>
  <si>
    <t>Hsandgolian</t>
  </si>
  <si>
    <t>Suevian</t>
  </si>
  <si>
    <t>Henisian</t>
  </si>
  <si>
    <t>Khadumian</t>
  </si>
  <si>
    <t>Latdorfian</t>
  </si>
  <si>
    <t>Lattorfian</t>
  </si>
  <si>
    <t>Midwayan</t>
  </si>
  <si>
    <t>Numidien</t>
  </si>
  <si>
    <t>Sannoisian</t>
  </si>
  <si>
    <t>Stampian</t>
  </si>
  <si>
    <t>Tongrian</t>
  </si>
  <si>
    <t>Vicksburgian</t>
  </si>
  <si>
    <t>Whaingaroan</t>
  </si>
  <si>
    <t>e8</t>
  </si>
  <si>
    <t>Oligocene Lower</t>
  </si>
  <si>
    <t>E3</t>
  </si>
  <si>
    <t>Landon</t>
  </si>
  <si>
    <t>Refugian</t>
  </si>
  <si>
    <t>Ergilian</t>
  </si>
  <si>
    <t>Aldingan</t>
  </si>
  <si>
    <t>Aldingian</t>
  </si>
  <si>
    <t>Tinguirirican</t>
  </si>
  <si>
    <t>Barrancan</t>
  </si>
  <si>
    <t>Chadronian</t>
  </si>
  <si>
    <t>Kaiatan</t>
  </si>
  <si>
    <t>Headonian</t>
  </si>
  <si>
    <t>Houldjinian</t>
  </si>
  <si>
    <t>Jacksonian</t>
  </si>
  <si>
    <t>Ludian</t>
  </si>
  <si>
    <t>Runangan</t>
  </si>
  <si>
    <t>Ulangochuian</t>
  </si>
  <si>
    <t>e7</t>
  </si>
  <si>
    <t>Eocene Upper</t>
  </si>
  <si>
    <t>Marinesian</t>
  </si>
  <si>
    <t>Duchesnean</t>
  </si>
  <si>
    <t>Kiaitan</t>
  </si>
  <si>
    <t>Asschian</t>
  </si>
  <si>
    <t>Auversian</t>
  </si>
  <si>
    <t>Sharamurunian</t>
  </si>
  <si>
    <t>e6</t>
  </si>
  <si>
    <t>Divisaderan</t>
  </si>
  <si>
    <t>Robiacian</t>
  </si>
  <si>
    <t>Wemmelian</t>
  </si>
  <si>
    <t>Bortonian</t>
  </si>
  <si>
    <t>Kekeamuan</t>
  </si>
  <si>
    <t>Uintan</t>
  </si>
  <si>
    <t>Irdinmanhan</t>
  </si>
  <si>
    <t>Porangan</t>
  </si>
  <si>
    <t>Ledian</t>
  </si>
  <si>
    <t>Mustersan</t>
  </si>
  <si>
    <t>Nanzian</t>
  </si>
  <si>
    <t>Narizian</t>
  </si>
  <si>
    <t>Geiseltalian</t>
  </si>
  <si>
    <t>Arnold</t>
  </si>
  <si>
    <t>Biarritzian</t>
  </si>
  <si>
    <t>Bruxellian</t>
  </si>
  <si>
    <t>Laekenian</t>
  </si>
  <si>
    <t>e5</t>
  </si>
  <si>
    <t>Eocene Middle</t>
  </si>
  <si>
    <t>Heretaungan</t>
  </si>
  <si>
    <t>Bridgerian</t>
  </si>
  <si>
    <t>Grauvian</t>
  </si>
  <si>
    <t>Ulatisian</t>
  </si>
  <si>
    <t>Johannian</t>
  </si>
  <si>
    <t>Mangaorapan</t>
  </si>
  <si>
    <t>Arshantan</t>
  </si>
  <si>
    <t>Penutian</t>
  </si>
  <si>
    <t>Casamajoran</t>
  </si>
  <si>
    <t>Neustrian</t>
  </si>
  <si>
    <t>Wasatchian</t>
  </si>
  <si>
    <t>Bumbanian</t>
  </si>
  <si>
    <t>Bulitian</t>
  </si>
  <si>
    <t>Clairbornean</t>
  </si>
  <si>
    <t>Cuisian</t>
  </si>
  <si>
    <t>Ilerdian</t>
  </si>
  <si>
    <t>Llierdian</t>
  </si>
  <si>
    <t>Sparnacian</t>
  </si>
  <si>
    <t>Eocene Lower</t>
  </si>
  <si>
    <t>E2</t>
  </si>
  <si>
    <t>Cernaysian</t>
  </si>
  <si>
    <t>Clarkforkian</t>
  </si>
  <si>
    <t>Waipawan</t>
  </si>
  <si>
    <t>Gashatan</t>
  </si>
  <si>
    <t>Heersian</t>
  </si>
  <si>
    <t>Landenian</t>
  </si>
  <si>
    <t>Riochican</t>
  </si>
  <si>
    <t>Suessonian</t>
  </si>
  <si>
    <t>e3</t>
  </si>
  <si>
    <t>Paleocene Upper</t>
  </si>
  <si>
    <t>Itaboraian</t>
  </si>
  <si>
    <t>Tiffanian</t>
  </si>
  <si>
    <t>Ynezian</t>
  </si>
  <si>
    <t>Montian</t>
  </si>
  <si>
    <t>Wangerripian</t>
  </si>
  <si>
    <t>e2</t>
  </si>
  <si>
    <t>Paleocene Middle</t>
  </si>
  <si>
    <t>Torrejonian</t>
  </si>
  <si>
    <t>Peligran</t>
  </si>
  <si>
    <t>Nongshanian</t>
  </si>
  <si>
    <t>Tiupampan</t>
  </si>
  <si>
    <t>Dannevirke</t>
  </si>
  <si>
    <t>Nummulitic</t>
  </si>
  <si>
    <t>Puercan</t>
  </si>
  <si>
    <t>Shanghuan</t>
  </si>
  <si>
    <t>Tertiary</t>
  </si>
  <si>
    <t>Teurian</t>
  </si>
  <si>
    <t>Vitrollian</t>
  </si>
  <si>
    <t>Paleocene Lower</t>
  </si>
  <si>
    <t>e1</t>
  </si>
  <si>
    <t>E1</t>
  </si>
  <si>
    <t>CZ</t>
  </si>
  <si>
    <t>CRETACEOUS</t>
  </si>
  <si>
    <t>Garumnian</t>
  </si>
  <si>
    <t>Dordognian</t>
  </si>
  <si>
    <t>Rognacian</t>
  </si>
  <si>
    <t>Begudian</t>
  </si>
  <si>
    <t>Haumurian</t>
  </si>
  <si>
    <t>Maestrichtian</t>
  </si>
  <si>
    <t>Navarroan</t>
  </si>
  <si>
    <t>k6</t>
  </si>
  <si>
    <t>Lancian</t>
  </si>
  <si>
    <t>Fuvelian</t>
  </si>
  <si>
    <t>Hetonian</t>
  </si>
  <si>
    <t>Edmontonian</t>
  </si>
  <si>
    <t>Judithian</t>
  </si>
  <si>
    <t>Aturian</t>
  </si>
  <si>
    <t>Piripauan</t>
  </si>
  <si>
    <t>Taylorian</t>
  </si>
  <si>
    <t>Valdonnian</t>
  </si>
  <si>
    <t>k5</t>
  </si>
  <si>
    <t>Aquilan</t>
  </si>
  <si>
    <t>k4</t>
  </si>
  <si>
    <t>Teratan</t>
  </si>
  <si>
    <t>Emscherian</t>
  </si>
  <si>
    <t>Senonian</t>
  </si>
  <si>
    <t>Urakawan</t>
  </si>
  <si>
    <t>k3</t>
  </si>
  <si>
    <t>Angoumian</t>
  </si>
  <si>
    <t>Nervian</t>
  </si>
  <si>
    <t>Provencian</t>
  </si>
  <si>
    <t>Mangaotanean</t>
  </si>
  <si>
    <t>Ligerian</t>
  </si>
  <si>
    <t>Saumurian</t>
  </si>
  <si>
    <t>k2</t>
  </si>
  <si>
    <t>Arowhanan</t>
  </si>
  <si>
    <t>Gyliakian</t>
  </si>
  <si>
    <t>Austinian</t>
  </si>
  <si>
    <t>Eagle Fordian</t>
  </si>
  <si>
    <t>Gulf and Atlantic coast of the US</t>
  </si>
  <si>
    <t>Gulfian</t>
  </si>
  <si>
    <t>Ngaterian</t>
  </si>
  <si>
    <t>Woodbinian</t>
  </si>
  <si>
    <t>k1</t>
  </si>
  <si>
    <t>Cretaceous Upper</t>
  </si>
  <si>
    <t>K2</t>
  </si>
  <si>
    <t>Vraconian</t>
  </si>
  <si>
    <t>Motuan</t>
  </si>
  <si>
    <t>Urutawan</t>
  </si>
  <si>
    <t>Frederiksbergian</t>
  </si>
  <si>
    <t>b6</t>
  </si>
  <si>
    <t>Clansayesian</t>
  </si>
  <si>
    <t>Korangan</t>
  </si>
  <si>
    <t>Korangian</t>
  </si>
  <si>
    <t>Gargasian</t>
  </si>
  <si>
    <t>Miyakoan</t>
  </si>
  <si>
    <t>Urgonian</t>
  </si>
  <si>
    <t>Voconcian</t>
  </si>
  <si>
    <t>b5</t>
  </si>
  <si>
    <t>Bedoulian</t>
  </si>
  <si>
    <t>Gault</t>
  </si>
  <si>
    <t>Comanchean</t>
  </si>
  <si>
    <t>Gallic</t>
  </si>
  <si>
    <t>Nuevo Leonian</t>
  </si>
  <si>
    <t>Rhodanian</t>
  </si>
  <si>
    <t>Trinitian</t>
  </si>
  <si>
    <t>b4</t>
  </si>
  <si>
    <t>Urgonian (Vercors)</t>
  </si>
  <si>
    <t>Aritan</t>
  </si>
  <si>
    <t>b3</t>
  </si>
  <si>
    <t>Urgonian (Provence)</t>
  </si>
  <si>
    <t>Wealdian</t>
  </si>
  <si>
    <t>b2</t>
  </si>
  <si>
    <t>Ryzanian</t>
  </si>
  <si>
    <t>Coahulian</t>
  </si>
  <si>
    <t>Durango</t>
  </si>
  <si>
    <t>Kochian</t>
  </si>
  <si>
    <t>Mokoiwian</t>
  </si>
  <si>
    <t>Neocomian</t>
  </si>
  <si>
    <t>b1</t>
  </si>
  <si>
    <t>Cretaceous Lower</t>
  </si>
  <si>
    <t>K1</t>
  </si>
  <si>
    <t>K</t>
  </si>
  <si>
    <t>JURASSIC</t>
  </si>
  <si>
    <t>Portlandian</t>
  </si>
  <si>
    <t>Purbeckian</t>
  </si>
  <si>
    <t>Ardescian</t>
  </si>
  <si>
    <t>Penglaizhenian</t>
  </si>
  <si>
    <t>Puaroan</t>
  </si>
  <si>
    <t>Danubian</t>
  </si>
  <si>
    <t>Havrian</t>
  </si>
  <si>
    <t>Virgulian</t>
  </si>
  <si>
    <t>Volgian</t>
  </si>
  <si>
    <t>j7</t>
  </si>
  <si>
    <t>Ohauan</t>
  </si>
  <si>
    <t>Crussolian</t>
  </si>
  <si>
    <t>Pterocerian</t>
  </si>
  <si>
    <t>j6</t>
  </si>
  <si>
    <t>Astartian</t>
  </si>
  <si>
    <t>Heterian</t>
  </si>
  <si>
    <t>Sequanian</t>
  </si>
  <si>
    <t>Rauracian</t>
  </si>
  <si>
    <t>Argovian</t>
  </si>
  <si>
    <t>Divesian sup.</t>
  </si>
  <si>
    <t>Lusitanian</t>
  </si>
  <si>
    <t>Morrisonian</t>
  </si>
  <si>
    <t>Neuvizian</t>
  </si>
  <si>
    <t>Suiningian</t>
  </si>
  <si>
    <t>Villersian</t>
  </si>
  <si>
    <t>Malm</t>
  </si>
  <si>
    <t>WeisserJura</t>
  </si>
  <si>
    <t>j5</t>
  </si>
  <si>
    <t>Jurassic Upper</t>
  </si>
  <si>
    <t>J3</t>
  </si>
  <si>
    <t>Dreussian</t>
  </si>
  <si>
    <t>j4</t>
  </si>
  <si>
    <t>Shaximioan</t>
  </si>
  <si>
    <t>j3</t>
  </si>
  <si>
    <t>Temaikan</t>
  </si>
  <si>
    <t>Vesulian</t>
  </si>
  <si>
    <t>j2</t>
  </si>
  <si>
    <t>Xintiangouan</t>
  </si>
  <si>
    <t>BraunerJura</t>
  </si>
  <si>
    <t>Dogger</t>
  </si>
  <si>
    <t>j1</t>
  </si>
  <si>
    <t>Jurassic Middle</t>
  </si>
  <si>
    <t>J2</t>
  </si>
  <si>
    <t>l4</t>
  </si>
  <si>
    <t>Uruoan</t>
  </si>
  <si>
    <t>Carixian</t>
  </si>
  <si>
    <t>Charmouthian</t>
  </si>
  <si>
    <t>Domerian</t>
  </si>
  <si>
    <t>Virtonian</t>
  </si>
  <si>
    <t>l3</t>
  </si>
  <si>
    <t>Lotharingian</t>
  </si>
  <si>
    <t>l2</t>
  </si>
  <si>
    <t>Aratauran</t>
  </si>
  <si>
    <t>Ziliujingian</t>
  </si>
  <si>
    <t>Lias</t>
  </si>
  <si>
    <t>SchwarzerJura</t>
  </si>
  <si>
    <t>l1</t>
  </si>
  <si>
    <t>Jurassic Lower</t>
  </si>
  <si>
    <t>J1</t>
  </si>
  <si>
    <t>J</t>
  </si>
  <si>
    <t>TRIASSIC</t>
  </si>
  <si>
    <t>Otapirian</t>
  </si>
  <si>
    <t>Infralias</t>
  </si>
  <si>
    <t>t7</t>
  </si>
  <si>
    <t>Warepan</t>
  </si>
  <si>
    <t>Erqiaoan</t>
  </si>
  <si>
    <t>Lacinian</t>
  </si>
  <si>
    <t>t6</t>
  </si>
  <si>
    <t>Otamitan</t>
  </si>
  <si>
    <t>Huobachengian</t>
  </si>
  <si>
    <t>Oretian</t>
  </si>
  <si>
    <t>Bananian</t>
  </si>
  <si>
    <t>Cordevolian</t>
  </si>
  <si>
    <t>Keuper</t>
  </si>
  <si>
    <t>Mittlekeuper</t>
  </si>
  <si>
    <t>t5</t>
  </si>
  <si>
    <t>Triassic Upper</t>
  </si>
  <si>
    <t>T3</t>
  </si>
  <si>
    <t>Kaihikuan</t>
  </si>
  <si>
    <t>Lettenkeuper</t>
  </si>
  <si>
    <t>Lettenkhole</t>
  </si>
  <si>
    <t>Conchylian</t>
  </si>
  <si>
    <t>Falangian</t>
  </si>
  <si>
    <t>t4</t>
  </si>
  <si>
    <t>Etalian</t>
  </si>
  <si>
    <t>Guanlingian</t>
  </si>
  <si>
    <t>Muschelkalk</t>
  </si>
  <si>
    <t>Virglorian</t>
  </si>
  <si>
    <t>t3</t>
  </si>
  <si>
    <t>Triassic Middle</t>
  </si>
  <si>
    <t>T2</t>
  </si>
  <si>
    <t>Malakovian</t>
  </si>
  <si>
    <t>Nammalian</t>
  </si>
  <si>
    <t>Yongningzhenian</t>
  </si>
  <si>
    <t>t2</t>
  </si>
  <si>
    <t>Jakutian</t>
  </si>
  <si>
    <t>Anwillian</t>
  </si>
  <si>
    <t>Brahmanian</t>
  </si>
  <si>
    <t>Buntsandstein</t>
  </si>
  <si>
    <t>Ellesmerian</t>
  </si>
  <si>
    <t>Feixianguanian</t>
  </si>
  <si>
    <t>Gangetian</t>
  </si>
  <si>
    <t>Poecilian</t>
  </si>
  <si>
    <t>Scythian</t>
  </si>
  <si>
    <t>Secondary</t>
  </si>
  <si>
    <t>Werfenian</t>
  </si>
  <si>
    <t>t1</t>
  </si>
  <si>
    <t>Triassic Lower</t>
  </si>
  <si>
    <t>T1</t>
  </si>
  <si>
    <t>T</t>
  </si>
  <si>
    <t>MZ</t>
  </si>
  <si>
    <t>PERMIAN</t>
  </si>
  <si>
    <t>Changxingian</t>
  </si>
  <si>
    <t>Dewey Lake</t>
  </si>
  <si>
    <t>Dorashamian</t>
  </si>
  <si>
    <t>Makabewan</t>
  </si>
  <si>
    <t>p9</t>
  </si>
  <si>
    <t>Vyatkian</t>
  </si>
  <si>
    <t>Russia</t>
  </si>
  <si>
    <t>Castile</t>
  </si>
  <si>
    <t>Djulfian</t>
  </si>
  <si>
    <t>Dzhulfian</t>
  </si>
  <si>
    <t>Kubergandian</t>
  </si>
  <si>
    <t>Longtanian</t>
  </si>
  <si>
    <t>Murghabian</t>
  </si>
  <si>
    <t>Ochoan</t>
  </si>
  <si>
    <t>Puruhuahuaun</t>
  </si>
  <si>
    <t>Rustlerian</t>
  </si>
  <si>
    <t>Saladoan</t>
  </si>
  <si>
    <t>Tatarian</t>
  </si>
  <si>
    <t>Waiitian</t>
  </si>
  <si>
    <t>Wujiapingian</t>
  </si>
  <si>
    <t>Zechstein</t>
  </si>
  <si>
    <t>P3</t>
  </si>
  <si>
    <t>Laibinian</t>
  </si>
  <si>
    <t>Tethys</t>
  </si>
  <si>
    <t>Midian</t>
  </si>
  <si>
    <t>Lengwuan</t>
  </si>
  <si>
    <t>Severodvinian</t>
  </si>
  <si>
    <t>p7</t>
  </si>
  <si>
    <t>Urzhumian</t>
  </si>
  <si>
    <t>p6</t>
  </si>
  <si>
    <t>Kuhfengian</t>
  </si>
  <si>
    <t>Braxtonian</t>
  </si>
  <si>
    <t>Kazanian</t>
  </si>
  <si>
    <t>Maokovian</t>
  </si>
  <si>
    <t>Thuringian</t>
  </si>
  <si>
    <t>Ufimian</t>
  </si>
  <si>
    <t>Permian Middle</t>
  </si>
  <si>
    <t>p5</t>
  </si>
  <si>
    <t>P2</t>
  </si>
  <si>
    <t>Xiangboan</t>
  </si>
  <si>
    <t>Cathedralian</t>
  </si>
  <si>
    <t>Abadehian</t>
  </si>
  <si>
    <t>Bolorian</t>
  </si>
  <si>
    <t>Filippovian</t>
  </si>
  <si>
    <t>Irenian</t>
  </si>
  <si>
    <t>Luodianian</t>
  </si>
  <si>
    <t>Yanghsingian</t>
  </si>
  <si>
    <t>p4</t>
  </si>
  <si>
    <t>Mangapirian</t>
  </si>
  <si>
    <t>Leonardian</t>
  </si>
  <si>
    <t>Yakhtashian</t>
  </si>
  <si>
    <t>Aktastinian</t>
  </si>
  <si>
    <t>Baigendzinian</t>
  </si>
  <si>
    <t>Hessian</t>
  </si>
  <si>
    <t>Longlinian</t>
  </si>
  <si>
    <t>p3</t>
  </si>
  <si>
    <t>Telfordian</t>
  </si>
  <si>
    <t>Lenoxian</t>
  </si>
  <si>
    <t>Saxonian</t>
  </si>
  <si>
    <t>Sterlitamakian</t>
  </si>
  <si>
    <t>Tastubian</t>
  </si>
  <si>
    <t>p2</t>
  </si>
  <si>
    <t>Nealian</t>
  </si>
  <si>
    <t>Autunian</t>
  </si>
  <si>
    <t>Chuanshanian</t>
  </si>
  <si>
    <t>Zisongian</t>
  </si>
  <si>
    <t>Krumaian</t>
  </si>
  <si>
    <t>Permian Lower</t>
  </si>
  <si>
    <t>Rotliegendes</t>
  </si>
  <si>
    <t>Surenian</t>
  </si>
  <si>
    <t>Uskalikian</t>
  </si>
  <si>
    <t>Wolfcampian</t>
  </si>
  <si>
    <t>Xixianian</t>
  </si>
  <si>
    <t>p1</t>
  </si>
  <si>
    <t>P1</t>
  </si>
  <si>
    <t>P</t>
  </si>
  <si>
    <t>CARBONIFEROUS</t>
  </si>
  <si>
    <t>Melekhovian</t>
  </si>
  <si>
    <t>Noginskian</t>
  </si>
  <si>
    <t>Russian-Kazakhian</t>
  </si>
  <si>
    <t>Stephanian C</t>
  </si>
  <si>
    <t>Orenburgian</t>
  </si>
  <si>
    <t>Pavlovoposadian</t>
  </si>
  <si>
    <t>Gzelian</t>
  </si>
  <si>
    <t>Klazminskian</t>
  </si>
  <si>
    <t>Rusavkinian</t>
  </si>
  <si>
    <t>Stephanian B</t>
  </si>
  <si>
    <t>c7</t>
  </si>
  <si>
    <t>Dorogomilovksian</t>
  </si>
  <si>
    <t>Virgilian</t>
  </si>
  <si>
    <t>Chamovnicheskian</t>
  </si>
  <si>
    <t>Khamovnikian</t>
  </si>
  <si>
    <t>Cantabrian</t>
  </si>
  <si>
    <t>Krevyakinian</t>
  </si>
  <si>
    <t>Krevyakinskian</t>
  </si>
  <si>
    <t>Missourian</t>
  </si>
  <si>
    <t>Ouralian</t>
  </si>
  <si>
    <t>Stephanian</t>
  </si>
  <si>
    <t>Stephanian A</t>
  </si>
  <si>
    <t>c6</t>
  </si>
  <si>
    <t>Pennsylvanian Upper</t>
  </si>
  <si>
    <t>c7-6</t>
  </si>
  <si>
    <t>Myachkovskian</t>
  </si>
  <si>
    <t>Moscovian D</t>
  </si>
  <si>
    <t>Westphalian D</t>
  </si>
  <si>
    <t>Desmoinesian</t>
  </si>
  <si>
    <t>Desmoinian</t>
  </si>
  <si>
    <t>Podolskian</t>
  </si>
  <si>
    <t>Myachkovian</t>
  </si>
  <si>
    <t>Moscovian C</t>
  </si>
  <si>
    <t>Westphalian C</t>
  </si>
  <si>
    <t>Kashirskian</t>
  </si>
  <si>
    <t>Mapingian</t>
  </si>
  <si>
    <t>Moscovian B</t>
  </si>
  <si>
    <t>Westphalian B</t>
  </si>
  <si>
    <t>Kashirian</t>
  </si>
  <si>
    <t>Atokan</t>
  </si>
  <si>
    <t>Atokan/Derryan</t>
  </si>
  <si>
    <t>Bolsovian</t>
  </si>
  <si>
    <t>Derryan</t>
  </si>
  <si>
    <t>Moscovian A</t>
  </si>
  <si>
    <t>Vereian</t>
  </si>
  <si>
    <t>Vereiskian</t>
  </si>
  <si>
    <t>Westphalian A</t>
  </si>
  <si>
    <t>c5</t>
  </si>
  <si>
    <t>Pennsylvanian Middle</t>
  </si>
  <si>
    <t>Melekessian</t>
  </si>
  <si>
    <t>Dalanian</t>
  </si>
  <si>
    <t>Duckmantian</t>
  </si>
  <si>
    <t>Melekesskian</t>
  </si>
  <si>
    <t>Dalaan</t>
  </si>
  <si>
    <t>Cheremshankian</t>
  </si>
  <si>
    <t>Cheremshanskian</t>
  </si>
  <si>
    <t>Langsettian</t>
  </si>
  <si>
    <t>Prikamian</t>
  </si>
  <si>
    <t>Westphalian</t>
  </si>
  <si>
    <t>Yeadonian</t>
  </si>
  <si>
    <t>Severokeltmenian</t>
  </si>
  <si>
    <t>Marsdenian</t>
  </si>
  <si>
    <t>Namurian C</t>
  </si>
  <si>
    <t>Krasnopolyanian</t>
  </si>
  <si>
    <t>Voznesenian</t>
  </si>
  <si>
    <t>Dalaun</t>
  </si>
  <si>
    <t>Huashibanian</t>
  </si>
  <si>
    <t>Weiningian</t>
  </si>
  <si>
    <t>Kinderscoutian</t>
  </si>
  <si>
    <t>Luosuan</t>
  </si>
  <si>
    <t>Morrowan</t>
  </si>
  <si>
    <t>c4</t>
  </si>
  <si>
    <t>Pennsylvanian Lower</t>
  </si>
  <si>
    <t>C2</t>
  </si>
  <si>
    <t>Carboniferous Upper</t>
  </si>
  <si>
    <t>Zapaltyubian</t>
  </si>
  <si>
    <t>Protvian</t>
  </si>
  <si>
    <t>Streshevian</t>
  </si>
  <si>
    <t>Alportian</t>
  </si>
  <si>
    <t>Tarusian</t>
  </si>
  <si>
    <t>Chokerian</t>
  </si>
  <si>
    <t>Chokierian</t>
  </si>
  <si>
    <t>Namurian B</t>
  </si>
  <si>
    <t>Arnsbergian</t>
  </si>
  <si>
    <t>Elvirian</t>
  </si>
  <si>
    <t>Namurian</t>
  </si>
  <si>
    <t>Namurian A</t>
  </si>
  <si>
    <t>Silesian</t>
  </si>
  <si>
    <t>Pendleian</t>
  </si>
  <si>
    <t>c3</t>
  </si>
  <si>
    <t>Mississippian Upper</t>
  </si>
  <si>
    <t>Venevian</t>
  </si>
  <si>
    <t>Mikhailovian</t>
  </si>
  <si>
    <t>Shangsian</t>
  </si>
  <si>
    <t>Chesterian</t>
  </si>
  <si>
    <t>Dewuan</t>
  </si>
  <si>
    <t>Warnatian</t>
  </si>
  <si>
    <t>Western Europe</t>
  </si>
  <si>
    <t>Aleksinian</t>
  </si>
  <si>
    <t>Brigantian</t>
  </si>
  <si>
    <t>Gasperian</t>
  </si>
  <si>
    <t>Saint Geneviere</t>
  </si>
  <si>
    <t>Warnantian</t>
  </si>
  <si>
    <t>Asbian</t>
  </si>
  <si>
    <t>Holkerian</t>
  </si>
  <si>
    <t>Salem</t>
  </si>
  <si>
    <t>Tulian</t>
  </si>
  <si>
    <t>Meramecian</t>
  </si>
  <si>
    <t>Arundian</t>
  </si>
  <si>
    <t>Livian</t>
  </si>
  <si>
    <t>Warsaw</t>
  </si>
  <si>
    <t>Bobrikian</t>
  </si>
  <si>
    <t>Datangian</t>
  </si>
  <si>
    <t>Chadian</t>
  </si>
  <si>
    <t>Culm</t>
  </si>
  <si>
    <t>Jiusian</t>
  </si>
  <si>
    <t>Moliniacian</t>
  </si>
  <si>
    <t>Radaevkian</t>
  </si>
  <si>
    <t>Tatangian</t>
  </si>
  <si>
    <t>c2</t>
  </si>
  <si>
    <t>Mississippian Middle</t>
  </si>
  <si>
    <t>Ivorean</t>
  </si>
  <si>
    <t>Ivorian</t>
  </si>
  <si>
    <t>Kosvian</t>
  </si>
  <si>
    <t>Osagean</t>
  </si>
  <si>
    <t>Kizelian</t>
  </si>
  <si>
    <t>Yanguan</t>
  </si>
  <si>
    <t>Karoo</t>
  </si>
  <si>
    <t>Cherepetian</t>
  </si>
  <si>
    <t>Karakubian</t>
  </si>
  <si>
    <t>Upian</t>
  </si>
  <si>
    <t>Malekvian</t>
  </si>
  <si>
    <t>Aikunian</t>
  </si>
  <si>
    <t>Chouteau</t>
  </si>
  <si>
    <t>Courceyan</t>
  </si>
  <si>
    <t>Dinantian</t>
  </si>
  <si>
    <t>Gumerovian</t>
  </si>
  <si>
    <t>Hastarian</t>
  </si>
  <si>
    <t>Kinderhookian</t>
  </si>
  <si>
    <t>Shaodongian</t>
  </si>
  <si>
    <t>Tangbagouan</t>
  </si>
  <si>
    <t>c1</t>
  </si>
  <si>
    <t>Mississippian Lower</t>
  </si>
  <si>
    <t>C1</t>
  </si>
  <si>
    <t>Carboniferous Lower</t>
  </si>
  <si>
    <t>C</t>
  </si>
  <si>
    <t>DEVONIAN</t>
  </si>
  <si>
    <t>Wocklumian</t>
  </si>
  <si>
    <t>Dasbergian</t>
  </si>
  <si>
    <t>Cassadagian</t>
  </si>
  <si>
    <t>America</t>
  </si>
  <si>
    <t>Chatauquan</t>
  </si>
  <si>
    <t>Chautaquan</t>
  </si>
  <si>
    <t>Hembergian</t>
  </si>
  <si>
    <t>Canadaway</t>
  </si>
  <si>
    <t>Conewangan</t>
  </si>
  <si>
    <t>Conneautan</t>
  </si>
  <si>
    <t>Nehdenian</t>
  </si>
  <si>
    <t>Strunian</t>
  </si>
  <si>
    <t>Xikuangshanian</t>
  </si>
  <si>
    <t>d7</t>
  </si>
  <si>
    <t>Chemungian</t>
  </si>
  <si>
    <t>Adorfian</t>
  </si>
  <si>
    <t>Shetianqiaoan</t>
  </si>
  <si>
    <t>Sonyean</t>
  </si>
  <si>
    <t>West Fallsian</t>
  </si>
  <si>
    <t>d6</t>
  </si>
  <si>
    <t>Devonian Upper</t>
  </si>
  <si>
    <t>D3</t>
  </si>
  <si>
    <t>Fingerlakesian</t>
  </si>
  <si>
    <t>Senecan</t>
  </si>
  <si>
    <t>Dongganglingian</t>
  </si>
  <si>
    <t>Erian</t>
  </si>
  <si>
    <t>Geneseean</t>
  </si>
  <si>
    <t>Taghanican</t>
  </si>
  <si>
    <t>Tioughniogan</t>
  </si>
  <si>
    <t>d5</t>
  </si>
  <si>
    <t>Cazenovian</t>
  </si>
  <si>
    <t>Couvinian</t>
  </si>
  <si>
    <t>Esopusian</t>
  </si>
  <si>
    <t>Southwoodian</t>
  </si>
  <si>
    <t>Yingtangian</t>
  </si>
  <si>
    <t>d4</t>
  </si>
  <si>
    <t>Devonian Middle</t>
  </si>
  <si>
    <t>D2</t>
  </si>
  <si>
    <t>Burnotian</t>
  </si>
  <si>
    <t>Dalejian</t>
  </si>
  <si>
    <t>Deer Parkian</t>
  </si>
  <si>
    <t>Deerparkian</t>
  </si>
  <si>
    <t>Sawkillian</t>
  </si>
  <si>
    <t>Sipaian</t>
  </si>
  <si>
    <t>Zlichovian</t>
  </si>
  <si>
    <t>d3</t>
  </si>
  <si>
    <t>Yujianian</t>
  </si>
  <si>
    <t>Coblencian</t>
  </si>
  <si>
    <t>Siegenian</t>
  </si>
  <si>
    <t>d2</t>
  </si>
  <si>
    <t>Nagaolingian</t>
  </si>
  <si>
    <t>Gedinnian</t>
  </si>
  <si>
    <t>Helderbergian</t>
  </si>
  <si>
    <t>Lianhuashanian</t>
  </si>
  <si>
    <t>Ulsterian</t>
  </si>
  <si>
    <t>d1</t>
  </si>
  <si>
    <t>Devonian Lower</t>
  </si>
  <si>
    <t>D1</t>
  </si>
  <si>
    <t>D</t>
  </si>
  <si>
    <t>SILURIAN</t>
  </si>
  <si>
    <t>Yulongsian</t>
  </si>
  <si>
    <t>S4</t>
  </si>
  <si>
    <t>Cayugan</t>
  </si>
  <si>
    <t>s7</t>
  </si>
  <si>
    <t>Miaogoalingian</t>
  </si>
  <si>
    <t>Downtonian</t>
  </si>
  <si>
    <t>Ludlovian</t>
  </si>
  <si>
    <t>Silurian Upper</t>
  </si>
  <si>
    <t>s6</t>
  </si>
  <si>
    <t>S3</t>
  </si>
  <si>
    <t>Gleedonian</t>
  </si>
  <si>
    <t>Guandian</t>
  </si>
  <si>
    <t>Lockportian</t>
  </si>
  <si>
    <t>Whitwellian</t>
  </si>
  <si>
    <t>s5</t>
  </si>
  <si>
    <t>Melbournian</t>
  </si>
  <si>
    <t>Tonawandian</t>
  </si>
  <si>
    <t>s4</t>
  </si>
  <si>
    <t>S2</t>
  </si>
  <si>
    <t>Xiushanian</t>
  </si>
  <si>
    <t>Cliftonian</t>
  </si>
  <si>
    <t>Baishaean</t>
  </si>
  <si>
    <t>Eildonian</t>
  </si>
  <si>
    <t>Clintonian</t>
  </si>
  <si>
    <t>Ontarian</t>
  </si>
  <si>
    <t>Tarannonian</t>
  </si>
  <si>
    <t>s3</t>
  </si>
  <si>
    <t>Fronian</t>
  </si>
  <si>
    <t>Niagaran</t>
  </si>
  <si>
    <t>Shinulanian</t>
  </si>
  <si>
    <t>Idwian</t>
  </si>
  <si>
    <t>s2</t>
  </si>
  <si>
    <t>Alexandrian</t>
  </si>
  <si>
    <t>Gothlandian</t>
  </si>
  <si>
    <t>Juuru</t>
  </si>
  <si>
    <t>Baltoscandia</t>
  </si>
  <si>
    <t>Keiloran</t>
  </si>
  <si>
    <t>Longmaxian</t>
  </si>
  <si>
    <t>Medinan</t>
  </si>
  <si>
    <t>Silurian Lower</t>
  </si>
  <si>
    <t>s1</t>
  </si>
  <si>
    <t>S1</t>
  </si>
  <si>
    <t>S</t>
  </si>
  <si>
    <t>ORDOVICIAN</t>
  </si>
  <si>
    <t>Gamachian</t>
  </si>
  <si>
    <t>Kosovian</t>
  </si>
  <si>
    <t>Mediterranean</t>
  </si>
  <si>
    <t>Porkuni</t>
  </si>
  <si>
    <t>o7</t>
  </si>
  <si>
    <t>Rawtheyan</t>
  </si>
  <si>
    <t>Burian</t>
  </si>
  <si>
    <t>Siberia</t>
  </si>
  <si>
    <t>Cautleyan</t>
  </si>
  <si>
    <t>Ashgill</t>
  </si>
  <si>
    <t>Pusgillian</t>
  </si>
  <si>
    <t>Richmondian</t>
  </si>
  <si>
    <t>Wufengian</t>
  </si>
  <si>
    <t>Nirundian</t>
  </si>
  <si>
    <t>Kralodvorian</t>
  </si>
  <si>
    <t>Bolindian</t>
  </si>
  <si>
    <t>Paleophytic</t>
  </si>
  <si>
    <t>paleobotany era</t>
  </si>
  <si>
    <t>Chientangkiangian</t>
  </si>
  <si>
    <t>Pirgu</t>
  </si>
  <si>
    <t>Cincinnatian</t>
  </si>
  <si>
    <t>Vormsi</t>
  </si>
  <si>
    <t>Streffordian</t>
  </si>
  <si>
    <t>Dolborian</t>
  </si>
  <si>
    <t>Maysvillian</t>
  </si>
  <si>
    <t>Mayvillian</t>
  </si>
  <si>
    <t>Nabala</t>
  </si>
  <si>
    <t>Onnian</t>
  </si>
  <si>
    <t>Actonian</t>
  </si>
  <si>
    <t>Edenian</t>
  </si>
  <si>
    <t>Linxiangian</t>
  </si>
  <si>
    <t>Rakvere</t>
  </si>
  <si>
    <t>Cheneyan</t>
  </si>
  <si>
    <t>Geneyan</t>
  </si>
  <si>
    <t>Marshbrookian</t>
  </si>
  <si>
    <t>Oandu</t>
  </si>
  <si>
    <t>Ordovician VI</t>
  </si>
  <si>
    <t>o6</t>
  </si>
  <si>
    <t>Eastonian</t>
  </si>
  <si>
    <t>Chatfieldian</t>
  </si>
  <si>
    <t>Keila</t>
  </si>
  <si>
    <t>Longvillian</t>
  </si>
  <si>
    <t>Shermanian</t>
  </si>
  <si>
    <t>Baksian</t>
  </si>
  <si>
    <t>Burrelian</t>
  </si>
  <si>
    <t>Britain</t>
  </si>
  <si>
    <t>Burrellian</t>
  </si>
  <si>
    <t>Haljala</t>
  </si>
  <si>
    <t>Kiakfieldian</t>
  </si>
  <si>
    <t>Kirkfield</t>
  </si>
  <si>
    <t>Soudleyan</t>
  </si>
  <si>
    <t>Turinian</t>
  </si>
  <si>
    <t>Harnagian</t>
  </si>
  <si>
    <t>Rocklandian</t>
  </si>
  <si>
    <t>Berounian</t>
  </si>
  <si>
    <t>Kukruse</t>
  </si>
  <si>
    <t>Aurelucian</t>
  </si>
  <si>
    <t>Bala</t>
  </si>
  <si>
    <t>Balan</t>
  </si>
  <si>
    <t>Baotan</t>
  </si>
  <si>
    <t>Black Riveran</t>
  </si>
  <si>
    <t>Blackriveran</t>
  </si>
  <si>
    <t>Blackriverian</t>
  </si>
  <si>
    <t>Caradoc</t>
  </si>
  <si>
    <t>Caradocian</t>
  </si>
  <si>
    <t>Chertovskian</t>
  </si>
  <si>
    <t>Costonian</t>
  </si>
  <si>
    <t>Gisbornian</t>
  </si>
  <si>
    <t>Neichiashanian</t>
  </si>
  <si>
    <t>Ordovician V</t>
  </si>
  <si>
    <t>Trenton</t>
  </si>
  <si>
    <t>Trentonian</t>
  </si>
  <si>
    <t>o5</t>
  </si>
  <si>
    <t>Ordovician Upper</t>
  </si>
  <si>
    <t>O3</t>
  </si>
  <si>
    <t>Mohawkian</t>
  </si>
  <si>
    <t>Dobrotivian</t>
  </si>
  <si>
    <t>Uhaku</t>
  </si>
  <si>
    <t>Kirensko-Kudrian</t>
  </si>
  <si>
    <t>Kirensko-Kudrinian</t>
  </si>
  <si>
    <t>Lasnamagi</t>
  </si>
  <si>
    <t>Aseri</t>
  </si>
  <si>
    <t>Volginian</t>
  </si>
  <si>
    <t>Chazyan</t>
  </si>
  <si>
    <t>Llandeilian</t>
  </si>
  <si>
    <t>Llandeilo</t>
  </si>
  <si>
    <t>Miaopoan</t>
  </si>
  <si>
    <t>Mukteian</t>
  </si>
  <si>
    <t>Oretanian</t>
  </si>
  <si>
    <t>Vikhorevian</t>
  </si>
  <si>
    <t>Kunda</t>
  </si>
  <si>
    <t>o4</t>
  </si>
  <si>
    <t>Yapeenian</t>
  </si>
  <si>
    <t>Ypeenian</t>
  </si>
  <si>
    <t>Castlemanian</t>
  </si>
  <si>
    <t>Abereiddian</t>
  </si>
  <si>
    <t>Champlainian</t>
  </si>
  <si>
    <t>Dyfed</t>
  </si>
  <si>
    <t>Guniutanian</t>
  </si>
  <si>
    <t>Kimaian</t>
  </si>
  <si>
    <t>Llanvirn</t>
  </si>
  <si>
    <t>Llanvirnian</t>
  </si>
  <si>
    <t>Ordovician III</t>
  </si>
  <si>
    <t>Rangerian</t>
  </si>
  <si>
    <t>Volkhov</t>
  </si>
  <si>
    <t>White Rockian</t>
  </si>
  <si>
    <t>Whiterock</t>
  </si>
  <si>
    <t>Whiterockian</t>
  </si>
  <si>
    <t>o3</t>
  </si>
  <si>
    <t>Ordovician Middle</t>
  </si>
  <si>
    <t>O2</t>
  </si>
  <si>
    <t>Dawanian</t>
  </si>
  <si>
    <t>Cassinian</t>
  </si>
  <si>
    <t>Chewtonian</t>
  </si>
  <si>
    <t>Fennian</t>
  </si>
  <si>
    <t>Bendigonian</t>
  </si>
  <si>
    <t>Jeffersonian</t>
  </si>
  <si>
    <t>Whitlandian</t>
  </si>
  <si>
    <t>Blackhillsian</t>
  </si>
  <si>
    <t>Billingen</t>
  </si>
  <si>
    <t>Arenig</t>
  </si>
  <si>
    <t>Arenigian</t>
  </si>
  <si>
    <t>Demingian</t>
  </si>
  <si>
    <t>Honghuayuanian</t>
  </si>
  <si>
    <t>Moridunian</t>
  </si>
  <si>
    <t>Ordovician II</t>
  </si>
  <si>
    <t>Skiddavian</t>
  </si>
  <si>
    <t>Ugorian</t>
  </si>
  <si>
    <t>Yushanian</t>
  </si>
  <si>
    <t>o2</t>
  </si>
  <si>
    <t>Lancefieldian</t>
  </si>
  <si>
    <t>Tulean</t>
  </si>
  <si>
    <t>Hunneberg</t>
  </si>
  <si>
    <t>Migneintian</t>
  </si>
  <si>
    <t>Stairsian</t>
  </si>
  <si>
    <t>Varangu</t>
  </si>
  <si>
    <t>Canadian</t>
  </si>
  <si>
    <t>Cressagian</t>
  </si>
  <si>
    <t>Gasconadian</t>
  </si>
  <si>
    <t>Ichangian</t>
  </si>
  <si>
    <t>Lianghekouan</t>
  </si>
  <si>
    <t>Nyaian</t>
  </si>
  <si>
    <t>Pakerort</t>
  </si>
  <si>
    <t>Salm</t>
  </si>
  <si>
    <t>Salmian</t>
  </si>
  <si>
    <t>Skiddaw</t>
  </si>
  <si>
    <t>Tremadoc</t>
  </si>
  <si>
    <t>o1</t>
  </si>
  <si>
    <t>Ordovician Lower</t>
  </si>
  <si>
    <t>O1</t>
  </si>
  <si>
    <t>O</t>
  </si>
  <si>
    <t>CAMBRIAN</t>
  </si>
  <si>
    <t>Warendian</t>
  </si>
  <si>
    <t>Cambrian Stage 10</t>
  </si>
  <si>
    <t>Datsonian</t>
  </si>
  <si>
    <t>Khantaian</t>
  </si>
  <si>
    <t>Skullrockian</t>
  </si>
  <si>
    <t>Ibexian</t>
  </si>
  <si>
    <t>Payntonian</t>
  </si>
  <si>
    <t>Batyrbayan</t>
  </si>
  <si>
    <t>Niuchehean</t>
  </si>
  <si>
    <t>South China</t>
  </si>
  <si>
    <t>ε10</t>
  </si>
  <si>
    <t>Dolgellian</t>
  </si>
  <si>
    <t>Fengshanian</t>
  </si>
  <si>
    <t>Trempealeauan</t>
  </si>
  <si>
    <t>Trempealeauian</t>
  </si>
  <si>
    <t>Aksayan</t>
  </si>
  <si>
    <t>Sunwaptan</t>
  </si>
  <si>
    <t>Tukalandinian</t>
  </si>
  <si>
    <t>Sakian</t>
  </si>
  <si>
    <t>Steptoan</t>
  </si>
  <si>
    <t>Cambrian Stage 9</t>
  </si>
  <si>
    <t>Iverian</t>
  </si>
  <si>
    <t>Taoyunian</t>
  </si>
  <si>
    <t>ε9</t>
  </si>
  <si>
    <t>Changshanian</t>
  </si>
  <si>
    <t>Festiniogian</t>
  </si>
  <si>
    <t>Franconian</t>
  </si>
  <si>
    <t>Idamean</t>
  </si>
  <si>
    <t>Gorbiyachinian</t>
  </si>
  <si>
    <t>ε8</t>
  </si>
  <si>
    <t>Є4</t>
  </si>
  <si>
    <t>Ayusokkanian</t>
  </si>
  <si>
    <t>Cambrian Upper</t>
  </si>
  <si>
    <t>Croixian</t>
  </si>
  <si>
    <t>Dresbachian</t>
  </si>
  <si>
    <t>Gushanian</t>
  </si>
  <si>
    <t>Hunanian</t>
  </si>
  <si>
    <t>Maentwrogian</t>
  </si>
  <si>
    <t>Merioneth</t>
  </si>
  <si>
    <t>West Avalonia</t>
  </si>
  <si>
    <t>Merionethian</t>
  </si>
  <si>
    <t>Millardian</t>
  </si>
  <si>
    <t>Laurentia</t>
  </si>
  <si>
    <t>Mindyallan</t>
  </si>
  <si>
    <t>Potsdamian</t>
  </si>
  <si>
    <t>Revinian</t>
  </si>
  <si>
    <t>Sackian</t>
  </si>
  <si>
    <t>Kazakhstan</t>
  </si>
  <si>
    <t>Waergangian</t>
  </si>
  <si>
    <t>Mayaian</t>
  </si>
  <si>
    <t>Mayan</t>
  </si>
  <si>
    <t>Menevian</t>
  </si>
  <si>
    <t>Kulyumbean</t>
  </si>
  <si>
    <t>Youshuian</t>
  </si>
  <si>
    <t>ε7</t>
  </si>
  <si>
    <t>Languedocian</t>
  </si>
  <si>
    <t>Iberia-Morocco</t>
  </si>
  <si>
    <t>Boomerangian</t>
  </si>
  <si>
    <t>Marjuman</t>
  </si>
  <si>
    <t>Zhungxian</t>
  </si>
  <si>
    <t>Undillian</t>
  </si>
  <si>
    <t>Wangcunian</t>
  </si>
  <si>
    <t>ε6</t>
  </si>
  <si>
    <t>Caesaraugustian</t>
  </si>
  <si>
    <t>Floran</t>
  </si>
  <si>
    <t>Florian</t>
  </si>
  <si>
    <t>Zuzhuangian</t>
  </si>
  <si>
    <t>Zuzhungian</t>
  </si>
  <si>
    <t>Cambrian Stage 5</t>
  </si>
  <si>
    <t>Taijiangian</t>
  </si>
  <si>
    <t>Templetonian</t>
  </si>
  <si>
    <t>Wulingian</t>
  </si>
  <si>
    <t>Є3</t>
  </si>
  <si>
    <t>Delamaran</t>
  </si>
  <si>
    <t>Cambrian Stage 4</t>
  </si>
  <si>
    <t>Lincolnian</t>
  </si>
  <si>
    <t>Acadian</t>
  </si>
  <si>
    <t>Albertan</t>
  </si>
  <si>
    <t>Amgaian</t>
  </si>
  <si>
    <t>Amgan</t>
  </si>
  <si>
    <t>Cambrian Middle</t>
  </si>
  <si>
    <t>Devillian</t>
  </si>
  <si>
    <t>Maozhangian</t>
  </si>
  <si>
    <t>Saint David's</t>
  </si>
  <si>
    <t>Solvan</t>
  </si>
  <si>
    <t>Solvanian</t>
  </si>
  <si>
    <t>St. David's</t>
  </si>
  <si>
    <t>Duyunian</t>
  </si>
  <si>
    <t>ε4</t>
  </si>
  <si>
    <t>Agdzian</t>
  </si>
  <si>
    <t>Cambrian Stage 3</t>
  </si>
  <si>
    <t>Agenian</t>
  </si>
  <si>
    <t>Branchian</t>
  </si>
  <si>
    <t>Longwangmioan</t>
  </si>
  <si>
    <t>Toyonian</t>
  </si>
  <si>
    <t>Banian</t>
  </si>
  <si>
    <t>Ordian</t>
  </si>
  <si>
    <t>Issendalenian</t>
  </si>
  <si>
    <t>ε3</t>
  </si>
  <si>
    <t>Changlangpuan</t>
  </si>
  <si>
    <t>Cambrian Stage 2</t>
  </si>
  <si>
    <t>Botomian</t>
  </si>
  <si>
    <t>Lenian</t>
  </si>
  <si>
    <t>Dyeran</t>
  </si>
  <si>
    <t>Nangaoan</t>
  </si>
  <si>
    <t>ε2</t>
  </si>
  <si>
    <t>Montezuman</t>
  </si>
  <si>
    <t>Atdabanian</t>
  </si>
  <si>
    <t>Qiandongian</t>
  </si>
  <si>
    <t>Qungzusian</t>
  </si>
  <si>
    <t>Tommotian</t>
  </si>
  <si>
    <t>Cordubian</t>
  </si>
  <si>
    <t>Begadean</t>
  </si>
  <si>
    <t>Caerfai</t>
  </si>
  <si>
    <t>Cambrian Lower</t>
  </si>
  <si>
    <t>Diandongian</t>
  </si>
  <si>
    <t>Georgian</t>
  </si>
  <si>
    <t>Meishuchuan</t>
  </si>
  <si>
    <t>Meishucunian</t>
  </si>
  <si>
    <t>Waucoban</t>
  </si>
  <si>
    <t>Nemakit-Daldynian</t>
  </si>
  <si>
    <t>Paleocambrian</t>
  </si>
  <si>
    <t>Placentian</t>
  </si>
  <si>
    <t>Primary</t>
  </si>
  <si>
    <t>ε1</t>
  </si>
  <si>
    <t>Є1</t>
  </si>
  <si>
    <t>Є</t>
  </si>
  <si>
    <t>PZ</t>
  </si>
  <si>
    <t>PH</t>
  </si>
  <si>
    <t>PROTERO</t>
  </si>
  <si>
    <t>Poundian</t>
  </si>
  <si>
    <t>Eocambrian</t>
  </si>
  <si>
    <t>Ediacarian</t>
  </si>
  <si>
    <t>Neoproterozoic III</t>
  </si>
  <si>
    <t>Wonokan</t>
  </si>
  <si>
    <t>Wonokanian</t>
  </si>
  <si>
    <t>NP3</t>
  </si>
  <si>
    <t>Mortesnes</t>
  </si>
  <si>
    <t>Smalfjord</t>
  </si>
  <si>
    <t>Varanger</t>
  </si>
  <si>
    <t>Varangian</t>
  </si>
  <si>
    <t>Vendian</t>
  </si>
  <si>
    <t>Infracambrian</t>
  </si>
  <si>
    <t>Sinian</t>
  </si>
  <si>
    <t>Sturtian</t>
  </si>
  <si>
    <t>Baikalian</t>
  </si>
  <si>
    <t>Hadrynian</t>
  </si>
  <si>
    <t>NP2</t>
  </si>
  <si>
    <t>Namibian</t>
  </si>
  <si>
    <t>South Africa</t>
  </si>
  <si>
    <t>NP1</t>
  </si>
  <si>
    <t>NP</t>
  </si>
  <si>
    <t>Karatau</t>
  </si>
  <si>
    <t>Mayanan</t>
  </si>
  <si>
    <t>MP3</t>
  </si>
  <si>
    <t>Adelaidean</t>
  </si>
  <si>
    <t>Yurmatian</t>
  </si>
  <si>
    <t>Brioverian</t>
  </si>
  <si>
    <t>Burzyan</t>
  </si>
  <si>
    <t>Riphean</t>
  </si>
  <si>
    <t>MP2</t>
  </si>
  <si>
    <t>Helikian</t>
  </si>
  <si>
    <t>MP1</t>
  </si>
  <si>
    <t>MP</t>
  </si>
  <si>
    <t>Jinningian</t>
  </si>
  <si>
    <t>Carpentarian</t>
  </si>
  <si>
    <t>PP4</t>
  </si>
  <si>
    <t>Pentevrian</t>
  </si>
  <si>
    <t>Mokolian</t>
  </si>
  <si>
    <t>PP3</t>
  </si>
  <si>
    <t>Animikean</t>
  </si>
  <si>
    <t>PP2</t>
  </si>
  <si>
    <t>Luliangian</t>
  </si>
  <si>
    <t>Algonkian</t>
  </si>
  <si>
    <t>Aphebian</t>
  </si>
  <si>
    <t>Birimian</t>
  </si>
  <si>
    <t>Huronian</t>
  </si>
  <si>
    <t>Icartian</t>
  </si>
  <si>
    <t>Nullaginian</t>
  </si>
  <si>
    <t>Vaalian</t>
  </si>
  <si>
    <t>PP1</t>
  </si>
  <si>
    <t>PP</t>
  </si>
  <si>
    <t>PR</t>
  </si>
  <si>
    <t>Wutaian</t>
  </si>
  <si>
    <t>ARCHEAN</t>
  </si>
  <si>
    <t>NA</t>
  </si>
  <si>
    <t>Laurentian</t>
  </si>
  <si>
    <t>Randian</t>
  </si>
  <si>
    <t>Fupingan</t>
  </si>
  <si>
    <t>MA</t>
  </si>
  <si>
    <t>PA</t>
  </si>
  <si>
    <t>Archeozoic</t>
  </si>
  <si>
    <t>Isuan</t>
  </si>
  <si>
    <t>Qianxin</t>
  </si>
  <si>
    <t>EA</t>
  </si>
  <si>
    <t>AR</t>
  </si>
  <si>
    <t>Keewatinian</t>
  </si>
  <si>
    <t>Nectarian</t>
  </si>
  <si>
    <t>Swazian</t>
  </si>
  <si>
    <t>Basin Groups</t>
  </si>
  <si>
    <t>Azoic</t>
  </si>
  <si>
    <t>Cryptic</t>
  </si>
  <si>
    <t>Cryptozoic</t>
  </si>
  <si>
    <t>Primordial</t>
  </si>
  <si>
    <t>Priscoan</t>
  </si>
  <si>
    <t>Precambrian</t>
  </si>
  <si>
    <t>PЄ</t>
  </si>
  <si>
    <t>HA</t>
  </si>
  <si>
    <t>Viséan</t>
  </si>
  <si>
    <t>Accent added</t>
  </si>
  <si>
    <t>Maastrichtian Upper</t>
  </si>
  <si>
    <t>Maastrichtian Lower</t>
  </si>
  <si>
    <t>upper-half</t>
  </si>
  <si>
    <t>lower-half</t>
  </si>
  <si>
    <t>Campanian Upper</t>
  </si>
  <si>
    <t>Campanian Lower</t>
  </si>
  <si>
    <t>lower-40% using Europe</t>
  </si>
  <si>
    <t>upper-60% using Europe</t>
  </si>
  <si>
    <t>Usually divided into Lower-Middle-Upper; therefore assumed Treatis referred to only upper half</t>
  </si>
  <si>
    <t>Usually divided into Lower-Middle-Upper; therefore assumed Treatis referred to only lower half</t>
  </si>
  <si>
    <t>Albian Upper</t>
  </si>
  <si>
    <t>Albian Lower</t>
  </si>
  <si>
    <t>Aptian Upper</t>
  </si>
  <si>
    <t>Aptian Lower</t>
  </si>
  <si>
    <t>upper-65%</t>
  </si>
  <si>
    <t>lower-35%</t>
  </si>
  <si>
    <t>Hauterivian Upper</t>
  </si>
  <si>
    <t>Hauterivian Lower</t>
  </si>
  <si>
    <t>upper-55%</t>
  </si>
  <si>
    <t>lower-45%</t>
  </si>
  <si>
    <t>ca. upper 55% of stage in Europe usage</t>
  </si>
  <si>
    <t>ca. lower 45% of stage in Europe usage</t>
  </si>
  <si>
    <t>Valanginian Lower</t>
  </si>
  <si>
    <t>Volgian Upper</t>
  </si>
  <si>
    <t>Volgian Lower</t>
  </si>
  <si>
    <t>Lower half of enttire Volgian</t>
  </si>
  <si>
    <t>Upper half of enttire Volgian</t>
  </si>
  <si>
    <t>Kimmeridgian Upper</t>
  </si>
  <si>
    <t>Kimmeridgian Lower</t>
  </si>
  <si>
    <t>Upper half</t>
  </si>
  <si>
    <t>Lower half</t>
  </si>
  <si>
    <t>Assumed to be Upper half in Treatise usage (usually E-M-L)</t>
  </si>
  <si>
    <t>Assumed to be Lower half in Treatise usage (usually E-M-L)</t>
  </si>
  <si>
    <t>Oxfordian Upper</t>
  </si>
  <si>
    <t>Oxfordian Lower</t>
  </si>
  <si>
    <t>Callovian Lower</t>
  </si>
  <si>
    <t>Callovian Upper</t>
  </si>
  <si>
    <t>Callovian Middle</t>
  </si>
  <si>
    <t>E of E-M-L Callov is lower 50%</t>
  </si>
  <si>
    <t>L of E-M-L Callov is ca. upper 30%</t>
  </si>
  <si>
    <t>M of E-M-L Callov is ca. 50% to 70% up</t>
  </si>
  <si>
    <t>Bathonian Upper</t>
  </si>
  <si>
    <t>Bathonian Middle</t>
  </si>
  <si>
    <t>Bathonian Lower</t>
  </si>
  <si>
    <t>Upper 30%</t>
  </si>
  <si>
    <t>Lower 50%</t>
  </si>
  <si>
    <t>50% to 70% up</t>
  </si>
  <si>
    <t>E of E-M-L Bathon is lower 40%</t>
  </si>
  <si>
    <t>M of E-M-L Bathon is ca. 40% to 80% up</t>
  </si>
  <si>
    <t>L of E-M-L Bathon is ca. upper 20%</t>
  </si>
  <si>
    <t>Upper 20%</t>
  </si>
  <si>
    <t>40% to 80% up</t>
  </si>
  <si>
    <t>Lower 40%</t>
  </si>
  <si>
    <t>Bajocian Upper</t>
  </si>
  <si>
    <t>Bajocian Lower</t>
  </si>
  <si>
    <t>Lower 45%</t>
  </si>
  <si>
    <t>Upper 55%</t>
  </si>
  <si>
    <t>ca. Upper 55%</t>
  </si>
  <si>
    <t>ca. Lower 45%</t>
  </si>
  <si>
    <t>Toarcian Upper</t>
  </si>
  <si>
    <t>Toarcian Lower</t>
  </si>
  <si>
    <t>Aalenian Upper</t>
  </si>
  <si>
    <t>Aalenian Lower</t>
  </si>
  <si>
    <t>assumed Upper half in Treatise usage</t>
  </si>
  <si>
    <t>Sinemurian Upper</t>
  </si>
  <si>
    <t>Sinemurian Lower</t>
  </si>
  <si>
    <t>assumed Lower half in Treatise usage</t>
  </si>
  <si>
    <t>Norian Upper</t>
  </si>
  <si>
    <t>Norian Lower</t>
  </si>
  <si>
    <t>Carnian Upper</t>
  </si>
  <si>
    <t>Carnian Lower</t>
  </si>
  <si>
    <t>Same as Tuvalian substage</t>
  </si>
  <si>
    <t>Same as Julian substage</t>
  </si>
  <si>
    <t>spelling version</t>
  </si>
  <si>
    <t>Permian Upper Upper</t>
  </si>
  <si>
    <t>assumed = Changhsingian stage</t>
  </si>
  <si>
    <t>Permian Lower Upper</t>
  </si>
  <si>
    <t>assumed = Wuchiapingian stage</t>
  </si>
  <si>
    <t>Tatarian Lower</t>
  </si>
  <si>
    <t>Tatarian Upper</t>
  </si>
  <si>
    <t>Capitanian Upper</t>
  </si>
  <si>
    <t>Capitanian Lower</t>
  </si>
  <si>
    <t>Roadian Upper</t>
  </si>
  <si>
    <t>Roadian Lower</t>
  </si>
  <si>
    <t>Wordian Upper</t>
  </si>
  <si>
    <t>Wordian Lower</t>
  </si>
  <si>
    <t>Permian Upper Lower</t>
  </si>
  <si>
    <t>Kungurian Upper</t>
  </si>
  <si>
    <t>Kungurian Lower</t>
  </si>
  <si>
    <t>Asssumed equiv to Artinskian + Kungurian</t>
  </si>
  <si>
    <t>Permian Lower Lower</t>
  </si>
  <si>
    <t>Asssumed equiv to Asselian + Sakmarian</t>
  </si>
  <si>
    <t>Sakmarian Upper</t>
  </si>
  <si>
    <t>Sakmarian Lower</t>
  </si>
  <si>
    <t>Artinskian Lower</t>
  </si>
  <si>
    <t>Upper third</t>
  </si>
  <si>
    <t>Middle third</t>
  </si>
  <si>
    <t>Lower third</t>
  </si>
  <si>
    <t>Kazanian Upper</t>
  </si>
  <si>
    <t>Kazanian Lower</t>
  </si>
  <si>
    <t>Gzhelian Upper</t>
  </si>
  <si>
    <t>Gzhelian Lower</t>
  </si>
  <si>
    <t>Kasimovian Upper</t>
  </si>
  <si>
    <t>Kasimovian Lowre</t>
  </si>
  <si>
    <t>Carboniferous Upper Upper</t>
  </si>
  <si>
    <t>Sub-period</t>
  </si>
  <si>
    <t>Same as Upper Pennsy.</t>
  </si>
  <si>
    <t>Moscovian Upper</t>
  </si>
  <si>
    <t>Moscovian Middle</t>
  </si>
  <si>
    <t>Moscovian Lower</t>
  </si>
  <si>
    <t>Bashkirian Upper</t>
  </si>
  <si>
    <t>Bashkirian Lower</t>
  </si>
  <si>
    <t>Kinderscoutian Upper</t>
  </si>
  <si>
    <t>Kinderscoutian Lower</t>
  </si>
  <si>
    <t>Namurian Upper</t>
  </si>
  <si>
    <t>Treatise usage assumed ca. Serpukhovian</t>
  </si>
  <si>
    <t>Treatise usage assumed ca. llower Bashkarian</t>
  </si>
  <si>
    <t>Serpukhovian Upper</t>
  </si>
  <si>
    <t>Serpukhovian Lower</t>
  </si>
  <si>
    <t>Carboniferous Lower Upper</t>
  </si>
  <si>
    <t>Assume Treatise use same as Upper Miss</t>
  </si>
  <si>
    <t>Carboniferous Lower Middle</t>
  </si>
  <si>
    <t>Assume Treatise use same as Middle Miss.</t>
  </si>
  <si>
    <t>Carboniferous Lower Lower</t>
  </si>
  <si>
    <t>Assume Treatise use same as Lower Miss.</t>
  </si>
  <si>
    <t>Viséan Upper</t>
  </si>
  <si>
    <t>Viséan Middle</t>
  </si>
  <si>
    <t>Viséan Lower</t>
  </si>
  <si>
    <t>Visean Upper</t>
  </si>
  <si>
    <t>Visean Middle</t>
  </si>
  <si>
    <t>Visean Lower</t>
  </si>
  <si>
    <t>Tournaisian Upper</t>
  </si>
  <si>
    <t>Tournaisian Middle</t>
  </si>
  <si>
    <t>Tournaisian Lower</t>
  </si>
  <si>
    <t>Hastarian Upper</t>
  </si>
  <si>
    <t>Hastarian Middle</t>
  </si>
  <si>
    <t>Hastarian Lower</t>
  </si>
  <si>
    <t>Assumed Treatise used as Lt + Latest</t>
  </si>
  <si>
    <t>Assumed Treatise used as E + M</t>
  </si>
  <si>
    <t>Devonian Upper Upper</t>
  </si>
  <si>
    <t>Famennian Upper</t>
  </si>
  <si>
    <t>Famennian Lower</t>
  </si>
  <si>
    <t>Frasnian Upper</t>
  </si>
  <si>
    <t>Frasnian Middle</t>
  </si>
  <si>
    <t>Frasnian Lower</t>
  </si>
  <si>
    <t>Upper third (adjusted for GTS2020 substages)</t>
  </si>
  <si>
    <t>Givetian Upper</t>
  </si>
  <si>
    <t>Givetian Middle</t>
  </si>
  <si>
    <t>Givetian Lower</t>
  </si>
  <si>
    <t>Upper 75%</t>
  </si>
  <si>
    <t>Lower 35%</t>
  </si>
  <si>
    <t>Lower third (adjusted for GTS2020 substages)</t>
  </si>
  <si>
    <t>Devonian Upper Middle</t>
  </si>
  <si>
    <t>Same as Givetian</t>
  </si>
  <si>
    <t>Eifelian Upper</t>
  </si>
  <si>
    <t>Eifelian Lower</t>
  </si>
  <si>
    <t>Emsian Upper</t>
  </si>
  <si>
    <t>Emsian Middle</t>
  </si>
  <si>
    <t>Emsian Lower</t>
  </si>
  <si>
    <t>ca. Upper third</t>
  </si>
  <si>
    <t>ca. Middle third</t>
  </si>
  <si>
    <t>ca. Lower third (mabye be uppermost Pragian in future)</t>
  </si>
  <si>
    <t>Lochkovian Upper</t>
  </si>
  <si>
    <t>Lochkovian Middle</t>
  </si>
  <si>
    <t>Lochkovian Lower</t>
  </si>
  <si>
    <t>Local spelling</t>
  </si>
  <si>
    <t>Přídolí</t>
  </si>
  <si>
    <t>Přídolí Upper</t>
  </si>
  <si>
    <t>Přídolí Lower</t>
  </si>
  <si>
    <t>Ludlow Lower</t>
  </si>
  <si>
    <t>Ludlow Upper</t>
  </si>
  <si>
    <t>Silurian Middle</t>
  </si>
  <si>
    <t>Assume Treatise use same as Wenlock</t>
  </si>
  <si>
    <t>Wenlock Lower</t>
  </si>
  <si>
    <t>Assume Treatise use same as Sheinwoodian</t>
  </si>
  <si>
    <t>Wenlock Upper</t>
  </si>
  <si>
    <t>Wenlock Middle</t>
  </si>
  <si>
    <t>Assume Treatise use same as upper Homerian</t>
  </si>
  <si>
    <t>Assume Treatise use same as lower Homerian</t>
  </si>
  <si>
    <t>Telychian Upper</t>
  </si>
  <si>
    <t>Telychian Lower</t>
  </si>
  <si>
    <t>Aeronian Upper</t>
  </si>
  <si>
    <t>Aeronian Middle</t>
  </si>
  <si>
    <t>Aeronian Lower</t>
  </si>
  <si>
    <t>Llandovery Upper</t>
  </si>
  <si>
    <t>Llandovery Middle</t>
  </si>
  <si>
    <t>Llandovery Lower</t>
  </si>
  <si>
    <t>Rhuddanian Upper</t>
  </si>
  <si>
    <t>Rhuddanian Lower</t>
  </si>
  <si>
    <t>Asbian Upper</t>
  </si>
  <si>
    <t>Asbian Lower</t>
  </si>
  <si>
    <t>Upper third (put as Hirnan)</t>
  </si>
  <si>
    <t>Lower third (put 65-85% Katian)</t>
  </si>
  <si>
    <t>Ashgill Upper</t>
  </si>
  <si>
    <t>Ashgill Middle</t>
  </si>
  <si>
    <t>Ashgill Lower</t>
  </si>
  <si>
    <t>Temp 25-66% Katian</t>
  </si>
  <si>
    <t>Temp - between</t>
  </si>
  <si>
    <t>Temp - lower 75% Sandbian</t>
  </si>
  <si>
    <t>Caradoc Upper</t>
  </si>
  <si>
    <t>Caradoc Middle</t>
  </si>
  <si>
    <t>Caradoc Lower</t>
  </si>
  <si>
    <t>Llandeilo Upper</t>
  </si>
  <si>
    <t>Llandeilo Lower</t>
  </si>
  <si>
    <t>Llanvirn Upper</t>
  </si>
  <si>
    <t>Llanvirn Middle</t>
  </si>
  <si>
    <t>Llanvirn Early</t>
  </si>
  <si>
    <t>Llanvirn Lower</t>
  </si>
  <si>
    <t>Temp - Daping</t>
  </si>
  <si>
    <t>Temp 30-57 Darriw</t>
  </si>
  <si>
    <t>Temp lower 30% Darriw</t>
  </si>
  <si>
    <t>Temp Daping</t>
  </si>
  <si>
    <t>Temp 30-60 Darr</t>
  </si>
  <si>
    <t>Temp 0-30 Darr</t>
  </si>
  <si>
    <t>Arenig Upper</t>
  </si>
  <si>
    <t>Arenig Lower</t>
  </si>
  <si>
    <t>Tremadoc Upper</t>
  </si>
  <si>
    <t>Tremadoc Lower</t>
  </si>
  <si>
    <t>Dresbachian Upper</t>
  </si>
  <si>
    <t>Dresbachian Lowe</t>
  </si>
  <si>
    <t>Temp lower Paib</t>
  </si>
  <si>
    <t>Temp upper Guzh</t>
  </si>
  <si>
    <t>Cambrian Upper Upper</t>
  </si>
  <si>
    <t>Cambrian Lower Upper</t>
  </si>
  <si>
    <t>Temp 25% Jiang + Stage 10</t>
  </si>
  <si>
    <t>Temp u.Guzh + Paib + 25% Jiang</t>
  </si>
  <si>
    <t>Cambrian Upper Middle</t>
  </si>
  <si>
    <t>Cambrian Lower Middle</t>
  </si>
  <si>
    <t>Temp Drumian to 50% Guzh</t>
  </si>
  <si>
    <t>Temp = u. Stage 4 + Wulian</t>
  </si>
  <si>
    <t>Amgaian Upper</t>
  </si>
  <si>
    <t>Amgaian Lower</t>
  </si>
  <si>
    <t>Temp Drumian to 25% Guzh</t>
  </si>
  <si>
    <t>Cambrian Upper Lower</t>
  </si>
  <si>
    <t>Cambrian Lower Lower</t>
  </si>
  <si>
    <t>Temp Camb 3 + lower 4</t>
  </si>
  <si>
    <t>Temp Fortun + Camb 2</t>
  </si>
  <si>
    <t>Atdabanian Upper</t>
  </si>
  <si>
    <t>Atdabanian Lower</t>
  </si>
  <si>
    <t>Temp ca. upper half</t>
  </si>
  <si>
    <t>Temp ca. lower half</t>
  </si>
  <si>
    <t>Tommotian Upper</t>
  </si>
  <si>
    <t>Tommotian Lower</t>
  </si>
  <si>
    <t>Burdigalian Lower</t>
  </si>
  <si>
    <t>Burdigalian Upper</t>
  </si>
  <si>
    <t>Paleogene Lower</t>
  </si>
  <si>
    <t>Danien Upper</t>
  </si>
  <si>
    <t>Danian Middle</t>
  </si>
  <si>
    <t>Danian Lower</t>
  </si>
  <si>
    <t>Cenomanian Upper</t>
  </si>
  <si>
    <t>Cenomanian Lower</t>
  </si>
  <si>
    <t>Barremian Upper</t>
  </si>
  <si>
    <t>Barremian Lower</t>
  </si>
  <si>
    <t>Valanginian Upper</t>
  </si>
  <si>
    <t>Kimmeridgian Middle</t>
  </si>
  <si>
    <t>SPECIAL 33-66% up</t>
  </si>
  <si>
    <r>
      <t xml:space="preserve">SPECIAL 33-66% up </t>
    </r>
    <r>
      <rPr>
        <i/>
        <sz val="10"/>
        <rFont val="MS Sans Serif"/>
      </rPr>
      <t>(assumes most use only a bi-split of Kimm</t>
    </r>
    <r>
      <rPr>
        <b/>
        <sz val="10"/>
        <rFont val="MS Sans Serif"/>
      </rPr>
      <t>)</t>
    </r>
  </si>
  <si>
    <r>
      <t xml:space="preserve">SPECIAL 33-66% up </t>
    </r>
    <r>
      <rPr>
        <i/>
        <sz val="10"/>
        <rFont val="MS Sans Serif"/>
      </rPr>
      <t>(assumes most use only a bi-split of Oxf</t>
    </r>
    <r>
      <rPr>
        <b/>
        <sz val="10"/>
        <rFont val="MS Sans Serif"/>
      </rPr>
      <t>)</t>
    </r>
  </si>
  <si>
    <t>Oxfordian Middle</t>
  </si>
  <si>
    <t>Bajocian Middle</t>
  </si>
  <si>
    <t>Pliensbachian Upper</t>
  </si>
  <si>
    <t>Pliensbachian Lower</t>
  </si>
  <si>
    <t>Assumed to be Ssvatian</t>
  </si>
  <si>
    <t>Assumed to be Alaunian</t>
  </si>
  <si>
    <t>Norian Middle</t>
  </si>
  <si>
    <t>Assumed to be Lacian</t>
  </si>
  <si>
    <t>Revised to GTS2020</t>
  </si>
  <si>
    <t>Assumed to be Sevatian</t>
  </si>
  <si>
    <t>Assumed to be Lacinian</t>
  </si>
  <si>
    <t>Triassic Lower Middle</t>
  </si>
  <si>
    <t>Assumed to be Anisian</t>
  </si>
  <si>
    <t>Triassic Upper Middle</t>
  </si>
  <si>
    <t>Assumed to be Ladinian</t>
  </si>
  <si>
    <t>Scythian Lowest</t>
  </si>
  <si>
    <t>Assumed to be Griesbachian</t>
  </si>
  <si>
    <t>Changhsingian Upper</t>
  </si>
  <si>
    <t>Changhsingian Lower</t>
  </si>
  <si>
    <t>Changhsingian Uppermost</t>
  </si>
  <si>
    <t>Special - 80% up</t>
  </si>
  <si>
    <t>Lopingian Upper</t>
  </si>
  <si>
    <t>Lopingian Lower</t>
  </si>
  <si>
    <t>Equivalent to Wuchiapingian</t>
  </si>
  <si>
    <t>Equivalent to Changhsingian</t>
  </si>
  <si>
    <t>SPECIAL - mid-Wuchipingian to 25% Chang</t>
  </si>
  <si>
    <r>
      <t xml:space="preserve">Lopingian </t>
    </r>
    <r>
      <rPr>
        <b/>
        <sz val="12"/>
        <rFont val="MS Sans Serif"/>
      </rPr>
      <t>Middle</t>
    </r>
  </si>
  <si>
    <r>
      <t xml:space="preserve">SPECIAL - 75%Wuchipingian to 25% Chang; </t>
    </r>
    <r>
      <rPr>
        <i/>
        <sz val="10"/>
        <rFont val="MS Sans Serif"/>
      </rPr>
      <t>assumed rarely used</t>
    </r>
  </si>
  <si>
    <t>Guadalupian Lower</t>
  </si>
  <si>
    <t>Assumed L-M-U divisions; hence to be Roadian</t>
  </si>
  <si>
    <t>Equivalent to Guadalupian</t>
  </si>
  <si>
    <t>Guadalupian Middle</t>
  </si>
  <si>
    <t>Assumed L-M-U divisions; hence to be Captianian</t>
  </si>
  <si>
    <t>Assumed L-M-U divisions; hence to be Wordian</t>
  </si>
  <si>
    <t>Artinskian Upper</t>
  </si>
  <si>
    <t>Artinskian Middle</t>
  </si>
  <si>
    <t>Westphalian Lower</t>
  </si>
  <si>
    <t>Assumed to be Westphalian A</t>
  </si>
  <si>
    <t>Westphalian Middle</t>
  </si>
  <si>
    <t>Westphalian Upper</t>
  </si>
  <si>
    <t>Assumed to be Westphalian B</t>
  </si>
  <si>
    <t>Assumed to be Westphalian C</t>
  </si>
  <si>
    <t>Westphalia</t>
  </si>
  <si>
    <t>Namurian Lower</t>
  </si>
  <si>
    <t>Visean lower Upper</t>
  </si>
  <si>
    <t>Visean upper Upper</t>
  </si>
  <si>
    <t>upper half of upper third</t>
  </si>
  <si>
    <t>lower half of upper third</t>
  </si>
  <si>
    <t>Eifelian Middle</t>
  </si>
  <si>
    <r>
      <t xml:space="preserve">Special -- </t>
    </r>
    <r>
      <rPr>
        <i/>
        <sz val="10"/>
        <rFont val="MS Sans Serif"/>
      </rPr>
      <t>assumed most are L/U Eifel division</t>
    </r>
  </si>
  <si>
    <t>upper half of Lower hald</t>
  </si>
  <si>
    <t>lower half of Lower hald</t>
  </si>
  <si>
    <t>Famennian Lowermost</t>
  </si>
  <si>
    <t>Assumed Treatise used as E</t>
  </si>
  <si>
    <t>Devonian upper Lower</t>
  </si>
  <si>
    <t>Assumed same as Emsian</t>
  </si>
  <si>
    <t>Devonian middle Lower</t>
  </si>
  <si>
    <t>Assumed same as Pragian</t>
  </si>
  <si>
    <t>Devonian lower Lower</t>
  </si>
  <si>
    <t>Assumed same as Lochkovian</t>
  </si>
  <si>
    <t>Pragian Lower</t>
  </si>
  <si>
    <t>Pragian Upper</t>
  </si>
  <si>
    <t>Pragian upper Lower</t>
  </si>
  <si>
    <t>Pragian lower Lower</t>
  </si>
  <si>
    <t>Emsian Lowermost</t>
  </si>
  <si>
    <t>Assumed lower-half of Lower</t>
  </si>
  <si>
    <t>Emsian Uppermost</t>
  </si>
  <si>
    <t>Assumed upper-half of Upp</t>
  </si>
  <si>
    <t>Pridoli Upper</t>
  </si>
  <si>
    <t>Pridoli Lower</t>
  </si>
  <si>
    <t>Arenig Early</t>
  </si>
  <si>
    <t>Undillan</t>
  </si>
  <si>
    <t>different spelling</t>
  </si>
  <si>
    <t>Henderson GTS2020</t>
  </si>
  <si>
    <t>GTS2020</t>
  </si>
  <si>
    <t>Henderson GTS2020; assumed to be Severodvinian-Vyalkian</t>
  </si>
  <si>
    <t>Henderson GTS2020 = Capitanian</t>
  </si>
  <si>
    <t>Henderson GTS2020 = 0-40% up in Wuch.</t>
  </si>
  <si>
    <t>0-8% up in Wuch. (0.4 myr); Henderson 2020</t>
  </si>
  <si>
    <t>Henderson GTS2020; Equiv. to Wordian</t>
  </si>
  <si>
    <t>Henderson GTS2020; equiv to Roadian</t>
  </si>
  <si>
    <t>Upper 40% of Kazanian (Roadian)</t>
  </si>
  <si>
    <t>Lower 60% of Kazanian (Roadian)</t>
  </si>
  <si>
    <t>Henderson GTS2020; same as Ufimian</t>
  </si>
  <si>
    <t>Middle Lower Miocene</t>
  </si>
  <si>
    <t>Same as Burdigalian</t>
  </si>
  <si>
    <t>assumed upper half (not E-M-Lt)</t>
  </si>
  <si>
    <t>assumed lower half (not E-M-Lt)</t>
  </si>
  <si>
    <t>Jurassic Lower Lower</t>
  </si>
  <si>
    <t>Assumed Hett-Sinemurian</t>
  </si>
  <si>
    <t>Jurassic Upper Lower</t>
  </si>
  <si>
    <t>Assumed Pliens-Toarc</t>
  </si>
  <si>
    <t>Permian Upper</t>
  </si>
  <si>
    <t>Equiv to Lopingian</t>
  </si>
  <si>
    <t>Carboniferous Middle</t>
  </si>
  <si>
    <t>Treatise usage assumed ca. Namurian</t>
  </si>
  <si>
    <t>Ordovician Upper Upper</t>
  </si>
  <si>
    <t>Ordovician Lower Upper</t>
  </si>
  <si>
    <t>Assumed to be British Caradoc</t>
  </si>
  <si>
    <t>spelling</t>
  </si>
  <si>
    <t>Assumed to be British Ashgill</t>
  </si>
  <si>
    <t>Sandbian Upper</t>
  </si>
  <si>
    <t>Sandbian Lower</t>
  </si>
  <si>
    <t>Darriwilian Upper</t>
  </si>
  <si>
    <t>Darriwilian Lower</t>
  </si>
  <si>
    <t>Tremadocian Upper</t>
  </si>
  <si>
    <t>Tremadocian Lower</t>
  </si>
  <si>
    <t>Ordovician Upper Lower</t>
  </si>
  <si>
    <t>Assumed to be Floian</t>
  </si>
  <si>
    <t>Ordovician Lower Lower</t>
  </si>
  <si>
    <t>Assumed to be Tremadocian</t>
  </si>
  <si>
    <t>GTS2020 (Peng et al.)</t>
  </si>
  <si>
    <t>Atdabanian 4</t>
  </si>
  <si>
    <t>Atdabanian 3</t>
  </si>
  <si>
    <t>Atdabanian 2</t>
  </si>
  <si>
    <t>Atdabanian 1</t>
  </si>
  <si>
    <t>Tommotian 4</t>
  </si>
  <si>
    <t>Tommotian 3</t>
  </si>
  <si>
    <t>Tommotian 2</t>
  </si>
  <si>
    <t>Tommotian 1</t>
  </si>
  <si>
    <t>Temp ca. upper third</t>
  </si>
  <si>
    <t>Temp ca. lower third</t>
  </si>
  <si>
    <t>Temp ca. middle third</t>
  </si>
  <si>
    <t>Botomian 1</t>
  </si>
  <si>
    <t>Botomian 2</t>
  </si>
  <si>
    <t>Botomian 3</t>
  </si>
  <si>
    <t>Toyonian 3</t>
  </si>
  <si>
    <t>Toyonian 2</t>
  </si>
  <si>
    <t>Toyonian 1</t>
  </si>
  <si>
    <t>Tithonian Upper</t>
  </si>
  <si>
    <t>Tithonian Lower</t>
  </si>
  <si>
    <t>Eifelian Lowermost</t>
  </si>
  <si>
    <t>Arbitarily set as lower 20% (LAD of Ophigraptus, not in TSC)</t>
  </si>
  <si>
    <t>Homerian Upper</t>
  </si>
  <si>
    <t>Homerian Lower</t>
  </si>
  <si>
    <t>Sheinwoodian Upper</t>
  </si>
  <si>
    <t>Sheinwoodian Lower</t>
  </si>
  <si>
    <t>Ludfordian Upper</t>
  </si>
  <si>
    <t>Ludfordian Lower</t>
  </si>
  <si>
    <t>Hirnantian Upper</t>
  </si>
  <si>
    <t>Hirnantian Lower</t>
  </si>
  <si>
    <t>Katian Upper</t>
  </si>
  <si>
    <t>Katian Lower</t>
  </si>
  <si>
    <t>Darriwilian Middle</t>
  </si>
  <si>
    <t>Used only once in Treatise for Ekstroemograptus LAD; so given special 35-65% span</t>
  </si>
  <si>
    <t>Speicial middle-third</t>
  </si>
  <si>
    <t>Dapingian Upper</t>
  </si>
  <si>
    <t>Dapingian Lower</t>
  </si>
  <si>
    <t>Floian Upper</t>
  </si>
  <si>
    <t>Floian Lower</t>
  </si>
  <si>
    <t>Famennian Middle</t>
  </si>
  <si>
    <t>Assumed Treatise Ammon used as middlle-third; independent of Early/Late</t>
  </si>
  <si>
    <t>assumed same as "upper Upper"</t>
  </si>
  <si>
    <t>lower half of Lower third</t>
  </si>
  <si>
    <t>Tournaisian Lower Upper</t>
  </si>
  <si>
    <t>Lower half of Upper third</t>
  </si>
  <si>
    <t>Guadalupian (probably Roadian)</t>
  </si>
  <si>
    <t>Assumed to be Roadian for Treatise age assignments</t>
  </si>
  <si>
    <t>Drumian Upper</t>
  </si>
  <si>
    <t>Drumian Lowe</t>
  </si>
  <si>
    <t>Canglangpuan</t>
  </si>
  <si>
    <t>Spelling in Trilobite treatise</t>
  </si>
  <si>
    <t>Cambrian Epoch 2</t>
  </si>
  <si>
    <t>Stage 3 plus Stage 4</t>
  </si>
  <si>
    <t>Longwangmiaoan</t>
  </si>
  <si>
    <t>Above Changlangyuan</t>
  </si>
  <si>
    <t>Tsanglangpuan</t>
  </si>
  <si>
    <t>Spelling in China Integrated Strat</t>
  </si>
  <si>
    <t>Lungwangmiaoan</t>
  </si>
  <si>
    <t>Chiungchussuan</t>
  </si>
  <si>
    <t>Maochuangian</t>
  </si>
  <si>
    <t>Hsuchuangian</t>
  </si>
  <si>
    <t>alternate spelling</t>
  </si>
  <si>
    <t>Changhsian</t>
  </si>
  <si>
    <t>Kushanian</t>
  </si>
  <si>
    <t>From China Integ. Strat.</t>
  </si>
  <si>
    <t>Above Jinningian</t>
  </si>
  <si>
    <t>Stage</t>
  </si>
  <si>
    <t>Jinningian plus Meishucunian</t>
  </si>
  <si>
    <t>alternate spelling?</t>
  </si>
  <si>
    <t>Nangaoan plus Duyunian = Cambrian Epoch 2</t>
  </si>
  <si>
    <t>Above Maochuangian</t>
  </si>
  <si>
    <t>Botoman</t>
  </si>
  <si>
    <t>Alternate spelling</t>
  </si>
  <si>
    <t>Cambrian Uppermost</t>
  </si>
  <si>
    <t>Temp Stage 10</t>
  </si>
  <si>
    <t>Cambrian Uppermost Middle</t>
  </si>
  <si>
    <t>Upper half of the Upper-Middle</t>
  </si>
  <si>
    <t>Idamean Upper</t>
  </si>
  <si>
    <t>Idamean Lower</t>
  </si>
  <si>
    <t>lower half of Idamean</t>
  </si>
  <si>
    <t>upper half of Idamean</t>
  </si>
  <si>
    <t>Canglangpuan Upper</t>
  </si>
  <si>
    <t>Canglangpuan Lower</t>
  </si>
  <si>
    <t>lower half of "Canglangpuan" for Treatise</t>
  </si>
  <si>
    <t>upper half of "Canglangpuan" for Treatise</t>
  </si>
  <si>
    <t>Mindyallan Upper</t>
  </si>
  <si>
    <t>Mindyallan Lower</t>
  </si>
  <si>
    <t>upper half of Mindyallan</t>
  </si>
  <si>
    <t>lower half of Mindyallan</t>
  </si>
  <si>
    <t>Cambrian Middle Middle</t>
  </si>
  <si>
    <t>Temp Drumian</t>
  </si>
  <si>
    <t>Cambrian Stage 4 Upper</t>
  </si>
  <si>
    <t>Cambrian Stage 4 Lower</t>
  </si>
  <si>
    <t>upper half of Stage 4</t>
  </si>
  <si>
    <t>lower half of Stage 4</t>
  </si>
  <si>
    <t>Upper Cambrian Stage 4</t>
  </si>
  <si>
    <t>Lower Cambrian Stage 4</t>
  </si>
  <si>
    <t>Qiongzhusian Upper</t>
  </si>
  <si>
    <t>Qiongzhusian Lower</t>
  </si>
  <si>
    <t>Qiongzhusian</t>
  </si>
  <si>
    <t>Botoman Upper</t>
  </si>
  <si>
    <t>Botoman Lower</t>
  </si>
  <si>
    <t>Toyonian Upper</t>
  </si>
  <si>
    <t>Toyonian Lower</t>
  </si>
  <si>
    <t>Lower Upper Cambrian</t>
  </si>
  <si>
    <t xml:space="preserve"> Upper Upper Cambrian</t>
  </si>
  <si>
    <t>Copy of below</t>
  </si>
  <si>
    <t>Lower half Cambrian Stage 3</t>
  </si>
  <si>
    <t>Temp ca. lower half =&gt; lower 1/4 Cambrian Stage 3</t>
  </si>
  <si>
    <t>Temp ca. upper half =&gt; second 1/4 Cambrian Stage 3</t>
  </si>
  <si>
    <t>GTS2020 (Peng et al.) = lower 75% of Cambrian Stage 3</t>
  </si>
  <si>
    <t>Temp ca. lower half = lower 37% Cambrian Stage 3</t>
  </si>
  <si>
    <t>Temp ca. upper half = 37% to 75% Cambrian Stage 3</t>
  </si>
  <si>
    <t>Temp ca. lower 1/4ths = 0-18% Camb Stage 3</t>
  </si>
  <si>
    <t>Temp ca. 1/4 to 1/2 up = 18-37% Camb Stage 3</t>
  </si>
  <si>
    <t>Temp ca. 1/2 to 3/4ths up = 37-56% Camb Stage 3</t>
  </si>
  <si>
    <t>Temp ca. upper 3/4ths = 56-75% Camb Stage 3</t>
  </si>
  <si>
    <t>GTS2020 (Peng et al.) = upper half Camb Stage 2</t>
  </si>
  <si>
    <t>Temp ca. lower half =&gt; 50-75% up Camb Stage 2</t>
  </si>
  <si>
    <t>Temp ca. upper half =&gt; 75-100% up Camb Stage 2</t>
  </si>
  <si>
    <t>Temp ca. upper 3/4ths =&gt; 87-100% up Camb Stage 2</t>
  </si>
  <si>
    <t>Temp ca. 1/2 to 3/4ths up =&gt; 75-87% up Camb Stage 2</t>
  </si>
  <si>
    <t>Temp ca. 1/4 to 1/2 up =&gt; 63-75% up Camb Stage 2</t>
  </si>
  <si>
    <t>Temp ca. lower 1/4ths =&gt; 50-63% up Camb Stage 2</t>
  </si>
  <si>
    <t>Assumed to be only Urzhumian</t>
  </si>
  <si>
    <t>Guadalupian Upper</t>
  </si>
  <si>
    <r>
      <t>Base calibration</t>
    </r>
    <r>
      <rPr>
        <i/>
        <sz val="11"/>
        <rFont val="MS Sans Serif"/>
      </rPr>
      <t xml:space="preserve"> (via concatenation)</t>
    </r>
  </si>
  <si>
    <r>
      <t xml:space="preserve">Top calibration </t>
    </r>
    <r>
      <rPr>
        <i/>
        <sz val="11"/>
        <color rgb="FF00B050"/>
        <rFont val="MS Sans Serif"/>
      </rPr>
      <t xml:space="preserve"> (via concatenation)</t>
    </r>
  </si>
  <si>
    <t>Champlainian Upper</t>
  </si>
  <si>
    <t>Champlainian Lower</t>
  </si>
  <si>
    <t>Wuliuan Upper</t>
  </si>
  <si>
    <t>Wuliuan Lower</t>
  </si>
  <si>
    <t>Guzhangian Upper</t>
  </si>
  <si>
    <t>Guzhangian Lower</t>
  </si>
  <si>
    <t>Přidolí</t>
  </si>
  <si>
    <t>Russian platform</t>
  </si>
  <si>
    <t>Sjuranian</t>
  </si>
  <si>
    <t>Shikhanian</t>
  </si>
  <si>
    <t>Lower 25%; GTS2020</t>
  </si>
  <si>
    <t>ca. 25%-80%; GTS2020</t>
  </si>
  <si>
    <t xml:space="preserve">ca. lower </t>
  </si>
  <si>
    <t>ca. 80%-100%; GTS2020</t>
  </si>
  <si>
    <t>ca. 60-100%; GTS2020</t>
  </si>
  <si>
    <t>ca. 0-60%; GTS2020</t>
  </si>
  <si>
    <t>Pamir</t>
  </si>
  <si>
    <t>Sarginian</t>
  </si>
  <si>
    <t>ca. base-Sakmar to ca. 65% Artinsk; GTS2020</t>
  </si>
  <si>
    <t>ca. 65% Artinsk-ca. 15% Kung; GTS2020</t>
  </si>
  <si>
    <t>ca. 15% to top Kung.; GTS2020</t>
  </si>
  <si>
    <t>Hessian plus Cathedralian = ca. 65% Artinsk to top Kung.; GTS2020</t>
  </si>
  <si>
    <t>Irginian</t>
  </si>
  <si>
    <t>Burtsevian</t>
  </si>
  <si>
    <t>ca. 0-35% up in Artinsk; GTS2020</t>
  </si>
  <si>
    <t>ca. 35-65% up in Artinsk; GTS2020</t>
  </si>
  <si>
    <t>ca. 65-100% up in Artinsk; GTS2020</t>
  </si>
  <si>
    <t>ca. 65% Artinsk to 40% Kung; GTS2020</t>
  </si>
  <si>
    <t>ca. 0-65% up in Artinsk; GTS2020</t>
  </si>
  <si>
    <t>Saraninian</t>
  </si>
  <si>
    <t>Upper half of Russian Kungurian = 40-80% up in Internat. Kung.</t>
  </si>
  <si>
    <t>Lower half of Russian Kungurian =. 0-40% up in Internat. Kung; GTS2020</t>
  </si>
  <si>
    <t>80%-top of Kungurian; GTS2020</t>
  </si>
  <si>
    <t>Henderson GTS2020; 80%-top of Kungurian</t>
  </si>
  <si>
    <t>WAS = Wuchiap.  NOW 40% to top Kung; GTS2020</t>
  </si>
  <si>
    <t>Sokian</t>
  </si>
  <si>
    <t>Povolzhian</t>
  </si>
  <si>
    <t>Murgabian</t>
  </si>
  <si>
    <t>mid-Wordian to dash-top Capitanian; GTS2020</t>
  </si>
  <si>
    <t>WAS Wuch; now Roadian - mid-Wordian; GTS2020</t>
  </si>
  <si>
    <t>Rotliegend</t>
  </si>
  <si>
    <t>Rotliegenden</t>
  </si>
  <si>
    <t>variable spellings in different contexts</t>
  </si>
  <si>
    <t>Beyrichitan</t>
  </si>
  <si>
    <t>Lower Anisian; assumed to be Aegean-Bithynian</t>
  </si>
  <si>
    <t>Anisian Lower</t>
  </si>
  <si>
    <t>Albian Middle</t>
  </si>
  <si>
    <t>Aptian Middle</t>
  </si>
  <si>
    <t>Assigned as 33-66% up in Aptian</t>
  </si>
  <si>
    <t>ca. lower 33% of stage in Europe usage</t>
  </si>
  <si>
    <t>ca. upper 34% of stage in Europe usage</t>
  </si>
  <si>
    <t>SPECIAL 33-66% up (because Bajocian is usually only split into two parts)</t>
  </si>
  <si>
    <t>SPECIAL 33-66% up (assumes most use only a bi-split of Toarcian)</t>
  </si>
  <si>
    <t>Toarcian Middle</t>
  </si>
  <si>
    <t>Portlandian Upper</t>
  </si>
  <si>
    <t>Early Portlandian is lower-half of its Jurassic portion</t>
  </si>
  <si>
    <t>Late Portlandan is the upper-half of its Jurassic porton plus the Berriasian portion (twice as long as Early)</t>
  </si>
  <si>
    <t>NEED TO ADJUST THIS !</t>
  </si>
  <si>
    <t>Ryazanian Upper</t>
  </si>
  <si>
    <t>Ryazanian Lower</t>
  </si>
  <si>
    <t>Ryazanian</t>
  </si>
  <si>
    <t>Alternate Spelling</t>
  </si>
  <si>
    <t>Essentially same as Portlandian</t>
  </si>
  <si>
    <t>Essentially lower 2/3rds of Tithonian (GTS2020)</t>
  </si>
  <si>
    <t>Essentially 25% to top of Berriasian</t>
  </si>
  <si>
    <t>Essentially 62% to top of Berriasian (GTS2020)</t>
  </si>
  <si>
    <t>Essentially 25% to 62% of Berriasian (GTS2020)</t>
  </si>
  <si>
    <t>Turonian Upper</t>
  </si>
  <si>
    <t>Turonian Middle</t>
  </si>
  <si>
    <t>Turonian Lower</t>
  </si>
  <si>
    <t>Used GTS2020 sub-stage scaling</t>
  </si>
  <si>
    <t>Cenomanian Middle</t>
  </si>
  <si>
    <t>Used approximate GTS2020 sub-stage scaling</t>
  </si>
  <si>
    <t>Lower half - approximate GTS2020 sub-stage scaling</t>
  </si>
  <si>
    <t>Assigned as 25-50% up in Albian in GTS2020</t>
  </si>
  <si>
    <t>Assigned as upper 50% up in Albian in GTS2020</t>
  </si>
  <si>
    <t>Assigned as 0-25% up in Albian in GTS2020</t>
  </si>
  <si>
    <t>Coniacian Upper</t>
  </si>
  <si>
    <t>Coniacian Lower</t>
  </si>
  <si>
    <t>Santonian Upper</t>
  </si>
  <si>
    <t>Santonian Lower</t>
  </si>
  <si>
    <t>Santonian Middle</t>
  </si>
  <si>
    <t>Approximate 0:20:60:100 split in GTS2020</t>
  </si>
  <si>
    <t>Campanian Middle</t>
  </si>
  <si>
    <t>Treatise Cret Ammon used a "Middle"; so assumed 30-65% up</t>
  </si>
  <si>
    <t>Tithonian Middle</t>
  </si>
  <si>
    <t>Essentially upper 1/3rds of Tithonian (GTS2020)</t>
  </si>
  <si>
    <t>Barremian Middle</t>
  </si>
  <si>
    <t>Baigendzhinian</t>
  </si>
  <si>
    <t>Lutetian Upper</t>
  </si>
  <si>
    <t>Lutetian Lower</t>
  </si>
  <si>
    <t>Portlandian Lower</t>
  </si>
  <si>
    <t>Visean Lowermost</t>
  </si>
  <si>
    <t>Visean Uppermost</t>
  </si>
  <si>
    <t>Berriasian Upper</t>
  </si>
  <si>
    <t>Berriasian Lower</t>
  </si>
  <si>
    <t>For Treatise, used simple 50:50; although GTS2020 Berriasian has L-M-U</t>
  </si>
  <si>
    <t>Hauterivian Middle</t>
  </si>
  <si>
    <t>33-65% up for Treatise; although no Middle exists in Europe usage</t>
  </si>
  <si>
    <t>Lias Lower</t>
  </si>
  <si>
    <t>Lias Upper</t>
  </si>
  <si>
    <t>Liassic Upper</t>
  </si>
  <si>
    <t>Liassic</t>
  </si>
  <si>
    <t>Alt. spelling</t>
  </si>
  <si>
    <t>Liassic Lower</t>
  </si>
  <si>
    <t>Senonian Upper</t>
  </si>
  <si>
    <t>Senonian Lower</t>
  </si>
  <si>
    <t>Assuming Piocene (Treatise) is before Gelasian shifted to Pleist.</t>
  </si>
  <si>
    <t>Oligocene Middle</t>
  </si>
  <si>
    <t>Used in Treatise - arbitary upper-Rupel and lower-Chat</t>
  </si>
  <si>
    <t>Ladinian Upper</t>
  </si>
  <si>
    <t>Ladinian Lower</t>
  </si>
  <si>
    <t>Assumed a 50:50 split</t>
  </si>
  <si>
    <t>Anisian Upper</t>
  </si>
  <si>
    <t>Upper Anisian; assumed to be Pelsonian-Illyrian</t>
  </si>
  <si>
    <t>Franconian Lower</t>
  </si>
  <si>
    <t>Franconian Upper</t>
  </si>
  <si>
    <t>Set as upper half</t>
  </si>
  <si>
    <t>Set as lower half</t>
  </si>
  <si>
    <t>Jiangshanian Upper</t>
  </si>
  <si>
    <t>Jiangshanian Lower</t>
  </si>
  <si>
    <t>Canadian Lower</t>
  </si>
  <si>
    <t>Canadian Upper</t>
  </si>
  <si>
    <t>Canadian Middle</t>
  </si>
  <si>
    <t>Essentially lower half of Tremadocian</t>
  </si>
  <si>
    <t>Essentially upper half of Tremadocian</t>
  </si>
  <si>
    <t>Essentially Floian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</si>
</sst>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0"/>
    <numFmt numFmtId="165" formatCode="0.000"/>
    <numFmt numFmtId="166" formatCode="0.00000"/>
    <numFmt numFmtId="167" formatCode="0.0"/>
  </numFmts>
  <fonts count="53">
    <font>
      <sz val="10"/>
      <name val="MS Sans Serif"/>
    </font>
    <font>
      <sz val="11"/>
      <color theme="1"/>
      <name val="Arial"/>
      <family val="2"/>
    </font>
    <font>
      <b/>
      <sz val="10"/>
      <name val="MS Sans Serif"/>
      <family val="2"/>
    </font>
    <font>
      <sz val="10"/>
      <name val="MS Sans Serif"/>
      <family val="2"/>
    </font>
    <font>
      <b/>
      <sz val="10"/>
      <color indexed="12"/>
      <name val="MS Sans Serif"/>
      <family val="2"/>
    </font>
    <font>
      <sz val="10"/>
      <color indexed="8"/>
      <name val="Arial"/>
      <family val="2"/>
    </font>
    <font>
      <b/>
      <sz val="10"/>
      <color indexed="57"/>
      <name val="MS Sans Serif"/>
      <family val="2"/>
    </font>
    <font>
      <b/>
      <sz val="10"/>
      <color rgb="FFFF0000"/>
      <name val="MS Sans Serif"/>
      <family val="2"/>
    </font>
    <font>
      <sz val="11"/>
      <color rgb="FF9C0006"/>
      <name val="Arial"/>
      <family val="2"/>
    </font>
    <font>
      <sz val="11"/>
      <color rgb="FF9C6500"/>
      <name val="Arial"/>
      <family val="2"/>
    </font>
    <font>
      <u/>
      <sz val="10"/>
      <color theme="10"/>
      <name val="MS Sans Serif"/>
    </font>
    <font>
      <u/>
      <sz val="10"/>
      <color theme="11"/>
      <name val="MS Sans Serif"/>
    </font>
    <font>
      <b/>
      <sz val="12"/>
      <name val="MS Sans Serif"/>
    </font>
    <font>
      <sz val="12"/>
      <name val="MS Sans Serif"/>
    </font>
    <font>
      <sz val="12"/>
      <color indexed="8"/>
      <name val="MS Sans Serif"/>
    </font>
    <font>
      <b/>
      <sz val="10"/>
      <color rgb="FF008000"/>
      <name val="MS Sans Serif"/>
    </font>
    <font>
      <sz val="10"/>
      <color rgb="FF008000"/>
      <name val="MS Sans Serif"/>
    </font>
    <font>
      <sz val="10"/>
      <name val="Verdana"/>
      <family val="2"/>
    </font>
    <font>
      <b/>
      <sz val="16"/>
      <name val="Arial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4"/>
      <name val="Arial"/>
      <family val="2"/>
    </font>
    <font>
      <sz val="12"/>
      <name val="Arial"/>
      <family val="2"/>
    </font>
    <font>
      <sz val="10"/>
      <name val="SimSun"/>
      <family val="2"/>
    </font>
    <font>
      <i/>
      <sz val="12"/>
      <name val="Arial"/>
      <family val="2"/>
    </font>
    <font>
      <i/>
      <sz val="12"/>
      <color rgb="FFFF0000"/>
      <name val="Arial"/>
      <family val="2"/>
    </font>
    <font>
      <b/>
      <sz val="12"/>
      <color indexed="12"/>
      <name val="MS Sans Serif"/>
    </font>
    <font>
      <sz val="10"/>
      <color theme="0"/>
      <name val="MS Sans Serif"/>
    </font>
    <font>
      <sz val="12"/>
      <color theme="0"/>
      <name val="MS Sans Serif"/>
    </font>
    <font>
      <b/>
      <sz val="12"/>
      <color indexed="57"/>
      <name val="MS Sans Serif"/>
    </font>
    <font>
      <b/>
      <sz val="10"/>
      <color rgb="FF00B050"/>
      <name val="MS Sans Serif"/>
    </font>
    <font>
      <b/>
      <sz val="12"/>
      <color rgb="FF00B050"/>
      <name val="MS Sans Serif"/>
    </font>
    <font>
      <sz val="10"/>
      <color rgb="FF00B050"/>
      <name val="MS Sans Serif"/>
    </font>
    <font>
      <b/>
      <sz val="22"/>
      <name val="MS Sans Serif"/>
    </font>
    <font>
      <i/>
      <sz val="10"/>
      <name val="MS Sans Serif"/>
    </font>
    <font>
      <b/>
      <sz val="11"/>
      <color rgb="FF008000"/>
      <name val="MS Sans Serif"/>
    </font>
    <font>
      <b/>
      <sz val="11"/>
      <color rgb="FF0000FF"/>
      <name val="MS Sans Serif"/>
    </font>
    <font>
      <sz val="12"/>
      <color rgb="FF008000"/>
      <name val="MS Sans Serif"/>
    </font>
    <font>
      <b/>
      <sz val="10"/>
      <name val="MS Sans Serif"/>
    </font>
    <font>
      <b/>
      <i/>
      <sz val="10"/>
      <color rgb="FFC00000"/>
      <name val="MS Sans Serif"/>
    </font>
    <font>
      <b/>
      <i/>
      <sz val="10"/>
      <name val="MS Sans Serif"/>
    </font>
    <font>
      <i/>
      <sz val="9"/>
      <name val="MS Sans Serif"/>
    </font>
    <font>
      <b/>
      <i/>
      <sz val="9"/>
      <name val="MS Sans Serif"/>
    </font>
    <font>
      <b/>
      <i/>
      <sz val="9"/>
      <color rgb="FF00B050"/>
      <name val="MS Sans Serif"/>
    </font>
    <font>
      <i/>
      <sz val="9"/>
      <color rgb="FF00B050"/>
      <name val="MS Sans Serif"/>
    </font>
    <font>
      <i/>
      <sz val="9"/>
      <color rgb="FF008000"/>
      <name val="MS Sans Serif"/>
    </font>
    <font>
      <b/>
      <sz val="11"/>
      <name val="MS Sans Serif"/>
    </font>
    <font>
      <i/>
      <sz val="11"/>
      <name val="MS Sans Serif"/>
    </font>
    <font>
      <b/>
      <sz val="11"/>
      <color rgb="FF00B050"/>
      <name val="MS Sans Serif"/>
    </font>
    <font>
      <i/>
      <sz val="11"/>
      <color rgb="FF00B050"/>
      <name val="MS Sans Serif"/>
    </font>
    <font>
      <sz val="9"/>
      <name val="MS Sans Serif"/>
    </font>
    <font>
      <b/>
      <i/>
      <sz val="12"/>
      <color rgb="FFFF0000"/>
      <name val="MS Sans Serif"/>
    </font>
    <font>
      <i/>
      <sz val="12"/>
      <name val="MS Sans Serif"/>
    </font>
  </fonts>
  <fills count="3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indexed="13"/>
        <bgColor indexed="64"/>
      </patternFill>
    </fill>
    <fill>
      <patternFill patternType="solid">
        <fgColor rgb="FFFAFA80"/>
        <bgColor indexed="64"/>
      </patternFill>
    </fill>
    <fill>
      <patternFill patternType="solid">
        <fgColor rgb="FFFAFA80"/>
        <bgColor indexed="8"/>
      </patternFill>
    </fill>
    <fill>
      <patternFill patternType="solid">
        <fgColor rgb="FFFFE719"/>
        <bgColor indexed="64"/>
      </patternFill>
    </fill>
    <fill>
      <patternFill patternType="solid">
        <fgColor rgb="FFFFE719"/>
        <bgColor indexed="8"/>
      </patternFill>
    </fill>
    <fill>
      <patternFill patternType="solid">
        <fgColor rgb="FFFE9A52"/>
        <bgColor indexed="64"/>
      </patternFill>
    </fill>
    <fill>
      <patternFill patternType="solid">
        <fgColor rgb="FFFE9A52"/>
        <bgColor indexed="8"/>
      </patternFill>
    </fill>
    <fill>
      <patternFill patternType="solid">
        <fgColor rgb="FF80C64E"/>
        <bgColor indexed="64"/>
      </patternFill>
    </fill>
    <fill>
      <patternFill patternType="solid">
        <fgColor rgb="FF80C64E"/>
        <bgColor indexed="8"/>
      </patternFill>
    </fill>
    <fill>
      <patternFill patternType="solid">
        <fgColor rgb="FF33B2C9"/>
        <bgColor indexed="64"/>
      </patternFill>
    </fill>
    <fill>
      <patternFill patternType="solid">
        <fgColor rgb="FF33B2C9"/>
        <bgColor indexed="8"/>
      </patternFill>
    </fill>
    <fill>
      <patternFill patternType="solid">
        <fgColor rgb="FF802B92"/>
        <bgColor indexed="64"/>
      </patternFill>
    </fill>
    <fill>
      <patternFill patternType="solid">
        <fgColor rgb="FF802B92"/>
        <bgColor indexed="8"/>
      </patternFill>
    </fill>
    <fill>
      <patternFill patternType="solid">
        <fgColor rgb="FF67C5CB"/>
        <bgColor indexed="64"/>
      </patternFill>
    </fill>
    <fill>
      <patternFill patternType="solid">
        <fgColor rgb="FFF2FA1D"/>
        <bgColor indexed="64"/>
      </patternFill>
    </fill>
    <fill>
      <patternFill patternType="solid">
        <fgColor rgb="FFF04028"/>
        <bgColor indexed="64"/>
      </patternFill>
    </fill>
    <fill>
      <patternFill patternType="solid">
        <fgColor rgb="FF67A599"/>
        <bgColor indexed="64"/>
      </patternFill>
    </fill>
    <fill>
      <patternFill patternType="solid">
        <fgColor rgb="FF67A599"/>
        <bgColor indexed="8"/>
      </patternFill>
    </fill>
    <fill>
      <patternFill patternType="solid">
        <fgColor rgb="FFCB8C37"/>
        <bgColor indexed="64"/>
      </patternFill>
    </fill>
    <fill>
      <patternFill patternType="solid">
        <fgColor rgb="FFB3E1B6"/>
        <bgColor indexed="64"/>
      </patternFill>
    </fill>
    <fill>
      <patternFill patternType="solid">
        <fgColor rgb="FF7FA056"/>
        <bgColor indexed="64"/>
      </patternFill>
    </fill>
    <fill>
      <patternFill patternType="solid">
        <fgColor rgb="FF009270"/>
        <bgColor indexed="64"/>
      </patternFill>
    </fill>
    <fill>
      <patternFill patternType="solid">
        <fgColor rgb="FF99C08D"/>
        <bgColor indexed="64"/>
      </patternFill>
    </fill>
    <fill>
      <patternFill patternType="solid">
        <fgColor rgb="FF9BD9DD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39997558519241921"/>
        <bgColor indexed="8"/>
      </patternFill>
    </fill>
    <fill>
      <patternFill patternType="solid">
        <fgColor rgb="FF7FA056"/>
        <bgColor rgb="FF000000"/>
      </patternFill>
    </fill>
  </fills>
  <borders count="1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567">
    <xf numFmtId="0" fontId="0" fillId="0" borderId="0"/>
    <xf numFmtId="0" fontId="5" fillId="0" borderId="0"/>
    <xf numFmtId="0" fontId="3" fillId="0" borderId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" fillId="0" borderId="0"/>
    <xf numFmtId="0" fontId="1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7" fillId="0" borderId="0"/>
    <xf numFmtId="0" fontId="20" fillId="0" borderId="0"/>
    <xf numFmtId="0" fontId="23" fillId="0" borderId="0"/>
    <xf numFmtId="0" fontId="22" fillId="0" borderId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  <xf numFmtId="0" fontId="10" fillId="0" borderId="0" applyNumberFormat="0" applyFill="0" applyBorder="0" applyAlignment="0" applyProtection="0"/>
    <xf numFmtId="0" fontId="11" fillId="0" borderId="0" applyNumberFormat="0" applyFill="0" applyBorder="0" applyAlignment="0" applyProtection="0"/>
  </cellStyleXfs>
  <cellXfs count="189">
    <xf numFmtId="0" fontId="0" fillId="0" borderId="0" xfId="0"/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0" fontId="2" fillId="0" borderId="0" xfId="0" applyFont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10" fontId="2" fillId="0" borderId="0" xfId="0" applyNumberFormat="1" applyFont="1" applyAlignment="1">
      <alignment horizontal="center" vertical="center" wrapText="1"/>
    </xf>
    <xf numFmtId="10" fontId="3" fillId="0" borderId="0" xfId="0" applyNumberFormat="1" applyFont="1" applyAlignment="1">
      <alignment vertical="center" wrapText="1"/>
    </xf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left" vertical="center" wrapText="1"/>
    </xf>
    <xf numFmtId="0" fontId="3" fillId="3" borderId="0" xfId="0" applyFont="1" applyFill="1" applyAlignment="1">
      <alignment vertical="center" wrapText="1"/>
    </xf>
    <xf numFmtId="0" fontId="3" fillId="2" borderId="0" xfId="0" applyFont="1" applyFill="1" applyAlignment="1">
      <alignment vertical="center" wrapText="1"/>
    </xf>
    <xf numFmtId="0" fontId="3" fillId="0" borderId="0" xfId="0" applyFont="1" applyAlignment="1">
      <alignment horizontal="center" vertical="center" wrapText="1"/>
    </xf>
    <xf numFmtId="49" fontId="12" fillId="0" borderId="0" xfId="0" applyNumberFormat="1" applyFont="1" applyAlignment="1">
      <alignment horizontal="center" vertical="center" wrapText="1"/>
    </xf>
    <xf numFmtId="49" fontId="13" fillId="3" borderId="0" xfId="0" applyNumberFormat="1" applyFont="1" applyFill="1" applyAlignment="1">
      <alignment vertical="center" wrapText="1"/>
    </xf>
    <xf numFmtId="49" fontId="13" fillId="2" borderId="0" xfId="0" applyNumberFormat="1" applyFont="1" applyFill="1" applyAlignment="1">
      <alignment vertical="center" wrapText="1"/>
    </xf>
    <xf numFmtId="0" fontId="13" fillId="3" borderId="0" xfId="0" applyFont="1" applyFill="1" applyAlignment="1">
      <alignment vertical="center" wrapText="1"/>
    </xf>
    <xf numFmtId="49" fontId="13" fillId="0" borderId="0" xfId="0" applyNumberFormat="1" applyFont="1" applyAlignment="1">
      <alignment vertical="center" wrapText="1"/>
    </xf>
    <xf numFmtId="10" fontId="15" fillId="0" borderId="0" xfId="0" applyNumberFormat="1" applyFont="1" applyAlignment="1">
      <alignment horizontal="center" vertical="center" wrapText="1"/>
    </xf>
    <xf numFmtId="0" fontId="15" fillId="0" borderId="0" xfId="0" applyFont="1" applyAlignment="1">
      <alignment horizontal="center" vertical="center" wrapText="1"/>
    </xf>
    <xf numFmtId="10" fontId="16" fillId="0" borderId="0" xfId="0" applyNumberFormat="1" applyFont="1" applyAlignment="1">
      <alignment vertical="center" wrapText="1"/>
    </xf>
    <xf numFmtId="0" fontId="16" fillId="0" borderId="0" xfId="0" applyFont="1" applyAlignment="1">
      <alignment horizontal="left" vertical="center" wrapText="1"/>
    </xf>
    <xf numFmtId="0" fontId="18" fillId="6" borderId="1" xfId="27" applyFont="1" applyFill="1" applyBorder="1" applyAlignment="1">
      <alignment vertical="center"/>
    </xf>
    <xf numFmtId="0" fontId="19" fillId="6" borderId="2" xfId="27" applyFont="1" applyFill="1" applyBorder="1" applyAlignment="1">
      <alignment vertical="center"/>
    </xf>
    <xf numFmtId="2" fontId="19" fillId="6" borderId="2" xfId="27" applyNumberFormat="1" applyFont="1" applyFill="1" applyBorder="1" applyAlignment="1">
      <alignment vertical="center"/>
    </xf>
    <xf numFmtId="2" fontId="19" fillId="6" borderId="2" xfId="27" applyNumberFormat="1" applyFont="1" applyFill="1" applyBorder="1" applyAlignment="1">
      <alignment horizontal="center" vertical="center"/>
    </xf>
    <xf numFmtId="0" fontId="17" fillId="0" borderId="0" xfId="27" applyAlignment="1">
      <alignment vertical="center"/>
    </xf>
    <xf numFmtId="0" fontId="20" fillId="0" borderId="0" xfId="28"/>
    <xf numFmtId="0" fontId="19" fillId="6" borderId="4" xfId="27" applyFont="1" applyFill="1" applyBorder="1" applyAlignment="1">
      <alignment vertical="center" wrapText="1"/>
    </xf>
    <xf numFmtId="0" fontId="19" fillId="6" borderId="5" xfId="27" applyFont="1" applyFill="1" applyBorder="1" applyAlignment="1">
      <alignment vertical="center" wrapText="1"/>
    </xf>
    <xf numFmtId="0" fontId="21" fillId="6" borderId="5" xfId="27" applyFont="1" applyFill="1" applyBorder="1" applyAlignment="1">
      <alignment vertical="center" wrapText="1"/>
    </xf>
    <xf numFmtId="0" fontId="21" fillId="6" borderId="5" xfId="27" applyFont="1" applyFill="1" applyBorder="1" applyAlignment="1">
      <alignment horizontal="center" vertical="center" wrapText="1"/>
    </xf>
    <xf numFmtId="0" fontId="22" fillId="0" borderId="2" xfId="27" applyFont="1" applyBorder="1" applyAlignment="1">
      <alignment vertical="center" wrapText="1"/>
    </xf>
    <xf numFmtId="0" fontId="22" fillId="0" borderId="2" xfId="27" applyFont="1" applyBorder="1" applyAlignment="1">
      <alignment horizontal="center" vertical="center" wrapText="1"/>
    </xf>
    <xf numFmtId="165" fontId="22" fillId="0" borderId="3" xfId="29" applyNumberFormat="1" applyFont="1" applyBorder="1" applyAlignment="1">
      <alignment horizontal="right" vertical="center" wrapText="1"/>
    </xf>
    <xf numFmtId="0" fontId="22" fillId="0" borderId="0" xfId="27" applyFont="1" applyAlignment="1">
      <alignment vertical="center" wrapText="1"/>
    </xf>
    <xf numFmtId="166" fontId="22" fillId="0" borderId="7" xfId="29" applyNumberFormat="1" applyFont="1" applyBorder="1" applyAlignment="1">
      <alignment horizontal="right" vertical="center" wrapText="1"/>
    </xf>
    <xf numFmtId="0" fontId="19" fillId="0" borderId="0" xfId="27" applyFont="1" applyAlignment="1">
      <alignment vertical="center" wrapText="1"/>
    </xf>
    <xf numFmtId="0" fontId="22" fillId="0" borderId="8" xfId="27" applyFont="1" applyBorder="1" applyAlignment="1">
      <alignment vertical="center" wrapText="1"/>
    </xf>
    <xf numFmtId="0" fontId="22" fillId="0" borderId="0" xfId="27" applyFont="1" applyAlignment="1">
      <alignment horizontal="center" vertical="center" wrapText="1"/>
    </xf>
    <xf numFmtId="165" fontId="22" fillId="0" borderId="7" xfId="28" applyNumberFormat="1" applyFont="1" applyBorder="1" applyAlignment="1">
      <alignment horizontal="right" vertical="center" wrapText="1"/>
    </xf>
    <xf numFmtId="0" fontId="22" fillId="0" borderId="4" xfId="27" applyFont="1" applyBorder="1" applyAlignment="1">
      <alignment vertical="center" wrapText="1"/>
    </xf>
    <xf numFmtId="0" fontId="22" fillId="0" borderId="5" xfId="27" applyFont="1" applyBorder="1" applyAlignment="1">
      <alignment vertical="center" wrapText="1"/>
    </xf>
    <xf numFmtId="0" fontId="22" fillId="0" borderId="5" xfId="27" applyFont="1" applyBorder="1" applyAlignment="1">
      <alignment horizontal="center" vertical="center" wrapText="1"/>
    </xf>
    <xf numFmtId="2" fontId="22" fillId="0" borderId="7" xfId="28" applyNumberFormat="1" applyFont="1" applyBorder="1" applyAlignment="1">
      <alignment horizontal="right" vertical="center" wrapText="1"/>
    </xf>
    <xf numFmtId="0" fontId="22" fillId="0" borderId="1" xfId="27" applyFont="1" applyBorder="1" applyAlignment="1">
      <alignment vertical="center" wrapText="1"/>
    </xf>
    <xf numFmtId="0" fontId="22" fillId="0" borderId="2" xfId="28" applyFont="1" applyBorder="1" applyAlignment="1">
      <alignment vertical="center" wrapText="1"/>
    </xf>
    <xf numFmtId="0" fontId="22" fillId="0" borderId="7" xfId="28" applyFont="1" applyBorder="1" applyAlignment="1">
      <alignment horizontal="right" vertical="center" wrapText="1"/>
    </xf>
    <xf numFmtId="0" fontId="24" fillId="0" borderId="0" xfId="27" applyFont="1" applyAlignment="1">
      <alignment vertical="center" wrapText="1"/>
    </xf>
    <xf numFmtId="2" fontId="22" fillId="0" borderId="6" xfId="28" applyNumberFormat="1" applyFont="1" applyBorder="1" applyAlignment="1">
      <alignment horizontal="right" vertical="center" wrapText="1"/>
    </xf>
    <xf numFmtId="2" fontId="25" fillId="0" borderId="7" xfId="29" applyNumberFormat="1" applyFont="1" applyBorder="1" applyAlignment="1">
      <alignment horizontal="right" vertical="center" wrapText="1"/>
    </xf>
    <xf numFmtId="0" fontId="22" fillId="0" borderId="3" xfId="28" applyFont="1" applyBorder="1" applyAlignment="1">
      <alignment horizontal="right" vertical="center" wrapText="1"/>
    </xf>
    <xf numFmtId="2" fontId="22" fillId="0" borderId="3" xfId="28" applyNumberFormat="1" applyFont="1" applyBorder="1" applyAlignment="1">
      <alignment horizontal="right" vertical="center" wrapText="1"/>
    </xf>
    <xf numFmtId="0" fontId="22" fillId="0" borderId="9" xfId="28" applyFont="1" applyBorder="1" applyAlignment="1">
      <alignment vertical="center" wrapText="1"/>
    </xf>
    <xf numFmtId="0" fontId="22" fillId="0" borderId="10" xfId="27" applyFont="1" applyBorder="1" applyAlignment="1">
      <alignment vertical="center" wrapText="1"/>
    </xf>
    <xf numFmtId="2" fontId="22" fillId="0" borderId="0" xfId="28" applyNumberFormat="1" applyFont="1" applyAlignment="1">
      <alignment horizontal="right" vertical="center" wrapText="1"/>
    </xf>
    <xf numFmtId="0" fontId="22" fillId="0" borderId="0" xfId="29" applyFont="1" applyAlignment="1">
      <alignment vertical="center" wrapText="1"/>
    </xf>
    <xf numFmtId="167" fontId="22" fillId="0" borderId="7" xfId="28" applyNumberFormat="1" applyFont="1" applyBorder="1" applyAlignment="1">
      <alignment horizontal="right" vertical="center" wrapText="1"/>
    </xf>
    <xf numFmtId="0" fontId="22" fillId="0" borderId="0" xfId="27" applyFont="1" applyAlignment="1">
      <alignment vertical="center"/>
    </xf>
    <xf numFmtId="167" fontId="22" fillId="0" borderId="6" xfId="28" applyNumberFormat="1" applyFont="1" applyBorder="1" applyAlignment="1">
      <alignment horizontal="right" vertical="center" wrapText="1"/>
    </xf>
    <xf numFmtId="0" fontId="19" fillId="0" borderId="0" xfId="27" applyFont="1" applyAlignment="1">
      <alignment vertical="center"/>
    </xf>
    <xf numFmtId="1" fontId="22" fillId="0" borderId="0" xfId="29" applyNumberFormat="1" applyFont="1" applyAlignment="1">
      <alignment vertical="center" wrapText="1"/>
    </xf>
    <xf numFmtId="0" fontId="19" fillId="0" borderId="0" xfId="27" applyFont="1" applyAlignment="1">
      <alignment horizontal="center" vertical="center" wrapText="1"/>
    </xf>
    <xf numFmtId="0" fontId="13" fillId="7" borderId="0" xfId="0" applyFont="1" applyFill="1" applyAlignment="1">
      <alignment vertical="center" wrapText="1"/>
    </xf>
    <xf numFmtId="49" fontId="14" fillId="8" borderId="0" xfId="1" applyNumberFormat="1" applyFont="1" applyFill="1" applyAlignment="1">
      <alignment vertical="center" wrapText="1"/>
    </xf>
    <xf numFmtId="49" fontId="13" fillId="7" borderId="0" xfId="0" applyNumberFormat="1" applyFont="1" applyFill="1" applyAlignment="1">
      <alignment vertical="center" wrapText="1"/>
    </xf>
    <xf numFmtId="49" fontId="13" fillId="7" borderId="0" xfId="0" applyNumberFormat="1" applyFont="1" applyFill="1" applyAlignment="1">
      <alignment horizontal="left" vertical="center" wrapText="1"/>
    </xf>
    <xf numFmtId="0" fontId="0" fillId="7" borderId="0" xfId="0" applyFill="1" applyAlignment="1">
      <alignment vertical="center" wrapText="1"/>
    </xf>
    <xf numFmtId="49" fontId="13" fillId="9" borderId="0" xfId="0" applyNumberFormat="1" applyFont="1" applyFill="1" applyAlignment="1">
      <alignment vertical="center" wrapText="1"/>
    </xf>
    <xf numFmtId="0" fontId="13" fillId="9" borderId="0" xfId="0" applyFont="1" applyFill="1" applyAlignment="1">
      <alignment vertical="center" wrapText="1"/>
    </xf>
    <xf numFmtId="49" fontId="14" fillId="10" borderId="0" xfId="0" applyNumberFormat="1" applyFont="1" applyFill="1" applyAlignment="1" applyProtection="1">
      <alignment horizontal="left" vertical="center" wrapText="1"/>
      <protection locked="0"/>
    </xf>
    <xf numFmtId="49" fontId="14" fillId="10" borderId="0" xfId="1" applyNumberFormat="1" applyFont="1" applyFill="1" applyAlignment="1">
      <alignment vertical="center" wrapText="1"/>
    </xf>
    <xf numFmtId="0" fontId="13" fillId="9" borderId="0" xfId="0" applyFont="1" applyFill="1" applyAlignment="1">
      <alignment horizontal="left" vertical="center" wrapText="1"/>
    </xf>
    <xf numFmtId="49" fontId="13" fillId="9" borderId="0" xfId="0" applyNumberFormat="1" applyFont="1" applyFill="1" applyAlignment="1">
      <alignment horizontal="left" vertical="center" wrapText="1"/>
    </xf>
    <xf numFmtId="0" fontId="0" fillId="9" borderId="0" xfId="0" applyFill="1" applyAlignment="1">
      <alignment vertical="center" wrapText="1"/>
    </xf>
    <xf numFmtId="0" fontId="13" fillId="11" borderId="0" xfId="0" applyFont="1" applyFill="1" applyAlignment="1">
      <alignment vertical="center" wrapText="1"/>
    </xf>
    <xf numFmtId="49" fontId="13" fillId="11" borderId="0" xfId="0" applyNumberFormat="1" applyFont="1" applyFill="1" applyAlignment="1">
      <alignment vertical="center" wrapText="1"/>
    </xf>
    <xf numFmtId="0" fontId="13" fillId="11" borderId="0" xfId="0" applyFont="1" applyFill="1" applyAlignment="1">
      <alignment horizontal="left" vertical="center" wrapText="1"/>
    </xf>
    <xf numFmtId="49" fontId="14" fillId="12" borderId="0" xfId="0" applyNumberFormat="1" applyFont="1" applyFill="1" applyAlignment="1" applyProtection="1">
      <alignment horizontal="left" vertical="center" wrapText="1"/>
      <protection locked="0"/>
    </xf>
    <xf numFmtId="49" fontId="13" fillId="11" borderId="0" xfId="0" applyNumberFormat="1" applyFont="1" applyFill="1" applyAlignment="1">
      <alignment horizontal="left" vertical="center" wrapText="1"/>
    </xf>
    <xf numFmtId="49" fontId="14" fillId="12" borderId="0" xfId="1" applyNumberFormat="1" applyFont="1" applyFill="1" applyAlignment="1">
      <alignment vertical="center" wrapText="1"/>
    </xf>
    <xf numFmtId="0" fontId="0" fillId="11" borderId="0" xfId="0" applyFill="1" applyAlignment="1">
      <alignment vertical="center" wrapText="1"/>
    </xf>
    <xf numFmtId="0" fontId="0" fillId="0" borderId="0" xfId="0" applyAlignment="1">
      <alignment vertical="center" wrapText="1"/>
    </xf>
    <xf numFmtId="0" fontId="12" fillId="0" borderId="0" xfId="0" applyFont="1" applyAlignment="1">
      <alignment vertical="center" wrapText="1"/>
    </xf>
    <xf numFmtId="2" fontId="12" fillId="0" borderId="0" xfId="0" applyNumberFormat="1" applyFont="1" applyAlignment="1">
      <alignment vertical="center" wrapText="1"/>
    </xf>
    <xf numFmtId="0" fontId="12" fillId="0" borderId="0" xfId="0" applyFont="1" applyAlignment="1">
      <alignment horizontal="center" vertical="center" wrapText="1"/>
    </xf>
    <xf numFmtId="49" fontId="14" fillId="14" borderId="0" xfId="0" applyNumberFormat="1" applyFont="1" applyFill="1" applyAlignment="1" applyProtection="1">
      <alignment horizontal="left" vertical="center" wrapText="1"/>
      <protection locked="0"/>
    </xf>
    <xf numFmtId="0" fontId="13" fillId="13" borderId="0" xfId="0" applyFont="1" applyFill="1" applyAlignment="1">
      <alignment vertical="center" wrapText="1"/>
    </xf>
    <xf numFmtId="49" fontId="13" fillId="13" borderId="0" xfId="0" applyNumberFormat="1" applyFont="1" applyFill="1" applyAlignment="1">
      <alignment vertical="center" wrapText="1"/>
    </xf>
    <xf numFmtId="49" fontId="14" fillId="14" borderId="0" xfId="1" applyNumberFormat="1" applyFont="1" applyFill="1" applyAlignment="1">
      <alignment vertical="center" wrapText="1"/>
    </xf>
    <xf numFmtId="0" fontId="0" fillId="13" borderId="0" xfId="0" applyFill="1" applyAlignment="1">
      <alignment vertical="center" wrapText="1"/>
    </xf>
    <xf numFmtId="0" fontId="3" fillId="15" borderId="0" xfId="0" applyFont="1" applyFill="1" applyAlignment="1">
      <alignment vertical="center" wrapText="1"/>
    </xf>
    <xf numFmtId="49" fontId="13" fillId="15" borderId="0" xfId="0" applyNumberFormat="1" applyFont="1" applyFill="1" applyAlignment="1">
      <alignment vertical="center" wrapText="1"/>
    </xf>
    <xf numFmtId="0" fontId="13" fillId="15" borderId="0" xfId="0" applyFont="1" applyFill="1" applyAlignment="1">
      <alignment vertical="center" wrapText="1"/>
    </xf>
    <xf numFmtId="49" fontId="14" fillId="16" borderId="0" xfId="0" applyNumberFormat="1" applyFont="1" applyFill="1" applyAlignment="1" applyProtection="1">
      <alignment horizontal="left" vertical="center" wrapText="1"/>
      <protection locked="0"/>
    </xf>
    <xf numFmtId="49" fontId="14" fillId="16" borderId="0" xfId="1" applyNumberFormat="1" applyFont="1" applyFill="1" applyAlignment="1">
      <alignment vertical="center" wrapText="1"/>
    </xf>
    <xf numFmtId="0" fontId="27" fillId="17" borderId="0" xfId="0" applyFont="1" applyFill="1" applyAlignment="1">
      <alignment vertical="center" wrapText="1"/>
    </xf>
    <xf numFmtId="49" fontId="28" fillId="17" borderId="0" xfId="0" applyNumberFormat="1" applyFont="1" applyFill="1" applyAlignment="1">
      <alignment vertical="center" wrapText="1"/>
    </xf>
    <xf numFmtId="49" fontId="28" fillId="18" borderId="0" xfId="1" applyNumberFormat="1" applyFont="1" applyFill="1" applyAlignment="1">
      <alignment vertical="center" wrapText="1"/>
    </xf>
    <xf numFmtId="49" fontId="13" fillId="19" borderId="0" xfId="0" applyNumberFormat="1" applyFont="1" applyFill="1" applyAlignment="1">
      <alignment vertical="center" wrapText="1"/>
    </xf>
    <xf numFmtId="49" fontId="13" fillId="20" borderId="0" xfId="0" applyNumberFormat="1" applyFont="1" applyFill="1" applyAlignment="1">
      <alignment vertical="center" wrapText="1"/>
    </xf>
    <xf numFmtId="0" fontId="3" fillId="21" borderId="0" xfId="0" applyFont="1" applyFill="1" applyAlignment="1">
      <alignment vertical="center" wrapText="1"/>
    </xf>
    <xf numFmtId="49" fontId="13" fillId="22" borderId="0" xfId="0" applyNumberFormat="1" applyFont="1" applyFill="1" applyAlignment="1">
      <alignment vertical="center" wrapText="1"/>
    </xf>
    <xf numFmtId="0" fontId="13" fillId="22" borderId="0" xfId="0" applyFont="1" applyFill="1" applyAlignment="1">
      <alignment vertical="center" wrapText="1"/>
    </xf>
    <xf numFmtId="49" fontId="14" fillId="23" borderId="0" xfId="0" applyNumberFormat="1" applyFont="1" applyFill="1" applyAlignment="1" applyProtection="1">
      <alignment horizontal="left" vertical="center" wrapText="1"/>
      <protection locked="0"/>
    </xf>
    <xf numFmtId="164" fontId="13" fillId="22" borderId="0" xfId="0" applyNumberFormat="1" applyFont="1" applyFill="1" applyAlignment="1">
      <alignment vertical="center" wrapText="1"/>
    </xf>
    <xf numFmtId="0" fontId="0" fillId="22" borderId="0" xfId="0" applyFill="1" applyAlignment="1">
      <alignment vertical="center" wrapText="1"/>
    </xf>
    <xf numFmtId="0" fontId="0" fillId="24" borderId="0" xfId="0" applyFill="1" applyAlignment="1">
      <alignment vertical="center" wrapText="1"/>
    </xf>
    <xf numFmtId="0" fontId="13" fillId="24" borderId="0" xfId="0" applyFont="1" applyFill="1" applyAlignment="1">
      <alignment vertical="center" wrapText="1"/>
    </xf>
    <xf numFmtId="49" fontId="13" fillId="24" borderId="0" xfId="0" applyNumberFormat="1" applyFont="1" applyFill="1" applyAlignment="1">
      <alignment vertical="center" wrapText="1"/>
    </xf>
    <xf numFmtId="0" fontId="0" fillId="25" borderId="0" xfId="0" applyFill="1" applyAlignment="1">
      <alignment vertical="center" wrapText="1"/>
    </xf>
    <xf numFmtId="49" fontId="13" fillId="25" borderId="0" xfId="0" applyNumberFormat="1" applyFont="1" applyFill="1" applyAlignment="1">
      <alignment vertical="center" wrapText="1"/>
    </xf>
    <xf numFmtId="0" fontId="13" fillId="25" borderId="0" xfId="0" applyFont="1" applyFill="1" applyAlignment="1">
      <alignment vertical="center" wrapText="1"/>
    </xf>
    <xf numFmtId="0" fontId="0" fillId="26" borderId="0" xfId="0" applyFill="1" applyAlignment="1">
      <alignment vertical="center" wrapText="1"/>
    </xf>
    <xf numFmtId="0" fontId="13" fillId="26" borderId="0" xfId="0" applyFont="1" applyFill="1" applyAlignment="1">
      <alignment vertical="center" wrapText="1"/>
    </xf>
    <xf numFmtId="49" fontId="13" fillId="26" borderId="0" xfId="0" applyNumberFormat="1" applyFont="1" applyFill="1" applyAlignment="1">
      <alignment vertical="center" wrapText="1"/>
    </xf>
    <xf numFmtId="0" fontId="0" fillId="27" borderId="0" xfId="0" applyFill="1" applyAlignment="1">
      <alignment vertical="center" wrapText="1"/>
    </xf>
    <xf numFmtId="49" fontId="13" fillId="27" borderId="0" xfId="0" applyNumberFormat="1" applyFont="1" applyFill="1" applyAlignment="1">
      <alignment vertical="center" wrapText="1"/>
    </xf>
    <xf numFmtId="0" fontId="13" fillId="27" borderId="0" xfId="0" applyFont="1" applyFill="1" applyAlignment="1">
      <alignment vertical="center" wrapText="1"/>
    </xf>
    <xf numFmtId="0" fontId="14" fillId="27" borderId="0" xfId="0" applyFont="1" applyFill="1" applyAlignment="1">
      <alignment vertical="center" wrapText="1"/>
    </xf>
    <xf numFmtId="0" fontId="14" fillId="27" borderId="0" xfId="0" applyFont="1" applyFill="1" applyAlignment="1" applyProtection="1">
      <alignment horizontal="left" vertical="center" wrapText="1"/>
      <protection locked="0"/>
    </xf>
    <xf numFmtId="164" fontId="13" fillId="0" borderId="0" xfId="0" applyNumberFormat="1" applyFont="1" applyAlignment="1">
      <alignment vertical="center" wrapText="1"/>
    </xf>
    <xf numFmtId="49" fontId="13" fillId="28" borderId="0" xfId="0" applyNumberFormat="1" applyFont="1" applyFill="1" applyAlignment="1">
      <alignment vertical="center" wrapText="1"/>
    </xf>
    <xf numFmtId="49" fontId="13" fillId="29" borderId="0" xfId="0" applyNumberFormat="1" applyFont="1" applyFill="1" applyAlignment="1">
      <alignment vertical="center" wrapText="1"/>
    </xf>
    <xf numFmtId="0" fontId="16" fillId="0" borderId="0" xfId="0" applyFont="1" applyAlignment="1">
      <alignment vertical="center" wrapText="1"/>
    </xf>
    <xf numFmtId="1" fontId="12" fillId="0" borderId="0" xfId="0" applyNumberFormat="1" applyFont="1" applyAlignment="1">
      <alignment vertical="center" wrapText="1"/>
    </xf>
    <xf numFmtId="0" fontId="26" fillId="30" borderId="0" xfId="0" applyFont="1" applyFill="1" applyAlignment="1">
      <alignment horizontal="center" vertical="center" wrapText="1"/>
    </xf>
    <xf numFmtId="49" fontId="12" fillId="30" borderId="0" xfId="0" applyNumberFormat="1" applyFont="1" applyFill="1" applyAlignment="1">
      <alignment horizontal="center" vertical="center" wrapText="1"/>
    </xf>
    <xf numFmtId="167" fontId="2" fillId="0" borderId="0" xfId="0" applyNumberFormat="1" applyFont="1" applyAlignment="1">
      <alignment horizontal="center" vertical="center" wrapText="1"/>
    </xf>
    <xf numFmtId="167" fontId="0" fillId="0" borderId="0" xfId="0" applyNumberFormat="1" applyAlignment="1">
      <alignment vertical="center" wrapText="1"/>
    </xf>
    <xf numFmtId="167" fontId="3" fillId="0" borderId="0" xfId="0" applyNumberFormat="1" applyFont="1" applyAlignment="1">
      <alignment vertical="center" wrapText="1"/>
    </xf>
    <xf numFmtId="2" fontId="12" fillId="0" borderId="0" xfId="0" applyNumberFormat="1" applyFont="1" applyAlignment="1">
      <alignment horizontal="center" vertical="center" wrapText="1"/>
    </xf>
    <xf numFmtId="2" fontId="2" fillId="0" borderId="0" xfId="0" applyNumberFormat="1" applyFont="1" applyAlignment="1">
      <alignment vertical="center" wrapText="1"/>
    </xf>
    <xf numFmtId="2" fontId="2" fillId="0" borderId="0" xfId="0" applyNumberFormat="1" applyFont="1" applyAlignment="1">
      <alignment horizontal="center" vertical="center" wrapText="1"/>
    </xf>
    <xf numFmtId="0" fontId="2" fillId="30" borderId="0" xfId="0" applyFont="1" applyFill="1" applyAlignment="1">
      <alignment horizontal="center" vertical="center" wrapText="1"/>
    </xf>
    <xf numFmtId="0" fontId="2" fillId="31" borderId="0" xfId="0" applyFont="1" applyFill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2" fontId="30" fillId="0" borderId="0" xfId="0" applyNumberFormat="1" applyFont="1" applyAlignment="1">
      <alignment horizontal="center" vertical="center" wrapText="1"/>
    </xf>
    <xf numFmtId="2" fontId="31" fillId="0" borderId="0" xfId="0" applyNumberFormat="1" applyFont="1" applyAlignment="1">
      <alignment horizontal="center" vertical="center" wrapText="1"/>
    </xf>
    <xf numFmtId="2" fontId="30" fillId="0" borderId="0" xfId="0" applyNumberFormat="1" applyFont="1" applyAlignment="1">
      <alignment vertical="center" wrapText="1"/>
    </xf>
    <xf numFmtId="0" fontId="30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/>
    </xf>
    <xf numFmtId="0" fontId="32" fillId="0" borderId="0" xfId="0" applyFont="1" applyAlignment="1">
      <alignment vertical="center" wrapText="1"/>
    </xf>
    <xf numFmtId="167" fontId="32" fillId="0" borderId="0" xfId="0" applyNumberFormat="1" applyFont="1" applyAlignment="1">
      <alignment vertical="center" wrapText="1"/>
    </xf>
    <xf numFmtId="167" fontId="30" fillId="0" borderId="0" xfId="0" applyNumberFormat="1" applyFont="1" applyAlignment="1">
      <alignment horizontal="center" vertical="center" wrapText="1"/>
    </xf>
    <xf numFmtId="0" fontId="35" fillId="0" borderId="0" xfId="0" applyFont="1" applyAlignment="1">
      <alignment horizontal="center" vertical="center" wrapText="1"/>
    </xf>
    <xf numFmtId="0" fontId="36" fillId="0" borderId="0" xfId="0" applyFont="1" applyAlignment="1">
      <alignment horizontal="center" vertical="center" wrapText="1"/>
    </xf>
    <xf numFmtId="2" fontId="0" fillId="0" borderId="0" xfId="0" applyNumberFormat="1" applyAlignment="1">
      <alignment horizontal="center" vertical="center" wrapText="1"/>
    </xf>
    <xf numFmtId="2" fontId="37" fillId="0" borderId="0" xfId="0" applyNumberFormat="1" applyFont="1" applyAlignment="1">
      <alignment horizontal="center" vertical="center" wrapText="1"/>
    </xf>
    <xf numFmtId="2" fontId="0" fillId="0" borderId="0" xfId="0" applyNumberFormat="1" applyAlignment="1">
      <alignment vertical="center" wrapText="1"/>
    </xf>
    <xf numFmtId="0" fontId="38" fillId="0" borderId="0" xfId="0" applyFont="1" applyAlignment="1">
      <alignment vertical="center" wrapText="1"/>
    </xf>
    <xf numFmtId="2" fontId="38" fillId="0" borderId="0" xfId="0" applyNumberFormat="1" applyFont="1" applyAlignment="1">
      <alignment vertical="center" wrapText="1"/>
    </xf>
    <xf numFmtId="2" fontId="34" fillId="0" borderId="0" xfId="0" applyNumberFormat="1" applyFont="1" applyAlignment="1">
      <alignment vertical="center" wrapText="1"/>
    </xf>
    <xf numFmtId="2" fontId="39" fillId="0" borderId="0" xfId="0" applyNumberFormat="1" applyFont="1" applyAlignment="1">
      <alignment vertical="center" wrapText="1"/>
    </xf>
    <xf numFmtId="49" fontId="13" fillId="32" borderId="0" xfId="0" applyNumberFormat="1" applyFont="1" applyFill="1" applyAlignment="1">
      <alignment vertical="center" wrapText="1"/>
    </xf>
    <xf numFmtId="0" fontId="13" fillId="32" borderId="0" xfId="0" applyFont="1" applyFill="1" applyAlignment="1">
      <alignment vertical="center" wrapText="1"/>
    </xf>
    <xf numFmtId="49" fontId="14" fillId="33" borderId="0" xfId="1" applyNumberFormat="1" applyFont="1" applyFill="1" applyAlignment="1">
      <alignment vertical="center" wrapText="1"/>
    </xf>
    <xf numFmtId="49" fontId="14" fillId="33" borderId="0" xfId="0" applyNumberFormat="1" applyFont="1" applyFill="1" applyAlignment="1" applyProtection="1">
      <alignment horizontal="left" vertical="center" wrapText="1"/>
      <protection locked="0"/>
    </xf>
    <xf numFmtId="0" fontId="40" fillId="0" borderId="0" xfId="0" applyFont="1" applyAlignment="1">
      <alignment horizontal="center" vertical="center" wrapText="1"/>
    </xf>
    <xf numFmtId="0" fontId="34" fillId="0" borderId="0" xfId="0" applyFont="1" applyAlignment="1">
      <alignment vertical="center" wrapText="1"/>
    </xf>
    <xf numFmtId="49" fontId="13" fillId="34" borderId="0" xfId="0" applyNumberFormat="1" applyFont="1" applyFill="1" applyAlignment="1">
      <alignment vertical="center" wrapText="1"/>
    </xf>
    <xf numFmtId="49" fontId="41" fillId="27" borderId="0" xfId="0" applyNumberFormat="1" applyFont="1" applyFill="1" applyAlignment="1">
      <alignment vertical="center" wrapText="1"/>
    </xf>
    <xf numFmtId="0" fontId="42" fillId="0" borderId="0" xfId="0" applyFont="1" applyAlignment="1">
      <alignment horizontal="center" vertical="center" wrapText="1"/>
    </xf>
    <xf numFmtId="2" fontId="42" fillId="0" borderId="0" xfId="0" applyNumberFormat="1" applyFont="1" applyAlignment="1">
      <alignment vertical="center" wrapText="1"/>
    </xf>
    <xf numFmtId="2" fontId="43" fillId="0" borderId="0" xfId="0" applyNumberFormat="1" applyFont="1" applyAlignment="1">
      <alignment vertical="center" wrapText="1"/>
    </xf>
    <xf numFmtId="2" fontId="41" fillId="0" borderId="0" xfId="0" applyNumberFormat="1" applyFont="1" applyAlignment="1">
      <alignment vertical="center" wrapText="1"/>
    </xf>
    <xf numFmtId="0" fontId="41" fillId="0" borderId="0" xfId="0" applyFont="1" applyAlignment="1">
      <alignment vertical="center" wrapText="1"/>
    </xf>
    <xf numFmtId="0" fontId="44" fillId="0" borderId="0" xfId="0" applyFont="1" applyAlignment="1">
      <alignment vertical="center" wrapText="1"/>
    </xf>
    <xf numFmtId="10" fontId="41" fillId="0" borderId="0" xfId="0" applyNumberFormat="1" applyFont="1" applyAlignment="1">
      <alignment vertical="center" wrapText="1"/>
    </xf>
    <xf numFmtId="167" fontId="41" fillId="0" borderId="0" xfId="0" applyNumberFormat="1" applyFont="1" applyAlignment="1">
      <alignment vertical="center" wrapText="1"/>
    </xf>
    <xf numFmtId="0" fontId="42" fillId="0" borderId="0" xfId="0" applyFont="1" applyAlignment="1">
      <alignment vertical="center" wrapText="1"/>
    </xf>
    <xf numFmtId="10" fontId="45" fillId="0" borderId="0" xfId="0" applyNumberFormat="1" applyFont="1" applyAlignment="1">
      <alignment vertical="center" wrapText="1"/>
    </xf>
    <xf numFmtId="167" fontId="44" fillId="0" borderId="0" xfId="0" applyNumberFormat="1" applyFont="1" applyAlignment="1">
      <alignment vertical="center" wrapText="1"/>
    </xf>
    <xf numFmtId="0" fontId="45" fillId="0" borderId="0" xfId="0" applyFont="1" applyAlignment="1">
      <alignment horizontal="left" vertical="center" wrapText="1"/>
    </xf>
    <xf numFmtId="49" fontId="13" fillId="26" borderId="11" xfId="0" applyNumberFormat="1" applyFont="1" applyFill="1" applyBorder="1" applyAlignment="1">
      <alignment vertical="center" wrapText="1"/>
    </xf>
    <xf numFmtId="49" fontId="13" fillId="26" borderId="12" xfId="0" applyNumberFormat="1" applyFont="1" applyFill="1" applyBorder="1" applyAlignment="1">
      <alignment vertical="center" wrapText="1"/>
    </xf>
    <xf numFmtId="49" fontId="13" fillId="26" borderId="13" xfId="0" applyNumberFormat="1" applyFont="1" applyFill="1" applyBorder="1" applyAlignment="1">
      <alignment vertical="center" wrapText="1"/>
    </xf>
    <xf numFmtId="0" fontId="13" fillId="26" borderId="11" xfId="0" applyFont="1" applyFill="1" applyBorder="1" applyAlignment="1">
      <alignment vertical="center" wrapText="1"/>
    </xf>
    <xf numFmtId="0" fontId="13" fillId="26" borderId="12" xfId="0" applyFont="1" applyFill="1" applyBorder="1" applyAlignment="1">
      <alignment vertical="center" wrapText="1"/>
    </xf>
    <xf numFmtId="0" fontId="13" fillId="26" borderId="13" xfId="0" applyFont="1" applyFill="1" applyBorder="1" applyAlignment="1">
      <alignment vertical="center" wrapText="1"/>
    </xf>
    <xf numFmtId="0" fontId="46" fillId="0" borderId="0" xfId="0" applyFont="1" applyAlignment="1">
      <alignment horizontal="center" vertical="center" wrapText="1"/>
    </xf>
    <xf numFmtId="0" fontId="48" fillId="0" borderId="0" xfId="0" applyFont="1" applyAlignment="1">
      <alignment horizontal="center" vertical="center" wrapText="1"/>
    </xf>
    <xf numFmtId="49" fontId="13" fillId="32" borderId="14" xfId="0" applyNumberFormat="1" applyFont="1" applyFill="1" applyBorder="1" applyAlignment="1">
      <alignment vertical="center" wrapText="1"/>
    </xf>
    <xf numFmtId="49" fontId="13" fillId="32" borderId="15" xfId="0" applyNumberFormat="1" applyFont="1" applyFill="1" applyBorder="1" applyAlignment="1">
      <alignment vertical="center" wrapText="1"/>
    </xf>
    <xf numFmtId="49" fontId="13" fillId="32" borderId="16" xfId="0" applyNumberFormat="1" applyFont="1" applyFill="1" applyBorder="1" applyAlignment="1">
      <alignment vertical="center" wrapText="1"/>
    </xf>
    <xf numFmtId="0" fontId="41" fillId="0" borderId="0" xfId="0" applyFont="1" applyAlignment="1">
      <alignment horizontal="center" vertical="center" wrapText="1"/>
    </xf>
    <xf numFmtId="2" fontId="50" fillId="0" borderId="0" xfId="0" applyNumberFormat="1" applyFont="1" applyAlignment="1">
      <alignment vertical="center" wrapText="1"/>
    </xf>
    <xf numFmtId="2" fontId="51" fillId="0" borderId="0" xfId="0" applyNumberFormat="1" applyFont="1" applyAlignment="1">
      <alignment vertical="center" wrapText="1"/>
    </xf>
    <xf numFmtId="49" fontId="52" fillId="11" borderId="0" xfId="0" applyNumberFormat="1" applyFont="1" applyFill="1" applyAlignment="1">
      <alignment vertical="center" wrapText="1"/>
    </xf>
  </cellXfs>
  <cellStyles count="1567">
    <cellStyle name="Followed Hyperlink" xfId="956" builtinId="9" hidden="1"/>
    <cellStyle name="Followed Hyperlink" xfId="892" builtinId="9" hidden="1"/>
    <cellStyle name="Followed Hyperlink" xfId="828" builtinId="9" hidden="1"/>
    <cellStyle name="Followed Hyperlink" xfId="764" builtinId="9" hidden="1"/>
    <cellStyle name="Followed Hyperlink" xfId="700" builtinId="9" hidden="1"/>
    <cellStyle name="Followed Hyperlink" xfId="636" builtinId="9" hidden="1"/>
    <cellStyle name="Followed Hyperlink" xfId="572" builtinId="9" hidden="1"/>
    <cellStyle name="Followed Hyperlink" xfId="508" builtinId="9" hidden="1"/>
    <cellStyle name="Followed Hyperlink" xfId="444" builtinId="9" hidden="1"/>
    <cellStyle name="Followed Hyperlink" xfId="380" builtinId="9" hidden="1"/>
    <cellStyle name="Followed Hyperlink" xfId="316" builtinId="9" hidden="1"/>
    <cellStyle name="Followed Hyperlink" xfId="252" builtinId="9" hidden="1"/>
    <cellStyle name="Followed Hyperlink" xfId="188" builtinId="9" hidden="1"/>
    <cellStyle name="Followed Hyperlink" xfId="124" builtinId="9" hidden="1"/>
    <cellStyle name="Followed Hyperlink" xfId="42" builtinId="9" hidden="1"/>
    <cellStyle name="Followed Hyperlink" xfId="48" builtinId="9" hidden="1"/>
    <cellStyle name="Followed Hyperlink" xfId="1514" builtinId="9" hidden="1"/>
    <cellStyle name="Followed Hyperlink" xfId="1508" builtinId="9" hidden="1"/>
    <cellStyle name="Followed Hyperlink" xfId="72" builtinId="9" hidden="1"/>
    <cellStyle name="Followed Hyperlink" xfId="34" builtinId="9" hidden="1"/>
    <cellStyle name="Followed Hyperlink" xfId="136" builtinId="9" hidden="1"/>
    <cellStyle name="Followed Hyperlink" xfId="200" builtinId="9" hidden="1"/>
    <cellStyle name="Followed Hyperlink" xfId="264" builtinId="9" hidden="1"/>
    <cellStyle name="Followed Hyperlink" xfId="328" builtinId="9" hidden="1"/>
    <cellStyle name="Followed Hyperlink" xfId="392" builtinId="9" hidden="1"/>
    <cellStyle name="Followed Hyperlink" xfId="456" builtinId="9" hidden="1"/>
    <cellStyle name="Followed Hyperlink" xfId="520" builtinId="9" hidden="1"/>
    <cellStyle name="Followed Hyperlink" xfId="584" builtinId="9" hidden="1"/>
    <cellStyle name="Followed Hyperlink" xfId="648" builtinId="9" hidden="1"/>
    <cellStyle name="Followed Hyperlink" xfId="712" builtinId="9" hidden="1"/>
    <cellStyle name="Followed Hyperlink" xfId="776" builtinId="9" hidden="1"/>
    <cellStyle name="Followed Hyperlink" xfId="840" builtinId="9" hidden="1"/>
    <cellStyle name="Followed Hyperlink" xfId="904" builtinId="9" hidden="1"/>
    <cellStyle name="Followed Hyperlink" xfId="968" builtinId="9" hidden="1"/>
    <cellStyle name="Followed Hyperlink" xfId="1032" builtinId="9" hidden="1"/>
    <cellStyle name="Followed Hyperlink" xfId="1096" builtinId="9" hidden="1"/>
    <cellStyle name="Followed Hyperlink" xfId="1160" builtinId="9" hidden="1"/>
    <cellStyle name="Followed Hyperlink" xfId="1224" builtinId="9" hidden="1"/>
    <cellStyle name="Followed Hyperlink" xfId="1288" builtinId="9" hidden="1"/>
    <cellStyle name="Followed Hyperlink" xfId="1352" builtinId="9" hidden="1"/>
    <cellStyle name="Followed Hyperlink" xfId="1416" builtinId="9" hidden="1"/>
    <cellStyle name="Followed Hyperlink" xfId="1480" builtinId="9" hidden="1"/>
    <cellStyle name="Followed Hyperlink" xfId="1470" builtinId="9" hidden="1"/>
    <cellStyle name="Followed Hyperlink" xfId="1406" builtinId="9" hidden="1"/>
    <cellStyle name="Followed Hyperlink" xfId="1342" builtinId="9" hidden="1"/>
    <cellStyle name="Followed Hyperlink" xfId="1278" builtinId="9" hidden="1"/>
    <cellStyle name="Followed Hyperlink" xfId="1214" builtinId="9" hidden="1"/>
    <cellStyle name="Followed Hyperlink" xfId="1150" builtinId="9" hidden="1"/>
    <cellStyle name="Followed Hyperlink" xfId="1086" builtinId="9" hidden="1"/>
    <cellStyle name="Followed Hyperlink" xfId="1022" builtinId="9" hidden="1"/>
    <cellStyle name="Followed Hyperlink" xfId="958" builtinId="9" hidden="1"/>
    <cellStyle name="Followed Hyperlink" xfId="894" builtinId="9" hidden="1"/>
    <cellStyle name="Followed Hyperlink" xfId="830" builtinId="9" hidden="1"/>
    <cellStyle name="Followed Hyperlink" xfId="766" builtinId="9" hidden="1"/>
    <cellStyle name="Followed Hyperlink" xfId="702" builtinId="9" hidden="1"/>
    <cellStyle name="Followed Hyperlink" xfId="638" builtinId="9" hidden="1"/>
    <cellStyle name="Followed Hyperlink" xfId="574" builtinId="9" hidden="1"/>
    <cellStyle name="Followed Hyperlink" xfId="510" builtinId="9" hidden="1"/>
    <cellStyle name="Followed Hyperlink" xfId="446" builtinId="9" hidden="1"/>
    <cellStyle name="Followed Hyperlink" xfId="382" builtinId="9" hidden="1"/>
    <cellStyle name="Followed Hyperlink" xfId="318" builtinId="9" hidden="1"/>
    <cellStyle name="Followed Hyperlink" xfId="254" builtinId="9" hidden="1"/>
    <cellStyle name="Followed Hyperlink" xfId="126" builtinId="9" hidden="1"/>
    <cellStyle name="Followed Hyperlink" xfId="170" builtinId="9" hidden="1"/>
    <cellStyle name="Followed Hyperlink" xfId="182" builtinId="9" hidden="1"/>
    <cellStyle name="Followed Hyperlink" xfId="110" builtinId="9" hidden="1"/>
    <cellStyle name="Followed Hyperlink" xfId="1530" builtinId="9" hidden="1"/>
    <cellStyle name="Followed Hyperlink" xfId="1546" builtinId="9" hidden="1"/>
    <cellStyle name="Followed Hyperlink" xfId="1562" builtinId="9" hidden="1"/>
    <cellStyle name="Followed Hyperlink" xfId="1556" builtinId="9" hidden="1"/>
    <cellStyle name="Followed Hyperlink" xfId="1540" builtinId="9" hidden="1"/>
    <cellStyle name="Followed Hyperlink" xfId="82" builtinId="9" hidden="1"/>
    <cellStyle name="Followed Hyperlink" xfId="94" builtinId="9" hidden="1"/>
    <cellStyle name="Followed Hyperlink" xfId="194" builtinId="9" hidden="1"/>
    <cellStyle name="Followed Hyperlink" xfId="154" builtinId="9" hidden="1"/>
    <cellStyle name="Followed Hyperlink" xfId="214" builtinId="9" hidden="1"/>
    <cellStyle name="Followed Hyperlink" xfId="278" builtinId="9" hidden="1"/>
    <cellStyle name="Followed Hyperlink" xfId="342" builtinId="9" hidden="1"/>
    <cellStyle name="Followed Hyperlink" xfId="406" builtinId="9" hidden="1"/>
    <cellStyle name="Followed Hyperlink" xfId="470" builtinId="9" hidden="1"/>
    <cellStyle name="Followed Hyperlink" xfId="534" builtinId="9" hidden="1"/>
    <cellStyle name="Followed Hyperlink" xfId="598" builtinId="9" hidden="1"/>
    <cellStyle name="Followed Hyperlink" xfId="662" builtinId="9" hidden="1"/>
    <cellStyle name="Followed Hyperlink" xfId="726" builtinId="9" hidden="1"/>
    <cellStyle name="Followed Hyperlink" xfId="790" builtinId="9" hidden="1"/>
    <cellStyle name="Followed Hyperlink" xfId="854" builtinId="9" hidden="1"/>
    <cellStyle name="Followed Hyperlink" xfId="918" builtinId="9" hidden="1"/>
    <cellStyle name="Followed Hyperlink" xfId="982" builtinId="9" hidden="1"/>
    <cellStyle name="Followed Hyperlink" xfId="1046" builtinId="9" hidden="1"/>
    <cellStyle name="Followed Hyperlink" xfId="1110" builtinId="9" hidden="1"/>
    <cellStyle name="Followed Hyperlink" xfId="1174" builtinId="9" hidden="1"/>
    <cellStyle name="Followed Hyperlink" xfId="1238" builtinId="9" hidden="1"/>
    <cellStyle name="Followed Hyperlink" xfId="1302" builtinId="9" hidden="1"/>
    <cellStyle name="Followed Hyperlink" xfId="1366" builtinId="9" hidden="1"/>
    <cellStyle name="Followed Hyperlink" xfId="1430" builtinId="9" hidden="1"/>
    <cellStyle name="Followed Hyperlink" xfId="1494" builtinId="9" hidden="1"/>
    <cellStyle name="Followed Hyperlink" xfId="1456" builtinId="9" hidden="1"/>
    <cellStyle name="Followed Hyperlink" xfId="1392" builtinId="9" hidden="1"/>
    <cellStyle name="Followed Hyperlink" xfId="1328" builtinId="9" hidden="1"/>
    <cellStyle name="Followed Hyperlink" xfId="1264" builtinId="9" hidden="1"/>
    <cellStyle name="Followed Hyperlink" xfId="1200" builtinId="9" hidden="1"/>
    <cellStyle name="Followed Hyperlink" xfId="1136" builtinId="9" hidden="1"/>
    <cellStyle name="Followed Hyperlink" xfId="1072" builtinId="9" hidden="1"/>
    <cellStyle name="Followed Hyperlink" xfId="1008" builtinId="9" hidden="1"/>
    <cellStyle name="Followed Hyperlink" xfId="944" builtinId="9" hidden="1"/>
    <cellStyle name="Followed Hyperlink" xfId="880" builtinId="9" hidden="1"/>
    <cellStyle name="Followed Hyperlink" xfId="816" builtinId="9" hidden="1"/>
    <cellStyle name="Followed Hyperlink" xfId="752" builtinId="9" hidden="1"/>
    <cellStyle name="Followed Hyperlink" xfId="688" builtinId="9" hidden="1"/>
    <cellStyle name="Followed Hyperlink" xfId="624" builtinId="9" hidden="1"/>
    <cellStyle name="Followed Hyperlink" xfId="560" builtinId="9" hidden="1"/>
    <cellStyle name="Followed Hyperlink" xfId="496" builtinId="9" hidden="1"/>
    <cellStyle name="Followed Hyperlink" xfId="432" builtinId="9" hidden="1"/>
    <cellStyle name="Followed Hyperlink" xfId="368" builtinId="9" hidden="1"/>
    <cellStyle name="Followed Hyperlink" xfId="304" builtinId="9" hidden="1"/>
    <cellStyle name="Followed Hyperlink" xfId="240" builtinId="9" hidden="1"/>
    <cellStyle name="Followed Hyperlink" xfId="176" builtinId="9" hidden="1"/>
    <cellStyle name="Followed Hyperlink" xfId="112" builtinId="9" hidden="1"/>
    <cellStyle name="Followed Hyperlink" xfId="50" builtinId="9" hidden="1"/>
    <cellStyle name="Followed Hyperlink" xfId="16" builtinId="9" hidden="1"/>
    <cellStyle name="Followed Hyperlink" xfId="1520" builtinId="9" hidden="1"/>
    <cellStyle name="Followed Hyperlink" xfId="14" builtinId="9" hidden="1"/>
    <cellStyle name="Followed Hyperlink" xfId="68" builtinId="9" hidden="1"/>
    <cellStyle name="Followed Hyperlink" xfId="84" builtinId="9" hidden="1"/>
    <cellStyle name="Followed Hyperlink" xfId="148" builtinId="9" hidden="1"/>
    <cellStyle name="Followed Hyperlink" xfId="212" builtinId="9" hidden="1"/>
    <cellStyle name="Followed Hyperlink" xfId="276" builtinId="9" hidden="1"/>
    <cellStyle name="Followed Hyperlink" xfId="340" builtinId="9" hidden="1"/>
    <cellStyle name="Followed Hyperlink" xfId="404" builtinId="9" hidden="1"/>
    <cellStyle name="Followed Hyperlink" xfId="468" builtinId="9" hidden="1"/>
    <cellStyle name="Followed Hyperlink" xfId="532" builtinId="9" hidden="1"/>
    <cellStyle name="Followed Hyperlink" xfId="596" builtinId="9" hidden="1"/>
    <cellStyle name="Followed Hyperlink" xfId="660" builtinId="9" hidden="1"/>
    <cellStyle name="Followed Hyperlink" xfId="724" builtinId="9" hidden="1"/>
    <cellStyle name="Followed Hyperlink" xfId="788" builtinId="9" hidden="1"/>
    <cellStyle name="Followed Hyperlink" xfId="852" builtinId="9" hidden="1"/>
    <cellStyle name="Followed Hyperlink" xfId="916" builtinId="9" hidden="1"/>
    <cellStyle name="Followed Hyperlink" xfId="980" builtinId="9" hidden="1"/>
    <cellStyle name="Followed Hyperlink" xfId="1044" builtinId="9" hidden="1"/>
    <cellStyle name="Followed Hyperlink" xfId="1108" builtinId="9" hidden="1"/>
    <cellStyle name="Followed Hyperlink" xfId="1172" builtinId="9" hidden="1"/>
    <cellStyle name="Followed Hyperlink" xfId="1236" builtinId="9" hidden="1"/>
    <cellStyle name="Followed Hyperlink" xfId="1300" builtinId="9" hidden="1"/>
    <cellStyle name="Followed Hyperlink" xfId="1364" builtinId="9" hidden="1"/>
    <cellStyle name="Followed Hyperlink" xfId="1428" builtinId="9" hidden="1"/>
    <cellStyle name="Followed Hyperlink" xfId="1492" builtinId="9" hidden="1"/>
    <cellStyle name="Followed Hyperlink" xfId="1458" builtinId="9" hidden="1"/>
    <cellStyle name="Followed Hyperlink" xfId="1394" builtinId="9" hidden="1"/>
    <cellStyle name="Followed Hyperlink" xfId="1330" builtinId="9" hidden="1"/>
    <cellStyle name="Followed Hyperlink" xfId="1266" builtinId="9" hidden="1"/>
    <cellStyle name="Followed Hyperlink" xfId="1202" builtinId="9" hidden="1"/>
    <cellStyle name="Followed Hyperlink" xfId="1138" builtinId="9" hidden="1"/>
    <cellStyle name="Followed Hyperlink" xfId="1074" builtinId="9" hidden="1"/>
    <cellStyle name="Followed Hyperlink" xfId="1010" builtinId="9" hidden="1"/>
    <cellStyle name="Followed Hyperlink" xfId="946" builtinId="9" hidden="1"/>
    <cellStyle name="Followed Hyperlink" xfId="882" builtinId="9" hidden="1"/>
    <cellStyle name="Followed Hyperlink" xfId="818" builtinId="9" hidden="1"/>
    <cellStyle name="Followed Hyperlink" xfId="754" builtinId="9" hidden="1"/>
    <cellStyle name="Followed Hyperlink" xfId="690" builtinId="9" hidden="1"/>
    <cellStyle name="Followed Hyperlink" xfId="626" builtinId="9" hidden="1"/>
    <cellStyle name="Followed Hyperlink" xfId="562" builtinId="9" hidden="1"/>
    <cellStyle name="Followed Hyperlink" xfId="498" builtinId="9" hidden="1"/>
    <cellStyle name="Followed Hyperlink" xfId="306" builtinId="9" hidden="1"/>
    <cellStyle name="Followed Hyperlink" xfId="346" builtinId="9" hidden="1"/>
    <cellStyle name="Followed Hyperlink" xfId="394" builtinId="9" hidden="1"/>
    <cellStyle name="Followed Hyperlink" xfId="434" builtinId="9" hidden="1"/>
    <cellStyle name="Followed Hyperlink" xfId="418" builtinId="9" hidden="1"/>
    <cellStyle name="Followed Hyperlink" xfId="290" builtinId="9" hidden="1"/>
    <cellStyle name="Followed Hyperlink" xfId="274" builtinId="9" hidden="1"/>
    <cellStyle name="Followed Hyperlink" xfId="234" builtinId="9" hidden="1"/>
    <cellStyle name="Followed Hyperlink" xfId="218" builtinId="9" hidden="1"/>
    <cellStyle name="Followed Hyperlink" xfId="282" builtinId="9" hidden="1"/>
    <cellStyle name="Followed Hyperlink" xfId="242" builtinId="9" hidden="1"/>
    <cellStyle name="Followed Hyperlink" xfId="386" builtinId="9" hidden="1"/>
    <cellStyle name="Followed Hyperlink" xfId="442" builtinId="9" hidden="1"/>
    <cellStyle name="Followed Hyperlink" xfId="402" builtinId="9" hidden="1"/>
    <cellStyle name="Followed Hyperlink" xfId="362" builtinId="9" hidden="1"/>
    <cellStyle name="Followed Hyperlink" xfId="314" builtinId="9" hidden="1"/>
    <cellStyle name="Followed Hyperlink" xfId="482" builtinId="9" hidden="1"/>
    <cellStyle name="Followed Hyperlink" xfId="546" builtinId="9" hidden="1"/>
    <cellStyle name="Followed Hyperlink" xfId="610" builtinId="9" hidden="1"/>
    <cellStyle name="Followed Hyperlink" xfId="674" builtinId="9" hidden="1"/>
    <cellStyle name="Followed Hyperlink" xfId="738" builtinId="9" hidden="1"/>
    <cellStyle name="Followed Hyperlink" xfId="802" builtinId="9" hidden="1"/>
    <cellStyle name="Followed Hyperlink" xfId="866" builtinId="9" hidden="1"/>
    <cellStyle name="Followed Hyperlink" xfId="930" builtinId="9" hidden="1"/>
    <cellStyle name="Followed Hyperlink" xfId="994" builtinId="9" hidden="1"/>
    <cellStyle name="Followed Hyperlink" xfId="1058" builtinId="9" hidden="1"/>
    <cellStyle name="Followed Hyperlink" xfId="1122" builtinId="9" hidden="1"/>
    <cellStyle name="Followed Hyperlink" xfId="1186" builtinId="9" hidden="1"/>
    <cellStyle name="Followed Hyperlink" xfId="1250" builtinId="9" hidden="1"/>
    <cellStyle name="Followed Hyperlink" xfId="1314" builtinId="9" hidden="1"/>
    <cellStyle name="Followed Hyperlink" xfId="1378" builtinId="9" hidden="1"/>
    <cellStyle name="Followed Hyperlink" xfId="1442" builtinId="9" hidden="1"/>
    <cellStyle name="Followed Hyperlink" xfId="1506" builtinId="9" hidden="1"/>
    <cellStyle name="Followed Hyperlink" xfId="1444" builtinId="9" hidden="1"/>
    <cellStyle name="Followed Hyperlink" xfId="1380" builtinId="9" hidden="1"/>
    <cellStyle name="Followed Hyperlink" xfId="1316" builtinId="9" hidden="1"/>
    <cellStyle name="Followed Hyperlink" xfId="1252" builtinId="9" hidden="1"/>
    <cellStyle name="Followed Hyperlink" xfId="1188" builtinId="9" hidden="1"/>
    <cellStyle name="Followed Hyperlink" xfId="1124" builtinId="9" hidden="1"/>
    <cellStyle name="Followed Hyperlink" xfId="1060" builtinId="9" hidden="1"/>
    <cellStyle name="Followed Hyperlink" xfId="996" builtinId="9" hidden="1"/>
    <cellStyle name="Followed Hyperlink" xfId="932" builtinId="9" hidden="1"/>
    <cellStyle name="Followed Hyperlink" xfId="868" builtinId="9" hidden="1"/>
    <cellStyle name="Followed Hyperlink" xfId="804" builtinId="9" hidden="1"/>
    <cellStyle name="Followed Hyperlink" xfId="740" builtinId="9" hidden="1"/>
    <cellStyle name="Followed Hyperlink" xfId="676" builtinId="9" hidden="1"/>
    <cellStyle name="Followed Hyperlink" xfId="612" builtinId="9" hidden="1"/>
    <cellStyle name="Followed Hyperlink" xfId="548" builtinId="9" hidden="1"/>
    <cellStyle name="Followed Hyperlink" xfId="484" builtinId="9" hidden="1"/>
    <cellStyle name="Followed Hyperlink" xfId="420" builtinId="9" hidden="1"/>
    <cellStyle name="Followed Hyperlink" xfId="356" builtinId="9" hidden="1"/>
    <cellStyle name="Followed Hyperlink" xfId="292" builtinId="9" hidden="1"/>
    <cellStyle name="Followed Hyperlink" xfId="228" builtinId="9" hidden="1"/>
    <cellStyle name="Followed Hyperlink" xfId="164" builtinId="9" hidden="1"/>
    <cellStyle name="Followed Hyperlink" xfId="100" builtinId="9" hidden="1"/>
    <cellStyle name="Followed Hyperlink" xfId="58" builtinId="9" hidden="1"/>
    <cellStyle name="Followed Hyperlink" xfId="24" builtinId="9" hidden="1"/>
    <cellStyle name="Followed Hyperlink" xfId="1526" builtinId="9" hidden="1"/>
    <cellStyle name="Followed Hyperlink" xfId="26" builtinId="9" hidden="1"/>
    <cellStyle name="Followed Hyperlink" xfId="60" builtinId="9" hidden="1"/>
    <cellStyle name="Followed Hyperlink" xfId="96" builtinId="9" hidden="1"/>
    <cellStyle name="Followed Hyperlink" xfId="160" builtinId="9" hidden="1"/>
    <cellStyle name="Followed Hyperlink" xfId="224" builtinId="9" hidden="1"/>
    <cellStyle name="Followed Hyperlink" xfId="288" builtinId="9" hidden="1"/>
    <cellStyle name="Followed Hyperlink" xfId="352" builtinId="9" hidden="1"/>
    <cellStyle name="Followed Hyperlink" xfId="416" builtinId="9" hidden="1"/>
    <cellStyle name="Followed Hyperlink" xfId="480" builtinId="9" hidden="1"/>
    <cellStyle name="Followed Hyperlink" xfId="544" builtinId="9" hidden="1"/>
    <cellStyle name="Followed Hyperlink" xfId="608" builtinId="9" hidden="1"/>
    <cellStyle name="Followed Hyperlink" xfId="672" builtinId="9" hidden="1"/>
    <cellStyle name="Followed Hyperlink" xfId="736" builtinId="9" hidden="1"/>
    <cellStyle name="Followed Hyperlink" xfId="800" builtinId="9" hidden="1"/>
    <cellStyle name="Followed Hyperlink" xfId="864" builtinId="9" hidden="1"/>
    <cellStyle name="Followed Hyperlink" xfId="928" builtinId="9" hidden="1"/>
    <cellStyle name="Followed Hyperlink" xfId="992" builtinId="9" hidden="1"/>
    <cellStyle name="Followed Hyperlink" xfId="1056" builtinId="9" hidden="1"/>
    <cellStyle name="Followed Hyperlink" xfId="1120" builtinId="9" hidden="1"/>
    <cellStyle name="Followed Hyperlink" xfId="1184" builtinId="9" hidden="1"/>
    <cellStyle name="Followed Hyperlink" xfId="1248" builtinId="9" hidden="1"/>
    <cellStyle name="Followed Hyperlink" xfId="1312" builtinId="9" hidden="1"/>
    <cellStyle name="Followed Hyperlink" xfId="1376" builtinId="9" hidden="1"/>
    <cellStyle name="Followed Hyperlink" xfId="1440" builtinId="9" hidden="1"/>
    <cellStyle name="Followed Hyperlink" xfId="1504" builtinId="9" hidden="1"/>
    <cellStyle name="Followed Hyperlink" xfId="1446" builtinId="9" hidden="1"/>
    <cellStyle name="Followed Hyperlink" xfId="1382" builtinId="9" hidden="1"/>
    <cellStyle name="Followed Hyperlink" xfId="1318" builtinId="9" hidden="1"/>
    <cellStyle name="Followed Hyperlink" xfId="1254" builtinId="9" hidden="1"/>
    <cellStyle name="Followed Hyperlink" xfId="1190" builtinId="9" hidden="1"/>
    <cellStyle name="Followed Hyperlink" xfId="1126" builtinId="9" hidden="1"/>
    <cellStyle name="Followed Hyperlink" xfId="1062" builtinId="9" hidden="1"/>
    <cellStyle name="Followed Hyperlink" xfId="998" builtinId="9" hidden="1"/>
    <cellStyle name="Followed Hyperlink" xfId="934" builtinId="9" hidden="1"/>
    <cellStyle name="Followed Hyperlink" xfId="870" builtinId="9" hidden="1"/>
    <cellStyle name="Followed Hyperlink" xfId="806" builtinId="9" hidden="1"/>
    <cellStyle name="Followed Hyperlink" xfId="742" builtinId="9" hidden="1"/>
    <cellStyle name="Followed Hyperlink" xfId="678" builtinId="9" hidden="1"/>
    <cellStyle name="Followed Hyperlink" xfId="614" builtinId="9" hidden="1"/>
    <cellStyle name="Followed Hyperlink" xfId="550" builtinId="9" hidden="1"/>
    <cellStyle name="Followed Hyperlink" xfId="486" builtinId="9" hidden="1"/>
    <cellStyle name="Followed Hyperlink" xfId="422" builtinId="9" hidden="1"/>
    <cellStyle name="Followed Hyperlink" xfId="358" builtinId="9" hidden="1"/>
    <cellStyle name="Followed Hyperlink" xfId="294" builtinId="9" hidden="1"/>
    <cellStyle name="Followed Hyperlink" xfId="230" builtinId="9" hidden="1"/>
    <cellStyle name="Followed Hyperlink" xfId="142" builtinId="9" hidden="1"/>
    <cellStyle name="Followed Hyperlink" xfId="186" builtinId="9" hidden="1"/>
    <cellStyle name="Followed Hyperlink" xfId="134" builtinId="9" hidden="1"/>
    <cellStyle name="Followed Hyperlink" xfId="86" builtinId="9" hidden="1"/>
    <cellStyle name="Followed Hyperlink" xfId="1536" builtinId="9" hidden="1"/>
    <cellStyle name="Followed Hyperlink" xfId="1552" builtinId="9" hidden="1"/>
    <cellStyle name="Followed Hyperlink" xfId="1566" builtinId="9" hidden="1"/>
    <cellStyle name="Followed Hyperlink" xfId="1550" builtinId="9" hidden="1"/>
    <cellStyle name="Followed Hyperlink" xfId="1534" builtinId="9" hidden="1"/>
    <cellStyle name="Followed Hyperlink" xfId="102" builtinId="9" hidden="1"/>
    <cellStyle name="Followed Hyperlink" xfId="150" builtinId="9" hidden="1"/>
    <cellStyle name="Followed Hyperlink" xfId="178" builtinId="9" hidden="1"/>
    <cellStyle name="Followed Hyperlink" xfId="138" builtinId="9" hidden="1"/>
    <cellStyle name="Followed Hyperlink" xfId="238" builtinId="9" hidden="1"/>
    <cellStyle name="Followed Hyperlink" xfId="302" builtinId="9" hidden="1"/>
    <cellStyle name="Followed Hyperlink" xfId="366" builtinId="9" hidden="1"/>
    <cellStyle name="Followed Hyperlink" xfId="430" builtinId="9" hidden="1"/>
    <cellStyle name="Followed Hyperlink" xfId="494" builtinId="9" hidden="1"/>
    <cellStyle name="Followed Hyperlink" xfId="558" builtinId="9" hidden="1"/>
    <cellStyle name="Followed Hyperlink" xfId="622" builtinId="9" hidden="1"/>
    <cellStyle name="Followed Hyperlink" xfId="686" builtinId="9" hidden="1"/>
    <cellStyle name="Followed Hyperlink" xfId="750" builtinId="9" hidden="1"/>
    <cellStyle name="Followed Hyperlink" xfId="814" builtinId="9" hidden="1"/>
    <cellStyle name="Followed Hyperlink" xfId="878" builtinId="9" hidden="1"/>
    <cellStyle name="Followed Hyperlink" xfId="942" builtinId="9" hidden="1"/>
    <cellStyle name="Followed Hyperlink" xfId="1006" builtinId="9" hidden="1"/>
    <cellStyle name="Followed Hyperlink" xfId="1070" builtinId="9" hidden="1"/>
    <cellStyle name="Followed Hyperlink" xfId="1134" builtinId="9" hidden="1"/>
    <cellStyle name="Followed Hyperlink" xfId="1198" builtinId="9" hidden="1"/>
    <cellStyle name="Followed Hyperlink" xfId="1262" builtinId="9" hidden="1"/>
    <cellStyle name="Followed Hyperlink" xfId="1326" builtinId="9" hidden="1"/>
    <cellStyle name="Followed Hyperlink" xfId="1390" builtinId="9" hidden="1"/>
    <cellStyle name="Followed Hyperlink" xfId="1454" builtinId="9" hidden="1"/>
    <cellStyle name="Followed Hyperlink" xfId="1496" builtinId="9" hidden="1"/>
    <cellStyle name="Followed Hyperlink" xfId="1432" builtinId="9" hidden="1"/>
    <cellStyle name="Followed Hyperlink" xfId="1368" builtinId="9" hidden="1"/>
    <cellStyle name="Followed Hyperlink" xfId="1304" builtinId="9" hidden="1"/>
    <cellStyle name="Followed Hyperlink" xfId="1240" builtinId="9" hidden="1"/>
    <cellStyle name="Followed Hyperlink" xfId="1176" builtinId="9" hidden="1"/>
    <cellStyle name="Followed Hyperlink" xfId="1112" builtinId="9" hidden="1"/>
    <cellStyle name="Followed Hyperlink" xfId="1048" builtinId="9" hidden="1"/>
    <cellStyle name="Followed Hyperlink" xfId="984" builtinId="9" hidden="1"/>
    <cellStyle name="Followed Hyperlink" xfId="920" builtinId="9" hidden="1"/>
    <cellStyle name="Followed Hyperlink" xfId="856" builtinId="9" hidden="1"/>
    <cellStyle name="Followed Hyperlink" xfId="792" builtinId="9" hidden="1"/>
    <cellStyle name="Followed Hyperlink" xfId="728" builtinId="9" hidden="1"/>
    <cellStyle name="Followed Hyperlink" xfId="664" builtinId="9" hidden="1"/>
    <cellStyle name="Followed Hyperlink" xfId="600" builtinId="9" hidden="1"/>
    <cellStyle name="Followed Hyperlink" xfId="536" builtinId="9" hidden="1"/>
    <cellStyle name="Followed Hyperlink" xfId="472" builtinId="9" hidden="1"/>
    <cellStyle name="Followed Hyperlink" xfId="408" builtinId="9" hidden="1"/>
    <cellStyle name="Followed Hyperlink" xfId="344" builtinId="9" hidden="1"/>
    <cellStyle name="Followed Hyperlink" xfId="280" builtinId="9" hidden="1"/>
    <cellStyle name="Followed Hyperlink" xfId="216" builtinId="9" hidden="1"/>
    <cellStyle name="Followed Hyperlink" xfId="152" builtinId="9" hidden="1"/>
    <cellStyle name="Followed Hyperlink" xfId="88" builtinId="9" hidden="1"/>
    <cellStyle name="Followed Hyperlink" xfId="66" builtinId="9" hidden="1"/>
    <cellStyle name="Followed Hyperlink" xfId="12" builtinId="9" hidden="1"/>
    <cellStyle name="Followed Hyperlink" xfId="1522" builtinId="9" hidden="1"/>
    <cellStyle name="Followed Hyperlink" xfId="18" builtinId="9" hidden="1"/>
    <cellStyle name="Followed Hyperlink" xfId="52" builtinId="9" hidden="1"/>
    <cellStyle name="Followed Hyperlink" xfId="108" builtinId="9" hidden="1"/>
    <cellStyle name="Followed Hyperlink" xfId="172" builtinId="9" hidden="1"/>
    <cellStyle name="Followed Hyperlink" xfId="236" builtinId="9" hidden="1"/>
    <cellStyle name="Followed Hyperlink" xfId="300" builtinId="9" hidden="1"/>
    <cellStyle name="Followed Hyperlink" xfId="364" builtinId="9" hidden="1"/>
    <cellStyle name="Followed Hyperlink" xfId="428" builtinId="9" hidden="1"/>
    <cellStyle name="Followed Hyperlink" xfId="492" builtinId="9" hidden="1"/>
    <cellStyle name="Followed Hyperlink" xfId="556" builtinId="9" hidden="1"/>
    <cellStyle name="Followed Hyperlink" xfId="620" builtinId="9" hidden="1"/>
    <cellStyle name="Followed Hyperlink" xfId="684" builtinId="9" hidden="1"/>
    <cellStyle name="Followed Hyperlink" xfId="748" builtinId="9" hidden="1"/>
    <cellStyle name="Followed Hyperlink" xfId="812" builtinId="9" hidden="1"/>
    <cellStyle name="Followed Hyperlink" xfId="876" builtinId="9" hidden="1"/>
    <cellStyle name="Followed Hyperlink" xfId="940" builtinId="9" hidden="1"/>
    <cellStyle name="Followed Hyperlink" xfId="1004" builtinId="9" hidden="1"/>
    <cellStyle name="Followed Hyperlink" xfId="1068" builtinId="9" hidden="1"/>
    <cellStyle name="Followed Hyperlink" xfId="1132" builtinId="9" hidden="1"/>
    <cellStyle name="Followed Hyperlink" xfId="1196" builtinId="9" hidden="1"/>
    <cellStyle name="Followed Hyperlink" xfId="1260" builtinId="9" hidden="1"/>
    <cellStyle name="Followed Hyperlink" xfId="1324" builtinId="9" hidden="1"/>
    <cellStyle name="Followed Hyperlink" xfId="1388" builtinId="9" hidden="1"/>
    <cellStyle name="Followed Hyperlink" xfId="1452" builtinId="9" hidden="1"/>
    <cellStyle name="Followed Hyperlink" xfId="1498" builtinId="9" hidden="1"/>
    <cellStyle name="Followed Hyperlink" xfId="1434" builtinId="9" hidden="1"/>
    <cellStyle name="Followed Hyperlink" xfId="1370" builtinId="9" hidden="1"/>
    <cellStyle name="Followed Hyperlink" xfId="1306" builtinId="9" hidden="1"/>
    <cellStyle name="Followed Hyperlink" xfId="1242" builtinId="9" hidden="1"/>
    <cellStyle name="Followed Hyperlink" xfId="1178" builtinId="9" hidden="1"/>
    <cellStyle name="Followed Hyperlink" xfId="1114" builtinId="9" hidden="1"/>
    <cellStyle name="Followed Hyperlink" xfId="1050" builtinId="9" hidden="1"/>
    <cellStyle name="Followed Hyperlink" xfId="986" builtinId="9" hidden="1"/>
    <cellStyle name="Followed Hyperlink" xfId="666" builtinId="9" hidden="1"/>
    <cellStyle name="Followed Hyperlink" xfId="714" builtinId="9" hidden="1"/>
    <cellStyle name="Followed Hyperlink" xfId="746" builtinId="9" hidden="1"/>
    <cellStyle name="Followed Hyperlink" xfId="794" builtinId="9" hidden="1"/>
    <cellStyle name="Followed Hyperlink" xfId="842" builtinId="9" hidden="1"/>
    <cellStyle name="Followed Hyperlink" xfId="874" builtinId="9" hidden="1"/>
    <cellStyle name="Followed Hyperlink" xfId="922" builtinId="9" hidden="1"/>
    <cellStyle name="Followed Hyperlink" xfId="970" builtinId="9" hidden="1"/>
    <cellStyle name="Followed Hyperlink" xfId="890" builtinId="9" hidden="1"/>
    <cellStyle name="Followed Hyperlink" xfId="762" builtinId="9" hidden="1"/>
    <cellStyle name="Followed Hyperlink" xfId="634" builtinId="9" hidden="1"/>
    <cellStyle name="Followed Hyperlink" xfId="554" builtinId="9" hidden="1"/>
    <cellStyle name="Followed Hyperlink" xfId="602" builtinId="9" hidden="1"/>
    <cellStyle name="Followed Hyperlink" xfId="570" builtinId="9" hidden="1"/>
    <cellStyle name="Followed Hyperlink" xfId="522" builtinId="9" hidden="1"/>
    <cellStyle name="Followed Hyperlink" xfId="474" builtinId="9" hidden="1"/>
    <cellStyle name="Followed Hyperlink" xfId="490" builtinId="9" hidden="1"/>
    <cellStyle name="Followed Hyperlink" xfId="506" builtinId="9" hidden="1"/>
    <cellStyle name="Followed Hyperlink" xfId="618" builtinId="9" hidden="1"/>
    <cellStyle name="Followed Hyperlink" xfId="586" builtinId="9" hidden="1"/>
    <cellStyle name="Followed Hyperlink" xfId="538" builtinId="9" hidden="1"/>
    <cellStyle name="Followed Hyperlink" xfId="698" builtinId="9" hidden="1"/>
    <cellStyle name="Followed Hyperlink" xfId="826" builtinId="9" hidden="1"/>
    <cellStyle name="Followed Hyperlink" xfId="954" builtinId="9" hidden="1"/>
    <cellStyle name="Followed Hyperlink" xfId="938" builtinId="9" hidden="1"/>
    <cellStyle name="Followed Hyperlink" xfId="906" builtinId="9" hidden="1"/>
    <cellStyle name="Followed Hyperlink" xfId="858" builtinId="9" hidden="1"/>
    <cellStyle name="Followed Hyperlink" xfId="810" builtinId="9" hidden="1"/>
    <cellStyle name="Followed Hyperlink" xfId="778" builtinId="9" hidden="1"/>
    <cellStyle name="Followed Hyperlink" xfId="730" builtinId="9" hidden="1"/>
    <cellStyle name="Followed Hyperlink" xfId="682" builtinId="9" hidden="1"/>
    <cellStyle name="Followed Hyperlink" xfId="650" builtinId="9" hidden="1"/>
    <cellStyle name="Followed Hyperlink" xfId="1018" builtinId="9" hidden="1"/>
    <cellStyle name="Followed Hyperlink" xfId="1082" builtinId="9" hidden="1"/>
    <cellStyle name="Followed Hyperlink" xfId="1146" builtinId="9" hidden="1"/>
    <cellStyle name="Followed Hyperlink" xfId="1210" builtinId="9" hidden="1"/>
    <cellStyle name="Followed Hyperlink" xfId="1274" builtinId="9" hidden="1"/>
    <cellStyle name="Followed Hyperlink" xfId="1338" builtinId="9" hidden="1"/>
    <cellStyle name="Followed Hyperlink" xfId="1402" builtinId="9" hidden="1"/>
    <cellStyle name="Followed Hyperlink" xfId="1466" builtinId="9" hidden="1"/>
    <cellStyle name="Followed Hyperlink" xfId="1484" builtinId="9" hidden="1"/>
    <cellStyle name="Followed Hyperlink" xfId="1420" builtinId="9" hidden="1"/>
    <cellStyle name="Followed Hyperlink" xfId="1356" builtinId="9" hidden="1"/>
    <cellStyle name="Followed Hyperlink" xfId="1292" builtinId="9" hidden="1"/>
    <cellStyle name="Followed Hyperlink" xfId="1228" builtinId="9" hidden="1"/>
    <cellStyle name="Followed Hyperlink" xfId="1164" builtinId="9" hidden="1"/>
    <cellStyle name="Followed Hyperlink" xfId="1100" builtinId="9" hidden="1"/>
    <cellStyle name="Followed Hyperlink" xfId="1036" builtinId="9" hidden="1"/>
    <cellStyle name="Followed Hyperlink" xfId="972" builtinId="9" hidden="1"/>
    <cellStyle name="Followed Hyperlink" xfId="908" builtinId="9" hidden="1"/>
    <cellStyle name="Followed Hyperlink" xfId="844" builtinId="9" hidden="1"/>
    <cellStyle name="Followed Hyperlink" xfId="780" builtinId="9" hidden="1"/>
    <cellStyle name="Followed Hyperlink" xfId="716" builtinId="9" hidden="1"/>
    <cellStyle name="Followed Hyperlink" xfId="652" builtinId="9" hidden="1"/>
    <cellStyle name="Followed Hyperlink" xfId="588" builtinId="9" hidden="1"/>
    <cellStyle name="Followed Hyperlink" xfId="524" builtinId="9" hidden="1"/>
    <cellStyle name="Followed Hyperlink" xfId="460" builtinId="9" hidden="1"/>
    <cellStyle name="Followed Hyperlink" xfId="396" builtinId="9" hidden="1"/>
    <cellStyle name="Followed Hyperlink" xfId="332" builtinId="9" hidden="1"/>
    <cellStyle name="Followed Hyperlink" xfId="268" builtinId="9" hidden="1"/>
    <cellStyle name="Followed Hyperlink" xfId="204" builtinId="9" hidden="1"/>
    <cellStyle name="Followed Hyperlink" xfId="140" builtinId="9" hidden="1"/>
    <cellStyle name="Followed Hyperlink" xfId="76" builtinId="9" hidden="1"/>
    <cellStyle name="Followed Hyperlink" xfId="74" builtinId="9" hidden="1"/>
    <cellStyle name="Followed Hyperlink" xfId="8" builtinId="9" hidden="1"/>
    <cellStyle name="Followed Hyperlink" xfId="1516" builtinId="9" hidden="1"/>
    <cellStyle name="Followed Hyperlink" xfId="40" builtinId="9" hidden="1"/>
    <cellStyle name="Followed Hyperlink" xfId="44" builtinId="9" hidden="1"/>
    <cellStyle name="Followed Hyperlink" xfId="120" builtinId="9" hidden="1"/>
    <cellStyle name="Followed Hyperlink" xfId="184" builtinId="9" hidden="1"/>
    <cellStyle name="Followed Hyperlink" xfId="248" builtinId="9" hidden="1"/>
    <cellStyle name="Followed Hyperlink" xfId="312" builtinId="9" hidden="1"/>
    <cellStyle name="Followed Hyperlink" xfId="376" builtinId="9" hidden="1"/>
    <cellStyle name="Followed Hyperlink" xfId="440" builtinId="9" hidden="1"/>
    <cellStyle name="Followed Hyperlink" xfId="504" builtinId="9" hidden="1"/>
    <cellStyle name="Followed Hyperlink" xfId="568" builtinId="9" hidden="1"/>
    <cellStyle name="Followed Hyperlink" xfId="632" builtinId="9" hidden="1"/>
    <cellStyle name="Followed Hyperlink" xfId="696" builtinId="9" hidden="1"/>
    <cellStyle name="Followed Hyperlink" xfId="760" builtinId="9" hidden="1"/>
    <cellStyle name="Followed Hyperlink" xfId="824" builtinId="9" hidden="1"/>
    <cellStyle name="Followed Hyperlink" xfId="888" builtinId="9" hidden="1"/>
    <cellStyle name="Followed Hyperlink" xfId="952" builtinId="9" hidden="1"/>
    <cellStyle name="Followed Hyperlink" xfId="1016" builtinId="9" hidden="1"/>
    <cellStyle name="Followed Hyperlink" xfId="1080" builtinId="9" hidden="1"/>
    <cellStyle name="Followed Hyperlink" xfId="1144" builtinId="9" hidden="1"/>
    <cellStyle name="Followed Hyperlink" xfId="1208" builtinId="9" hidden="1"/>
    <cellStyle name="Followed Hyperlink" xfId="1272" builtinId="9" hidden="1"/>
    <cellStyle name="Followed Hyperlink" xfId="1336" builtinId="9" hidden="1"/>
    <cellStyle name="Followed Hyperlink" xfId="1400" builtinId="9" hidden="1"/>
    <cellStyle name="Followed Hyperlink" xfId="1464" builtinId="9" hidden="1"/>
    <cellStyle name="Followed Hyperlink" xfId="1486" builtinId="9" hidden="1"/>
    <cellStyle name="Followed Hyperlink" xfId="1422" builtinId="9" hidden="1"/>
    <cellStyle name="Followed Hyperlink" xfId="1358" builtinId="9" hidden="1"/>
    <cellStyle name="Followed Hyperlink" xfId="1294" builtinId="9" hidden="1"/>
    <cellStyle name="Followed Hyperlink" xfId="1230" builtinId="9" hidden="1"/>
    <cellStyle name="Followed Hyperlink" xfId="1166" builtinId="9" hidden="1"/>
    <cellStyle name="Followed Hyperlink" xfId="1102" builtinId="9" hidden="1"/>
    <cellStyle name="Followed Hyperlink" xfId="1038" builtinId="9" hidden="1"/>
    <cellStyle name="Followed Hyperlink" xfId="974" builtinId="9" hidden="1"/>
    <cellStyle name="Followed Hyperlink" xfId="910" builtinId="9" hidden="1"/>
    <cellStyle name="Followed Hyperlink" xfId="846" builtinId="9" hidden="1"/>
    <cellStyle name="Followed Hyperlink" xfId="782" builtinId="9" hidden="1"/>
    <cellStyle name="Followed Hyperlink" xfId="718" builtinId="9" hidden="1"/>
    <cellStyle name="Followed Hyperlink" xfId="654" builtinId="9" hidden="1"/>
    <cellStyle name="Followed Hyperlink" xfId="590" builtinId="9" hidden="1"/>
    <cellStyle name="Followed Hyperlink" xfId="526" builtinId="9" hidden="1"/>
    <cellStyle name="Followed Hyperlink" xfId="462" builtinId="9" hidden="1"/>
    <cellStyle name="Followed Hyperlink" xfId="398" builtinId="9" hidden="1"/>
    <cellStyle name="Followed Hyperlink" xfId="334" builtinId="9" hidden="1"/>
    <cellStyle name="Followed Hyperlink" xfId="270" builtinId="9" hidden="1"/>
    <cellStyle name="Followed Hyperlink" xfId="206" builtinId="9" hidden="1"/>
    <cellStyle name="Followed Hyperlink" xfId="158" builtinId="9" hidden="1"/>
    <cellStyle name="Followed Hyperlink" xfId="202" builtinId="9" hidden="1"/>
    <cellStyle name="Followed Hyperlink" xfId="98" builtinId="9" hidden="1"/>
    <cellStyle name="Followed Hyperlink" xfId="78" builtinId="9" hidden="1"/>
    <cellStyle name="Followed Hyperlink" xfId="1542" builtinId="9" hidden="1"/>
    <cellStyle name="Followed Hyperlink" xfId="1558" builtinId="9" hidden="1"/>
    <cellStyle name="Followed Hyperlink" xfId="1560" builtinId="9" hidden="1"/>
    <cellStyle name="Followed Hyperlink" xfId="1544" builtinId="9" hidden="1"/>
    <cellStyle name="Followed Hyperlink" xfId="1528" builtinId="9" hidden="1"/>
    <cellStyle name="Followed Hyperlink" xfId="106" builtinId="9" hidden="1"/>
    <cellStyle name="Followed Hyperlink" xfId="198" builtinId="9" hidden="1"/>
    <cellStyle name="Followed Hyperlink" xfId="162" builtinId="9" hidden="1"/>
    <cellStyle name="Followed Hyperlink" xfId="122" builtinId="9" hidden="1"/>
    <cellStyle name="Followed Hyperlink" xfId="262" builtinId="9" hidden="1"/>
    <cellStyle name="Followed Hyperlink" xfId="326" builtinId="9" hidden="1"/>
    <cellStyle name="Followed Hyperlink" xfId="390" builtinId="9" hidden="1"/>
    <cellStyle name="Followed Hyperlink" xfId="454" builtinId="9" hidden="1"/>
    <cellStyle name="Followed Hyperlink" xfId="518" builtinId="9" hidden="1"/>
    <cellStyle name="Followed Hyperlink" xfId="582" builtinId="9" hidden="1"/>
    <cellStyle name="Followed Hyperlink" xfId="646" builtinId="9" hidden="1"/>
    <cellStyle name="Followed Hyperlink" xfId="710" builtinId="9" hidden="1"/>
    <cellStyle name="Followed Hyperlink" xfId="774" builtinId="9" hidden="1"/>
    <cellStyle name="Followed Hyperlink" xfId="838" builtinId="9" hidden="1"/>
    <cellStyle name="Followed Hyperlink" xfId="902" builtinId="9" hidden="1"/>
    <cellStyle name="Followed Hyperlink" xfId="966" builtinId="9" hidden="1"/>
    <cellStyle name="Followed Hyperlink" xfId="1030" builtinId="9" hidden="1"/>
    <cellStyle name="Followed Hyperlink" xfId="1094" builtinId="9" hidden="1"/>
    <cellStyle name="Followed Hyperlink" xfId="1158" builtinId="9" hidden="1"/>
    <cellStyle name="Followed Hyperlink" xfId="1222" builtinId="9" hidden="1"/>
    <cellStyle name="Followed Hyperlink" xfId="1286" builtinId="9" hidden="1"/>
    <cellStyle name="Followed Hyperlink" xfId="1350" builtinId="9" hidden="1"/>
    <cellStyle name="Followed Hyperlink" xfId="1414" builtinId="9" hidden="1"/>
    <cellStyle name="Followed Hyperlink" xfId="1478" builtinId="9" hidden="1"/>
    <cellStyle name="Followed Hyperlink" xfId="1472" builtinId="9" hidden="1"/>
    <cellStyle name="Followed Hyperlink" xfId="1408" builtinId="9" hidden="1"/>
    <cellStyle name="Followed Hyperlink" xfId="1344" builtinId="9" hidden="1"/>
    <cellStyle name="Followed Hyperlink" xfId="1280" builtinId="9" hidden="1"/>
    <cellStyle name="Followed Hyperlink" xfId="1216" builtinId="9" hidden="1"/>
    <cellStyle name="Followed Hyperlink" xfId="1152" builtinId="9" hidden="1"/>
    <cellStyle name="Followed Hyperlink" xfId="1088" builtinId="9" hidden="1"/>
    <cellStyle name="Followed Hyperlink" xfId="1024" builtinId="9" hidden="1"/>
    <cellStyle name="Followed Hyperlink" xfId="960" builtinId="9" hidden="1"/>
    <cellStyle name="Followed Hyperlink" xfId="896" builtinId="9" hidden="1"/>
    <cellStyle name="Followed Hyperlink" xfId="832" builtinId="9" hidden="1"/>
    <cellStyle name="Followed Hyperlink" xfId="768" builtinId="9" hidden="1"/>
    <cellStyle name="Followed Hyperlink" xfId="704" builtinId="9" hidden="1"/>
    <cellStyle name="Followed Hyperlink" xfId="640" builtinId="9" hidden="1"/>
    <cellStyle name="Followed Hyperlink" xfId="576" builtinId="9" hidden="1"/>
    <cellStyle name="Followed Hyperlink" xfId="512" builtinId="9" hidden="1"/>
    <cellStyle name="Followed Hyperlink" xfId="448" builtinId="9" hidden="1"/>
    <cellStyle name="Followed Hyperlink" xfId="384" builtinId="9" hidden="1"/>
    <cellStyle name="Followed Hyperlink" xfId="320" builtinId="9" hidden="1"/>
    <cellStyle name="Followed Hyperlink" xfId="256" builtinId="9" hidden="1"/>
    <cellStyle name="Followed Hyperlink" xfId="192" builtinId="9" hidden="1"/>
    <cellStyle name="Followed Hyperlink" xfId="128" builtinId="9" hidden="1"/>
    <cellStyle name="Followed Hyperlink" xfId="38" builtinId="9" hidden="1"/>
    <cellStyle name="Followed Hyperlink" xfId="56" builtinId="9" hidden="1"/>
    <cellStyle name="Followed Hyperlink" xfId="1512" builtinId="9" hidden="1"/>
    <cellStyle name="Followed Hyperlink" xfId="1510" builtinId="9" hidden="1"/>
    <cellStyle name="Followed Hyperlink" xfId="64" builtinId="9" hidden="1"/>
    <cellStyle name="Followed Hyperlink" xfId="36" builtinId="9" hidden="1"/>
    <cellStyle name="Followed Hyperlink" xfId="132" builtinId="9" hidden="1"/>
    <cellStyle name="Followed Hyperlink" xfId="196" builtinId="9" hidden="1"/>
    <cellStyle name="Followed Hyperlink" xfId="260" builtinId="9" hidden="1"/>
    <cellStyle name="Followed Hyperlink" xfId="324" builtinId="9" hidden="1"/>
    <cellStyle name="Followed Hyperlink" xfId="388" builtinId="9" hidden="1"/>
    <cellStyle name="Followed Hyperlink" xfId="452" builtinId="9" hidden="1"/>
    <cellStyle name="Followed Hyperlink" xfId="516" builtinId="9" hidden="1"/>
    <cellStyle name="Followed Hyperlink" xfId="580" builtinId="9" hidden="1"/>
    <cellStyle name="Followed Hyperlink" xfId="644" builtinId="9" hidden="1"/>
    <cellStyle name="Followed Hyperlink" xfId="708" builtinId="9" hidden="1"/>
    <cellStyle name="Followed Hyperlink" xfId="772" builtinId="9" hidden="1"/>
    <cellStyle name="Followed Hyperlink" xfId="836" builtinId="9" hidden="1"/>
    <cellStyle name="Followed Hyperlink" xfId="900" builtinId="9" hidden="1"/>
    <cellStyle name="Followed Hyperlink" xfId="964" builtinId="9" hidden="1"/>
    <cellStyle name="Followed Hyperlink" xfId="1028" builtinId="9" hidden="1"/>
    <cellStyle name="Followed Hyperlink" xfId="1092" builtinId="9" hidden="1"/>
    <cellStyle name="Followed Hyperlink" xfId="1156" builtinId="9" hidden="1"/>
    <cellStyle name="Followed Hyperlink" xfId="1220" builtinId="9" hidden="1"/>
    <cellStyle name="Followed Hyperlink" xfId="1284" builtinId="9" hidden="1"/>
    <cellStyle name="Followed Hyperlink" xfId="1348" builtinId="9" hidden="1"/>
    <cellStyle name="Followed Hyperlink" xfId="1412" builtinId="9" hidden="1"/>
    <cellStyle name="Followed Hyperlink" xfId="1476" builtinId="9" hidden="1"/>
    <cellStyle name="Followed Hyperlink" xfId="1474" builtinId="9" hidden="1"/>
    <cellStyle name="Followed Hyperlink" xfId="1410" builtinId="9" hidden="1"/>
    <cellStyle name="Followed Hyperlink" xfId="1346" builtinId="9" hidden="1"/>
    <cellStyle name="Followed Hyperlink" xfId="1282" builtinId="9" hidden="1"/>
    <cellStyle name="Followed Hyperlink" xfId="1218" builtinId="9" hidden="1"/>
    <cellStyle name="Followed Hyperlink" xfId="1154" builtinId="9" hidden="1"/>
    <cellStyle name="Followed Hyperlink" xfId="1090" builtinId="9" hidden="1"/>
    <cellStyle name="Followed Hyperlink" xfId="1026" builtinId="9" hidden="1"/>
    <cellStyle name="Followed Hyperlink" xfId="962" builtinId="9" hidden="1"/>
    <cellStyle name="Followed Hyperlink" xfId="898" builtinId="9" hidden="1"/>
    <cellStyle name="Followed Hyperlink" xfId="834" builtinId="9" hidden="1"/>
    <cellStyle name="Followed Hyperlink" xfId="770" builtinId="9" hidden="1"/>
    <cellStyle name="Followed Hyperlink" xfId="706" builtinId="9" hidden="1"/>
    <cellStyle name="Followed Hyperlink" xfId="642" builtinId="9" hidden="1"/>
    <cellStyle name="Followed Hyperlink" xfId="578" builtinId="9" hidden="1"/>
    <cellStyle name="Followed Hyperlink" xfId="514" builtinId="9" hidden="1"/>
    <cellStyle name="Followed Hyperlink" xfId="298" builtinId="9" hidden="1"/>
    <cellStyle name="Followed Hyperlink" xfId="338" builtinId="9" hidden="1"/>
    <cellStyle name="Followed Hyperlink" xfId="378" builtinId="9" hidden="1"/>
    <cellStyle name="Followed Hyperlink" xfId="426" builtinId="9" hidden="1"/>
    <cellStyle name="Followed Hyperlink" xfId="450" builtinId="9" hidden="1"/>
    <cellStyle name="Followed Hyperlink" xfId="322" builtinId="9" hidden="1"/>
    <cellStyle name="Followed Hyperlink" xfId="266" builtinId="9" hidden="1"/>
    <cellStyle name="Followed Hyperlink" xfId="226" builtinId="9" hidden="1"/>
    <cellStyle name="Followed Hyperlink" xfId="210" builtinId="9" hidden="1"/>
    <cellStyle name="Followed Hyperlink" xfId="258" builtinId="9" hidden="1"/>
    <cellStyle name="Followed Hyperlink" xfId="250" builtinId="9" hidden="1"/>
    <cellStyle name="Followed Hyperlink" xfId="354" builtinId="9" hidden="1"/>
    <cellStyle name="Followed Hyperlink" xfId="458" builtinId="9" hidden="1"/>
    <cellStyle name="Followed Hyperlink" xfId="410" builtinId="9" hidden="1"/>
    <cellStyle name="Followed Hyperlink" xfId="370" builtinId="9" hidden="1"/>
    <cellStyle name="Followed Hyperlink" xfId="330" builtinId="9" hidden="1"/>
    <cellStyle name="Followed Hyperlink" xfId="466" builtinId="9" hidden="1"/>
    <cellStyle name="Followed Hyperlink" xfId="530" builtinId="9" hidden="1"/>
    <cellStyle name="Followed Hyperlink" xfId="594" builtinId="9" hidden="1"/>
    <cellStyle name="Followed Hyperlink" xfId="658" builtinId="9" hidden="1"/>
    <cellStyle name="Followed Hyperlink" xfId="722" builtinId="9" hidden="1"/>
    <cellStyle name="Followed Hyperlink" xfId="786" builtinId="9" hidden="1"/>
    <cellStyle name="Followed Hyperlink" xfId="850" builtinId="9" hidden="1"/>
    <cellStyle name="Followed Hyperlink" xfId="914" builtinId="9" hidden="1"/>
    <cellStyle name="Followed Hyperlink" xfId="978" builtinId="9" hidden="1"/>
    <cellStyle name="Followed Hyperlink" xfId="1042" builtinId="9" hidden="1"/>
    <cellStyle name="Followed Hyperlink" xfId="1106" builtinId="9" hidden="1"/>
    <cellStyle name="Followed Hyperlink" xfId="1170" builtinId="9" hidden="1"/>
    <cellStyle name="Followed Hyperlink" xfId="1234" builtinId="9" hidden="1"/>
    <cellStyle name="Followed Hyperlink" xfId="1298" builtinId="9" hidden="1"/>
    <cellStyle name="Followed Hyperlink" xfId="1362" builtinId="9" hidden="1"/>
    <cellStyle name="Followed Hyperlink" xfId="1426" builtinId="9" hidden="1"/>
    <cellStyle name="Followed Hyperlink" xfId="1490" builtinId="9" hidden="1"/>
    <cellStyle name="Followed Hyperlink" xfId="1460" builtinId="9" hidden="1"/>
    <cellStyle name="Followed Hyperlink" xfId="1396" builtinId="9" hidden="1"/>
    <cellStyle name="Followed Hyperlink" xfId="1332" builtinId="9" hidden="1"/>
    <cellStyle name="Followed Hyperlink" xfId="1268" builtinId="9" hidden="1"/>
    <cellStyle name="Followed Hyperlink" xfId="1204" builtinId="9" hidden="1"/>
    <cellStyle name="Followed Hyperlink" xfId="1140" builtinId="9" hidden="1"/>
    <cellStyle name="Followed Hyperlink" xfId="1076" builtinId="9" hidden="1"/>
    <cellStyle name="Followed Hyperlink" xfId="1012" builtinId="9" hidden="1"/>
    <cellStyle name="Followed Hyperlink" xfId="948" builtinId="9" hidden="1"/>
    <cellStyle name="Followed Hyperlink" xfId="884" builtinId="9" hidden="1"/>
    <cellStyle name="Followed Hyperlink" xfId="820" builtinId="9" hidden="1"/>
    <cellStyle name="Followed Hyperlink" xfId="756" builtinId="9" hidden="1"/>
    <cellStyle name="Followed Hyperlink" xfId="692" builtinId="9" hidden="1"/>
    <cellStyle name="Followed Hyperlink" xfId="628" builtinId="9" hidden="1"/>
    <cellStyle name="Followed Hyperlink" xfId="564" builtinId="9" hidden="1"/>
    <cellStyle name="Followed Hyperlink" xfId="500" builtinId="9" hidden="1"/>
    <cellStyle name="Followed Hyperlink" xfId="436" builtinId="9" hidden="1"/>
    <cellStyle name="Followed Hyperlink" xfId="372" builtinId="9" hidden="1"/>
    <cellStyle name="Followed Hyperlink" xfId="308" builtinId="9" hidden="1"/>
    <cellStyle name="Followed Hyperlink" xfId="244" builtinId="9" hidden="1"/>
    <cellStyle name="Followed Hyperlink" xfId="180" builtinId="9" hidden="1"/>
    <cellStyle name="Followed Hyperlink" xfId="116" builtinId="9" hidden="1"/>
    <cellStyle name="Followed Hyperlink" xfId="46" builtinId="9" hidden="1"/>
    <cellStyle name="Followed Hyperlink" xfId="32" builtinId="9" hidden="1"/>
    <cellStyle name="Followed Hyperlink" xfId="1518" builtinId="9" hidden="1"/>
    <cellStyle name="Followed Hyperlink" xfId="10" builtinId="9" hidden="1"/>
    <cellStyle name="Followed Hyperlink" xfId="70" builtinId="9" hidden="1"/>
    <cellStyle name="Followed Hyperlink" xfId="80" builtinId="9" hidden="1"/>
    <cellStyle name="Followed Hyperlink" xfId="144" builtinId="9" hidden="1"/>
    <cellStyle name="Followed Hyperlink" xfId="208" builtinId="9" hidden="1"/>
    <cellStyle name="Followed Hyperlink" xfId="272" builtinId="9" hidden="1"/>
    <cellStyle name="Followed Hyperlink" xfId="336" builtinId="9" hidden="1"/>
    <cellStyle name="Followed Hyperlink" xfId="400" builtinId="9" hidden="1"/>
    <cellStyle name="Followed Hyperlink" xfId="464" builtinId="9" hidden="1"/>
    <cellStyle name="Followed Hyperlink" xfId="528" builtinId="9" hidden="1"/>
    <cellStyle name="Followed Hyperlink" xfId="592" builtinId="9" hidden="1"/>
    <cellStyle name="Followed Hyperlink" xfId="656" builtinId="9" hidden="1"/>
    <cellStyle name="Followed Hyperlink" xfId="720" builtinId="9" hidden="1"/>
    <cellStyle name="Followed Hyperlink" xfId="784" builtinId="9" hidden="1"/>
    <cellStyle name="Followed Hyperlink" xfId="848" builtinId="9" hidden="1"/>
    <cellStyle name="Followed Hyperlink" xfId="912" builtinId="9" hidden="1"/>
    <cellStyle name="Followed Hyperlink" xfId="976" builtinId="9" hidden="1"/>
    <cellStyle name="Followed Hyperlink" xfId="1040" builtinId="9" hidden="1"/>
    <cellStyle name="Followed Hyperlink" xfId="1104" builtinId="9" hidden="1"/>
    <cellStyle name="Followed Hyperlink" xfId="1168" builtinId="9" hidden="1"/>
    <cellStyle name="Followed Hyperlink" xfId="1232" builtinId="9" hidden="1"/>
    <cellStyle name="Followed Hyperlink" xfId="1296" builtinId="9" hidden="1"/>
    <cellStyle name="Followed Hyperlink" xfId="1360" builtinId="9" hidden="1"/>
    <cellStyle name="Followed Hyperlink" xfId="1424" builtinId="9" hidden="1"/>
    <cellStyle name="Followed Hyperlink" xfId="1488" builtinId="9" hidden="1"/>
    <cellStyle name="Followed Hyperlink" xfId="1462" builtinId="9" hidden="1"/>
    <cellStyle name="Followed Hyperlink" xfId="1398" builtinId="9" hidden="1"/>
    <cellStyle name="Followed Hyperlink" xfId="1334" builtinId="9" hidden="1"/>
    <cellStyle name="Followed Hyperlink" xfId="1270" builtinId="9" hidden="1"/>
    <cellStyle name="Followed Hyperlink" xfId="1206" builtinId="9" hidden="1"/>
    <cellStyle name="Followed Hyperlink" xfId="1142" builtinId="9" hidden="1"/>
    <cellStyle name="Followed Hyperlink" xfId="1078" builtinId="9" hidden="1"/>
    <cellStyle name="Followed Hyperlink" xfId="1014" builtinId="9" hidden="1"/>
    <cellStyle name="Followed Hyperlink" xfId="950" builtinId="9" hidden="1"/>
    <cellStyle name="Followed Hyperlink" xfId="886" builtinId="9" hidden="1"/>
    <cellStyle name="Followed Hyperlink" xfId="822" builtinId="9" hidden="1"/>
    <cellStyle name="Followed Hyperlink" xfId="758" builtinId="9" hidden="1"/>
    <cellStyle name="Followed Hyperlink" xfId="694" builtinId="9" hidden="1"/>
    <cellStyle name="Followed Hyperlink" xfId="630" builtinId="9" hidden="1"/>
    <cellStyle name="Followed Hyperlink" xfId="566" builtinId="9" hidden="1"/>
    <cellStyle name="Followed Hyperlink" xfId="502" builtinId="9" hidden="1"/>
    <cellStyle name="Followed Hyperlink" xfId="438" builtinId="9" hidden="1"/>
    <cellStyle name="Followed Hyperlink" xfId="374" builtinId="9" hidden="1"/>
    <cellStyle name="Followed Hyperlink" xfId="310" builtinId="9" hidden="1"/>
    <cellStyle name="Followed Hyperlink" xfId="246" builtinId="9" hidden="1"/>
    <cellStyle name="Followed Hyperlink" xfId="130" builtinId="9" hidden="1"/>
    <cellStyle name="Followed Hyperlink" xfId="174" builtinId="9" hidden="1"/>
    <cellStyle name="Followed Hyperlink" xfId="166" builtinId="9" hidden="1"/>
    <cellStyle name="Followed Hyperlink" xfId="114" builtinId="9" hidden="1"/>
    <cellStyle name="Followed Hyperlink" xfId="1532" builtinId="9" hidden="1"/>
    <cellStyle name="Followed Hyperlink" xfId="1548" builtinId="9" hidden="1"/>
    <cellStyle name="Followed Hyperlink" xfId="1564" builtinId="9" hidden="1"/>
    <cellStyle name="Followed Hyperlink" xfId="1554" builtinId="9" hidden="1"/>
    <cellStyle name="Followed Hyperlink" xfId="1538" builtinId="9" hidden="1"/>
    <cellStyle name="Followed Hyperlink" xfId="90" builtinId="9" hidden="1"/>
    <cellStyle name="Followed Hyperlink" xfId="118" builtinId="9" hidden="1"/>
    <cellStyle name="Followed Hyperlink" xfId="190" builtinId="9" hidden="1"/>
    <cellStyle name="Followed Hyperlink" xfId="146" builtinId="9" hidden="1"/>
    <cellStyle name="Followed Hyperlink" xfId="222" builtinId="9" hidden="1"/>
    <cellStyle name="Followed Hyperlink" xfId="286" builtinId="9" hidden="1"/>
    <cellStyle name="Followed Hyperlink" xfId="350" builtinId="9" hidden="1"/>
    <cellStyle name="Followed Hyperlink" xfId="414" builtinId="9" hidden="1"/>
    <cellStyle name="Followed Hyperlink" xfId="478" builtinId="9" hidden="1"/>
    <cellStyle name="Followed Hyperlink" xfId="542" builtinId="9" hidden="1"/>
    <cellStyle name="Followed Hyperlink" xfId="606" builtinId="9" hidden="1"/>
    <cellStyle name="Followed Hyperlink" xfId="670" builtinId="9" hidden="1"/>
    <cellStyle name="Followed Hyperlink" xfId="734" builtinId="9" hidden="1"/>
    <cellStyle name="Followed Hyperlink" xfId="798" builtinId="9" hidden="1"/>
    <cellStyle name="Followed Hyperlink" xfId="862" builtinId="9" hidden="1"/>
    <cellStyle name="Followed Hyperlink" xfId="926" builtinId="9" hidden="1"/>
    <cellStyle name="Followed Hyperlink" xfId="990" builtinId="9" hidden="1"/>
    <cellStyle name="Followed Hyperlink" xfId="1054" builtinId="9" hidden="1"/>
    <cellStyle name="Followed Hyperlink" xfId="1118" builtinId="9" hidden="1"/>
    <cellStyle name="Followed Hyperlink" xfId="1182" builtinId="9" hidden="1"/>
    <cellStyle name="Followed Hyperlink" xfId="1246" builtinId="9" hidden="1"/>
    <cellStyle name="Followed Hyperlink" xfId="1310" builtinId="9" hidden="1"/>
    <cellStyle name="Followed Hyperlink" xfId="1374" builtinId="9" hidden="1"/>
    <cellStyle name="Followed Hyperlink" xfId="1438" builtinId="9" hidden="1"/>
    <cellStyle name="Followed Hyperlink" xfId="1502" builtinId="9" hidden="1"/>
    <cellStyle name="Followed Hyperlink" xfId="1448" builtinId="9" hidden="1"/>
    <cellStyle name="Followed Hyperlink" xfId="1384" builtinId="9" hidden="1"/>
    <cellStyle name="Followed Hyperlink" xfId="1320" builtinId="9" hidden="1"/>
    <cellStyle name="Followed Hyperlink" xfId="1256" builtinId="9" hidden="1"/>
    <cellStyle name="Followed Hyperlink" xfId="1192" builtinId="9" hidden="1"/>
    <cellStyle name="Followed Hyperlink" xfId="1128" builtinId="9" hidden="1"/>
    <cellStyle name="Followed Hyperlink" xfId="1064" builtinId="9" hidden="1"/>
    <cellStyle name="Followed Hyperlink" xfId="1000" builtinId="9" hidden="1"/>
    <cellStyle name="Followed Hyperlink" xfId="936" builtinId="9" hidden="1"/>
    <cellStyle name="Followed Hyperlink" xfId="872" builtinId="9" hidden="1"/>
    <cellStyle name="Followed Hyperlink" xfId="808" builtinId="9" hidden="1"/>
    <cellStyle name="Followed Hyperlink" xfId="744" builtinId="9" hidden="1"/>
    <cellStyle name="Followed Hyperlink" xfId="680" builtinId="9" hidden="1"/>
    <cellStyle name="Followed Hyperlink" xfId="616" builtinId="9" hidden="1"/>
    <cellStyle name="Followed Hyperlink" xfId="552" builtinId="9" hidden="1"/>
    <cellStyle name="Followed Hyperlink" xfId="488" builtinId="9" hidden="1"/>
    <cellStyle name="Followed Hyperlink" xfId="424" builtinId="9" hidden="1"/>
    <cellStyle name="Followed Hyperlink" xfId="360" builtinId="9" hidden="1"/>
    <cellStyle name="Followed Hyperlink" xfId="296" builtinId="9" hidden="1"/>
    <cellStyle name="Followed Hyperlink" xfId="232" builtinId="9" hidden="1"/>
    <cellStyle name="Followed Hyperlink" xfId="168" builtinId="9" hidden="1"/>
    <cellStyle name="Followed Hyperlink" xfId="104" builtinId="9" hidden="1"/>
    <cellStyle name="Followed Hyperlink" xfId="54" builtinId="9" hidden="1"/>
    <cellStyle name="Followed Hyperlink" xfId="22" builtinId="9" hidden="1"/>
    <cellStyle name="Followed Hyperlink" xfId="1524" builtinId="9" hidden="1"/>
    <cellStyle name="Followed Hyperlink" xfId="20" builtinId="9" hidden="1"/>
    <cellStyle name="Followed Hyperlink" xfId="62" builtinId="9" hidden="1"/>
    <cellStyle name="Followed Hyperlink" xfId="92" builtinId="9" hidden="1"/>
    <cellStyle name="Followed Hyperlink" xfId="156" builtinId="9" hidden="1"/>
    <cellStyle name="Followed Hyperlink" xfId="220" builtinId="9" hidden="1"/>
    <cellStyle name="Followed Hyperlink" xfId="284" builtinId="9" hidden="1"/>
    <cellStyle name="Followed Hyperlink" xfId="348" builtinId="9" hidden="1"/>
    <cellStyle name="Followed Hyperlink" xfId="412" builtinId="9" hidden="1"/>
    <cellStyle name="Followed Hyperlink" xfId="476" builtinId="9" hidden="1"/>
    <cellStyle name="Followed Hyperlink" xfId="540" builtinId="9" hidden="1"/>
    <cellStyle name="Followed Hyperlink" xfId="604" builtinId="9" hidden="1"/>
    <cellStyle name="Followed Hyperlink" xfId="668" builtinId="9" hidden="1"/>
    <cellStyle name="Followed Hyperlink" xfId="732" builtinId="9" hidden="1"/>
    <cellStyle name="Followed Hyperlink" xfId="796" builtinId="9" hidden="1"/>
    <cellStyle name="Followed Hyperlink" xfId="860" builtinId="9" hidden="1"/>
    <cellStyle name="Followed Hyperlink" xfId="924" builtinId="9" hidden="1"/>
    <cellStyle name="Followed Hyperlink" xfId="988" builtinId="9" hidden="1"/>
    <cellStyle name="Followed Hyperlink" xfId="1354" builtinId="9" hidden="1"/>
    <cellStyle name="Followed Hyperlink" xfId="1386" builtinId="9" hidden="1"/>
    <cellStyle name="Followed Hyperlink" xfId="1418" builtinId="9" hidden="1"/>
    <cellStyle name="Followed Hyperlink" xfId="1482" builtinId="9" hidden="1"/>
    <cellStyle name="Followed Hyperlink" xfId="1500" builtinId="9" hidden="1"/>
    <cellStyle name="Followed Hyperlink" xfId="1468" builtinId="9" hidden="1"/>
    <cellStyle name="Followed Hyperlink" xfId="1404" builtinId="9" hidden="1"/>
    <cellStyle name="Followed Hyperlink" xfId="1372" builtinId="9" hidden="1"/>
    <cellStyle name="Followed Hyperlink" xfId="1340" builtinId="9" hidden="1"/>
    <cellStyle name="Followed Hyperlink" xfId="1276" builtinId="9" hidden="1"/>
    <cellStyle name="Followed Hyperlink" xfId="1244" builtinId="9" hidden="1"/>
    <cellStyle name="Followed Hyperlink" xfId="1212" builtinId="9" hidden="1"/>
    <cellStyle name="Followed Hyperlink" xfId="1148" builtinId="9" hidden="1"/>
    <cellStyle name="Followed Hyperlink" xfId="1116" builtinId="9" hidden="1"/>
    <cellStyle name="Followed Hyperlink" xfId="1084" builtinId="9" hidden="1"/>
    <cellStyle name="Followed Hyperlink" xfId="1020" builtinId="9" hidden="1"/>
    <cellStyle name="Followed Hyperlink" xfId="1052" builtinId="9" hidden="1"/>
    <cellStyle name="Followed Hyperlink" xfId="1180" builtinId="9" hidden="1"/>
    <cellStyle name="Followed Hyperlink" xfId="1308" builtinId="9" hidden="1"/>
    <cellStyle name="Followed Hyperlink" xfId="1436" builtinId="9" hidden="1"/>
    <cellStyle name="Followed Hyperlink" xfId="1450" builtinId="9" hidden="1"/>
    <cellStyle name="Followed Hyperlink" xfId="1322" builtinId="9" hidden="1"/>
    <cellStyle name="Followed Hyperlink" xfId="1130" builtinId="9" hidden="1"/>
    <cellStyle name="Followed Hyperlink" xfId="1162" builtinId="9" hidden="1"/>
    <cellStyle name="Followed Hyperlink" xfId="1226" builtinId="9" hidden="1"/>
    <cellStyle name="Followed Hyperlink" xfId="1258" builtinId="9" hidden="1"/>
    <cellStyle name="Followed Hyperlink" xfId="1290" builtinId="9" hidden="1"/>
    <cellStyle name="Followed Hyperlink" xfId="1194" builtinId="9" hidden="1"/>
    <cellStyle name="Followed Hyperlink" xfId="1066" builtinId="9" hidden="1"/>
    <cellStyle name="Followed Hyperlink" xfId="1098" builtinId="9" hidden="1"/>
    <cellStyle name="Followed Hyperlink" xfId="1034" builtinId="9" hidden="1"/>
    <cellStyle name="Followed Hyperlink" xfId="1002" builtinId="9" hidden="1"/>
    <cellStyle name="Hyperlink" xfId="531" builtinId="8" hidden="1"/>
    <cellStyle name="Hyperlink" xfId="499" builtinId="8" hidden="1"/>
    <cellStyle name="Hyperlink" xfId="435" builtinId="8" hidden="1"/>
    <cellStyle name="Hyperlink" xfId="419" builtinId="8" hidden="1"/>
    <cellStyle name="Hyperlink" xfId="371" builtinId="8" hidden="1"/>
    <cellStyle name="Hyperlink" xfId="505" builtinId="8" hidden="1"/>
    <cellStyle name="Hyperlink" xfId="479" builtinId="8" hidden="1"/>
    <cellStyle name="Hyperlink" xfId="431" builtinId="8" hidden="1"/>
    <cellStyle name="Hyperlink" xfId="383" builtinId="8" hidden="1"/>
    <cellStyle name="Hyperlink" xfId="333" builtinId="8" hidden="1"/>
    <cellStyle name="Hyperlink" xfId="311" builtinId="8" hidden="1"/>
    <cellStyle name="Hyperlink" xfId="237" builtinId="8" hidden="1"/>
    <cellStyle name="Hyperlink" xfId="611" builtinId="8" hidden="1"/>
    <cellStyle name="Hyperlink" xfId="699" builtinId="8" hidden="1"/>
    <cellStyle name="Hyperlink" xfId="955" builtinId="8" hidden="1"/>
    <cellStyle name="Hyperlink" xfId="1035" builtinId="8" hidden="1"/>
    <cellStyle name="Hyperlink" xfId="1439" builtinId="8" hidden="1"/>
    <cellStyle name="Hyperlink" xfId="1445" builtinId="8" hidden="1"/>
    <cellStyle name="Hyperlink" xfId="1453" builtinId="8" hidden="1"/>
    <cellStyle name="Hyperlink" xfId="1455" builtinId="8" hidden="1"/>
    <cellStyle name="Hyperlink" xfId="1471" builtinId="8" hidden="1"/>
    <cellStyle name="Hyperlink" xfId="1473" builtinId="8" hidden="1"/>
    <cellStyle name="Hyperlink" xfId="1477" builtinId="8" hidden="1"/>
    <cellStyle name="Hyperlink" xfId="1487" builtinId="8" hidden="1"/>
    <cellStyle name="Hyperlink" xfId="1493" builtinId="8" hidden="1"/>
    <cellStyle name="Hyperlink" xfId="1497" builtinId="8" hidden="1"/>
    <cellStyle name="Hyperlink" xfId="1505" builtinId="8" hidden="1"/>
    <cellStyle name="Hyperlink" xfId="1483" builtinId="8" hidden="1"/>
    <cellStyle name="Hyperlink" xfId="1475" builtinId="8" hidden="1"/>
    <cellStyle name="Hyperlink" xfId="1435" builtinId="8" hidden="1"/>
    <cellStyle name="Hyperlink" xfId="1419" builtinId="8" hidden="1"/>
    <cellStyle name="Hyperlink" xfId="1411" builtinId="8" hidden="1"/>
    <cellStyle name="Hyperlink" xfId="1379" builtinId="8" hidden="1"/>
    <cellStyle name="Hyperlink" xfId="1371" builtinId="8" hidden="1"/>
    <cellStyle name="Hyperlink" xfId="1347" builtinId="8" hidden="1"/>
    <cellStyle name="Hyperlink" xfId="1323" builtinId="8" hidden="1"/>
    <cellStyle name="Hyperlink" xfId="1307" builtinId="8" hidden="1"/>
    <cellStyle name="Hyperlink" xfId="1283" builtinId="8" hidden="1"/>
    <cellStyle name="Hyperlink" xfId="1251" builtinId="8" hidden="1"/>
    <cellStyle name="Hyperlink" xfId="1243" builtinId="8" hidden="1"/>
    <cellStyle name="Hyperlink" xfId="1227" builtinId="8" hidden="1"/>
    <cellStyle name="Hyperlink" xfId="1195" builtinId="8" hidden="1"/>
    <cellStyle name="Hyperlink" xfId="1187" builtinId="8" hidden="1"/>
    <cellStyle name="Hyperlink" xfId="1163" builtinId="8" hidden="1"/>
    <cellStyle name="Hyperlink" xfId="1147" builtinId="8" hidden="1"/>
    <cellStyle name="Hyperlink" xfId="1115" builtinId="8" hidden="1"/>
    <cellStyle name="Hyperlink" xfId="1099" builtinId="8" hidden="1"/>
    <cellStyle name="Hyperlink" xfId="1067" builtinId="8" hidden="1"/>
    <cellStyle name="Hyperlink" xfId="1123" builtinId="8" hidden="1"/>
    <cellStyle name="Hyperlink" xfId="1291" builtinId="8" hidden="1"/>
    <cellStyle name="Hyperlink" xfId="1335" builtinId="8" hidden="1"/>
    <cellStyle name="Hyperlink" xfId="1337" builtinId="8" hidden="1"/>
    <cellStyle name="Hyperlink" xfId="1345" builtinId="8" hidden="1"/>
    <cellStyle name="Hyperlink" xfId="1353" builtinId="8" hidden="1"/>
    <cellStyle name="Hyperlink" xfId="1359" builtinId="8" hidden="1"/>
    <cellStyle name="Hyperlink" xfId="1365" builtinId="8" hidden="1"/>
    <cellStyle name="Hyperlink" xfId="1375" builtinId="8" hidden="1"/>
    <cellStyle name="Hyperlink" xfId="1377" builtinId="8" hidden="1"/>
    <cellStyle name="Hyperlink" xfId="1381" builtinId="8" hidden="1"/>
    <cellStyle name="Hyperlink" xfId="1391" builtinId="8" hidden="1"/>
    <cellStyle name="Hyperlink" xfId="1397" builtinId="8" hidden="1"/>
    <cellStyle name="Hyperlink" xfId="1401" builtinId="8" hidden="1"/>
    <cellStyle name="Hyperlink" xfId="1413" builtinId="8" hidden="1"/>
    <cellStyle name="Hyperlink" xfId="1421" builtinId="8" hidden="1"/>
    <cellStyle name="Hyperlink" xfId="1423" builtinId="8" hidden="1"/>
    <cellStyle name="Hyperlink" xfId="1407" builtinId="8" hidden="1"/>
    <cellStyle name="Hyperlink" xfId="1285" builtinId="8" hidden="1"/>
    <cellStyle name="Hyperlink" xfId="1289" builtinId="8" hidden="1"/>
    <cellStyle name="Hyperlink" xfId="1303" builtinId="8" hidden="1"/>
    <cellStyle name="Hyperlink" xfId="1305" builtinId="8" hidden="1"/>
    <cellStyle name="Hyperlink" xfId="1313" builtinId="8" hidden="1"/>
    <cellStyle name="Hyperlink" xfId="1321" builtinId="8" hidden="1"/>
    <cellStyle name="Hyperlink" xfId="1327" builtinId="8" hidden="1"/>
    <cellStyle name="Hyperlink" xfId="1333" builtinId="8" hidden="1"/>
    <cellStyle name="Hyperlink" xfId="1269" builtinId="8" hidden="1"/>
    <cellStyle name="Hyperlink" xfId="1271" builtinId="8" hidden="1"/>
    <cellStyle name="Hyperlink" xfId="1273" builtinId="8" hidden="1"/>
    <cellStyle name="Hyperlink" xfId="1253" builtinId="8" hidden="1"/>
    <cellStyle name="Hyperlink" xfId="1257" builtinId="8" hidden="1"/>
    <cellStyle name="Hyperlink" xfId="1247" builtinId="8" hidden="1"/>
    <cellStyle name="Hyperlink" xfId="1241" builtinId="8" hidden="1"/>
    <cellStyle name="Hyperlink" xfId="1261" builtinId="8" hidden="1"/>
    <cellStyle name="Hyperlink" xfId="1279" builtinId="8" hidden="1"/>
    <cellStyle name="Hyperlink" xfId="1325" builtinId="8" hidden="1"/>
    <cellStyle name="Hyperlink" xfId="1311" builtinId="8" hidden="1"/>
    <cellStyle name="Hyperlink" xfId="1295" builtinId="8" hidden="1"/>
    <cellStyle name="Hyperlink" xfId="1417" builtinId="8" hidden="1"/>
    <cellStyle name="Hyperlink" xfId="1399" builtinId="8" hidden="1"/>
    <cellStyle name="Hyperlink" xfId="1385" builtinId="8" hidden="1"/>
    <cellStyle name="Hyperlink" xfId="1357" builtinId="8" hidden="1"/>
    <cellStyle name="Hyperlink" xfId="1343" builtinId="8" hidden="1"/>
    <cellStyle name="Hyperlink" xfId="1467" builtinId="8" hidden="1"/>
    <cellStyle name="Hyperlink" xfId="1131" builtinId="8" hidden="1"/>
    <cellStyle name="Hyperlink" xfId="1179" builtinId="8" hidden="1"/>
    <cellStyle name="Hyperlink" xfId="1219" builtinId="8" hidden="1"/>
    <cellStyle name="Hyperlink" xfId="1315" builtinId="8" hidden="1"/>
    <cellStyle name="Hyperlink" xfId="1355" builtinId="8" hidden="1"/>
    <cellStyle name="Hyperlink" xfId="1403" builtinId="8" hidden="1"/>
    <cellStyle name="Hyperlink" xfId="1499" builtinId="8" hidden="1"/>
    <cellStyle name="Hyperlink" xfId="1495" builtinId="8" hidden="1"/>
    <cellStyle name="Hyperlink" xfId="1481" builtinId="8" hidden="1"/>
    <cellStyle name="Hyperlink" xfId="1449" builtinId="8" hidden="1"/>
    <cellStyle name="Hyperlink" xfId="1433" builtinId="8" hidden="1"/>
    <cellStyle name="Hyperlink" xfId="779" builtinId="8" hidden="1"/>
    <cellStyle name="Hyperlink" xfId="359" builtinId="8" hidden="1"/>
    <cellStyle name="Hyperlink" xfId="457" builtinId="8" hidden="1"/>
    <cellStyle name="Hyperlink" xfId="403" builtinId="8" hidden="1"/>
    <cellStyle name="Hyperlink" xfId="533" builtinId="8" hidden="1"/>
    <cellStyle name="Hyperlink" xfId="517" builtinId="8" hidden="1"/>
    <cellStyle name="Hyperlink" xfId="503" builtinId="8" hidden="1"/>
    <cellStyle name="Hyperlink" xfId="475" builtinId="8" hidden="1"/>
    <cellStyle name="Hyperlink" xfId="461" builtinId="8" hidden="1"/>
    <cellStyle name="Hyperlink" xfId="447" builtinId="8" hidden="1"/>
    <cellStyle name="Hyperlink" xfId="421" builtinId="8" hidden="1"/>
    <cellStyle name="Hyperlink" xfId="405" builtinId="8" hidden="1"/>
    <cellStyle name="Hyperlink" xfId="393" builtinId="8" hidden="1"/>
    <cellStyle name="Hyperlink" xfId="365" builtinId="8" hidden="1"/>
    <cellStyle name="Hyperlink" xfId="349" builtinId="8" hidden="1"/>
    <cellStyle name="Hyperlink" xfId="337" builtinId="8" hidden="1"/>
    <cellStyle name="Hyperlink" xfId="305" builtinId="8" hidden="1"/>
    <cellStyle name="Hyperlink" xfId="295" builtinId="8" hidden="1"/>
    <cellStyle name="Hyperlink" xfId="279" builtinId="8" hidden="1"/>
    <cellStyle name="Hyperlink" xfId="251" builtinId="8" hidden="1"/>
    <cellStyle name="Hyperlink" xfId="239" builtinId="8" hidden="1"/>
    <cellStyle name="Hyperlink" xfId="571" builtinId="8" hidden="1"/>
    <cellStyle name="Hyperlink" xfId="667" builtinId="8" hidden="1"/>
    <cellStyle name="Hyperlink" xfId="715" builtinId="8" hidden="1"/>
    <cellStyle name="Hyperlink" xfId="763" builtinId="8" hidden="1"/>
    <cellStyle name="Hyperlink" xfId="859" builtinId="8" hidden="1"/>
    <cellStyle name="Hyperlink" xfId="907" builtinId="8" hidden="1"/>
    <cellStyle name="Hyperlink" xfId="963" builtinId="8" hidden="1"/>
    <cellStyle name="Hyperlink" xfId="1059" builtinId="8" hidden="1"/>
    <cellStyle name="Hyperlink" xfId="139" builtinId="8" hidden="1"/>
    <cellStyle name="Hyperlink" xfId="183" builtinId="8" hidden="1"/>
    <cellStyle name="Hyperlink" xfId="91" builtinId="8" hidden="1"/>
    <cellStyle name="Hyperlink" xfId="53" builtinId="8" hidden="1"/>
    <cellStyle name="Hyperlink" xfId="1517" builtinId="8" hidden="1"/>
    <cellStyle name="Hyperlink" xfId="127" builtinId="8" hidden="1"/>
    <cellStyle name="Hyperlink" xfId="445" builtinId="8" hidden="1"/>
    <cellStyle name="Hyperlink" xfId="299" builtinId="8" hidden="1"/>
    <cellStyle name="Hyperlink" xfId="1331" builtinId="8" hidden="1"/>
    <cellStyle name="Hyperlink" xfId="1393" builtinId="8" hidden="1"/>
    <cellStyle name="Hyperlink" xfId="841" builtinId="8" hidden="1"/>
    <cellStyle name="Hyperlink" xfId="937" builtinId="8" hidden="1"/>
    <cellStyle name="Hyperlink" xfId="985" builtinId="8" hidden="1"/>
    <cellStyle name="Hyperlink" xfId="1037" builtinId="8" hidden="1"/>
    <cellStyle name="Hyperlink" xfId="1133" builtinId="8" hidden="1"/>
    <cellStyle name="Hyperlink" xfId="1183" builtinId="8" hidden="1"/>
    <cellStyle name="Hyperlink" xfId="1231" builtinId="8" hidden="1"/>
    <cellStyle name="Hyperlink" xfId="701" builtinId="8" hidden="1"/>
    <cellStyle name="Hyperlink" xfId="745" builtinId="8" hidden="1"/>
    <cellStyle name="Hyperlink" xfId="791" builtinId="8" hidden="1"/>
    <cellStyle name="Hyperlink" xfId="639" builtinId="8" hidden="1"/>
    <cellStyle name="Hyperlink" xfId="569" builtinId="8" hidden="1"/>
    <cellStyle name="Hyperlink" xfId="561" builtinId="8" hidden="1"/>
    <cellStyle name="Hyperlink" xfId="1563" builtinId="8" hidden="1"/>
    <cellStyle name="Hyperlink" xfId="1553" builtinId="8" hidden="1"/>
    <cellStyle name="Hyperlink" xfId="1541" builtinId="8" hidden="1"/>
    <cellStyle name="Hyperlink" xfId="537" builtinId="8" hidden="1"/>
    <cellStyle name="Hyperlink" xfId="559" builtinId="8" hidden="1"/>
    <cellStyle name="Hyperlink" xfId="597" builtinId="8" hidden="1"/>
    <cellStyle name="Hyperlink" xfId="567" builtinId="8" hidden="1"/>
    <cellStyle name="Hyperlink" xfId="665" builtinId="8" hidden="1"/>
    <cellStyle name="Hyperlink" xfId="653" builtinId="8" hidden="1"/>
    <cellStyle name="Hyperlink" xfId="621" builtinId="8" hidden="1"/>
    <cellStyle name="Hyperlink" xfId="607" builtinId="8" hidden="1"/>
    <cellStyle name="Hyperlink" xfId="833" builtinId="8" hidden="1"/>
    <cellStyle name="Hyperlink" xfId="807" builtinId="8" hidden="1"/>
    <cellStyle name="Hyperlink" xfId="789" builtinId="8" hidden="1"/>
    <cellStyle name="Hyperlink" xfId="775" builtinId="8" hidden="1"/>
    <cellStyle name="Hyperlink" xfId="743" builtinId="8" hidden="1"/>
    <cellStyle name="Hyperlink" xfId="729" builtinId="8" hidden="1"/>
    <cellStyle name="Hyperlink" xfId="717" builtinId="8" hidden="1"/>
    <cellStyle name="Hyperlink" xfId="685" builtinId="8" hidden="1"/>
    <cellStyle name="Hyperlink" xfId="861" builtinId="8" hidden="1"/>
    <cellStyle name="Hyperlink" xfId="989" builtinId="8" hidden="1"/>
    <cellStyle name="Hyperlink" xfId="317" builtinId="8" hidden="1"/>
    <cellStyle name="Hyperlink" xfId="289" builtinId="8" hidden="1"/>
    <cellStyle name="Hyperlink" xfId="281" builtinId="8" hidden="1"/>
    <cellStyle name="Hyperlink" xfId="253" builtinId="8" hidden="1"/>
    <cellStyle name="Hyperlink" xfId="245" builtinId="8" hidden="1"/>
    <cellStyle name="Hyperlink" xfId="235" builtinId="8" hidden="1"/>
    <cellStyle name="Hyperlink" xfId="659" builtinId="8" hidden="1"/>
    <cellStyle name="Hyperlink" xfId="723" builtinId="8" hidden="1"/>
    <cellStyle name="Hyperlink" xfId="755" builtinId="8" hidden="1"/>
    <cellStyle name="Hyperlink" xfId="851" builtinId="8" hidden="1"/>
    <cellStyle name="Hyperlink" xfId="883" builtinId="8" hidden="1"/>
    <cellStyle name="Hyperlink" xfId="915" builtinId="8" hidden="1"/>
    <cellStyle name="Hyperlink" xfId="1043" builtinId="8" hidden="1"/>
    <cellStyle name="Hyperlink" xfId="1107" builtinId="8" hidden="1"/>
    <cellStyle name="Hyperlink" xfId="1139" builtinId="8" hidden="1"/>
    <cellStyle name="Hyperlink" xfId="1235" builtinId="8" hidden="1"/>
    <cellStyle name="Hyperlink" xfId="1267" builtinId="8" hidden="1"/>
    <cellStyle name="Hyperlink" xfId="1363" builtinId="8" hidden="1"/>
    <cellStyle name="Hyperlink" xfId="1427" builtinId="8" hidden="1"/>
    <cellStyle name="Hyperlink" xfId="1491" builtinId="8" hidden="1"/>
    <cellStyle name="Hyperlink" xfId="1501" builtinId="8" hidden="1"/>
    <cellStyle name="Hyperlink" xfId="1469" builtinId="8" hidden="1"/>
    <cellStyle name="Hyperlink" xfId="1447" builtinId="8" hidden="1"/>
    <cellStyle name="Hyperlink" xfId="1425" builtinId="8" hidden="1"/>
    <cellStyle name="Hyperlink" xfId="1405" builtinId="8" hidden="1"/>
    <cellStyle name="Hyperlink" xfId="1383" builtinId="8" hidden="1"/>
    <cellStyle name="Hyperlink" xfId="1373" builtinId="8" hidden="1"/>
    <cellStyle name="Hyperlink" xfId="1329" builtinId="8" hidden="1"/>
    <cellStyle name="Hyperlink" xfId="1319" builtinId="8" hidden="1"/>
    <cellStyle name="Hyperlink" xfId="1297" builtinId="8" hidden="1"/>
    <cellStyle name="Hyperlink" xfId="1277" builtinId="8" hidden="1"/>
    <cellStyle name="Hyperlink" xfId="1255" builtinId="8" hidden="1"/>
    <cellStyle name="Hyperlink" xfId="1245" builtinId="8" hidden="1"/>
    <cellStyle name="Hyperlink" xfId="847" builtinId="8" hidden="1"/>
    <cellStyle name="Hyperlink" xfId="849" builtinId="8" hidden="1"/>
    <cellStyle name="Hyperlink" xfId="855" builtinId="8" hidden="1"/>
    <cellStyle name="Hyperlink" xfId="863" builtinId="8" hidden="1"/>
    <cellStyle name="Hyperlink" xfId="869" builtinId="8" hidden="1"/>
    <cellStyle name="Hyperlink" xfId="873" builtinId="8" hidden="1"/>
    <cellStyle name="Hyperlink" xfId="885" builtinId="8" hidden="1"/>
    <cellStyle name="Hyperlink" xfId="887" builtinId="8" hidden="1"/>
    <cellStyle name="Hyperlink" xfId="893" builtinId="8" hidden="1"/>
    <cellStyle name="Hyperlink" xfId="897" builtinId="8" hidden="1"/>
    <cellStyle name="Hyperlink" xfId="909" builtinId="8" hidden="1"/>
    <cellStyle name="Hyperlink" xfId="911" builtinId="8" hidden="1"/>
    <cellStyle name="Hyperlink" xfId="919" builtinId="8" hidden="1"/>
    <cellStyle name="Hyperlink" xfId="921" builtinId="8" hidden="1"/>
    <cellStyle name="Hyperlink" xfId="929" builtinId="8" hidden="1"/>
    <cellStyle name="Hyperlink" xfId="941" builtinId="8" hidden="1"/>
    <cellStyle name="Hyperlink" xfId="943" builtinId="8" hidden="1"/>
    <cellStyle name="Hyperlink" xfId="949" builtinId="8" hidden="1"/>
    <cellStyle name="Hyperlink" xfId="957" builtinId="8" hidden="1"/>
    <cellStyle name="Hyperlink" xfId="959" builtinId="8" hidden="1"/>
    <cellStyle name="Hyperlink" xfId="965" builtinId="8" hidden="1"/>
    <cellStyle name="Hyperlink" xfId="977" builtinId="8" hidden="1"/>
    <cellStyle name="Hyperlink" xfId="981" builtinId="8" hidden="1"/>
    <cellStyle name="Hyperlink" xfId="983" builtinId="8" hidden="1"/>
    <cellStyle name="Hyperlink" xfId="993" builtinId="8" hidden="1"/>
    <cellStyle name="Hyperlink" xfId="997" builtinId="8" hidden="1"/>
    <cellStyle name="Hyperlink" xfId="1005" builtinId="8" hidden="1"/>
    <cellStyle name="Hyperlink" xfId="1015" builtinId="8" hidden="1"/>
    <cellStyle name="Hyperlink" xfId="1017" builtinId="8" hidden="1"/>
    <cellStyle name="Hyperlink" xfId="1021" builtinId="8" hidden="1"/>
    <cellStyle name="Hyperlink" xfId="1029" builtinId="8" hidden="1"/>
    <cellStyle name="Hyperlink" xfId="1039" builtinId="8" hidden="1"/>
    <cellStyle name="Hyperlink" xfId="1041" builtinId="8" hidden="1"/>
    <cellStyle name="Hyperlink" xfId="1049" builtinId="8" hidden="1"/>
    <cellStyle name="Hyperlink" xfId="1055" builtinId="8" hidden="1"/>
    <cellStyle name="Hyperlink" xfId="1057" builtinId="8" hidden="1"/>
    <cellStyle name="Hyperlink" xfId="1069" builtinId="8" hidden="1"/>
    <cellStyle name="Hyperlink" xfId="1077" builtinId="8" hidden="1"/>
    <cellStyle name="Hyperlink" xfId="1079" builtinId="8" hidden="1"/>
    <cellStyle name="Hyperlink" xfId="1087" builtinId="8" hidden="1"/>
    <cellStyle name="Hyperlink" xfId="1089" builtinId="8" hidden="1"/>
    <cellStyle name="Hyperlink" xfId="1093" builtinId="8" hidden="1"/>
    <cellStyle name="Hyperlink" xfId="1105" builtinId="8" hidden="1"/>
    <cellStyle name="Hyperlink" xfId="1111" builtinId="8" hidden="1"/>
    <cellStyle name="Hyperlink" xfId="1113" builtinId="8" hidden="1"/>
    <cellStyle name="Hyperlink" xfId="1125" builtinId="8" hidden="1"/>
    <cellStyle name="Hyperlink" xfId="1127" builtinId="8" hidden="1"/>
    <cellStyle name="Hyperlink" xfId="1135" builtinId="8" hidden="1"/>
    <cellStyle name="Hyperlink" xfId="1143" builtinId="8" hidden="1"/>
    <cellStyle name="Hyperlink" xfId="1149" builtinId="8" hidden="1"/>
    <cellStyle name="Hyperlink" xfId="1151" builtinId="8" hidden="1"/>
    <cellStyle name="Hyperlink" xfId="1161" builtinId="8" hidden="1"/>
    <cellStyle name="Hyperlink" xfId="1167" builtinId="8" hidden="1"/>
    <cellStyle name="Hyperlink" xfId="1173" builtinId="8" hidden="1"/>
    <cellStyle name="Hyperlink" xfId="1177" builtinId="8" hidden="1"/>
    <cellStyle name="Hyperlink" xfId="1185" builtinId="8" hidden="1"/>
    <cellStyle name="Hyperlink" xfId="1189" builtinId="8" hidden="1"/>
    <cellStyle name="Hyperlink" xfId="1199" builtinId="8" hidden="1"/>
    <cellStyle name="Hyperlink" xfId="1205" builtinId="8" hidden="1"/>
    <cellStyle name="Hyperlink" xfId="1209" builtinId="8" hidden="1"/>
    <cellStyle name="Hyperlink" xfId="1215" builtinId="8" hidden="1"/>
    <cellStyle name="Hyperlink" xfId="1221" builtinId="8" hidden="1"/>
    <cellStyle name="Hyperlink" xfId="1225" builtinId="8" hidden="1"/>
    <cellStyle name="Hyperlink" xfId="1237" builtinId="8" hidden="1"/>
    <cellStyle name="Hyperlink" xfId="1239" builtinId="8" hidden="1"/>
    <cellStyle name="Hyperlink" xfId="1201" builtinId="8" hidden="1"/>
    <cellStyle name="Hyperlink" xfId="1159" builtinId="8" hidden="1"/>
    <cellStyle name="Hyperlink" xfId="1117" builtinId="8" hidden="1"/>
    <cellStyle name="Hyperlink" xfId="1073" builtinId="8" hidden="1"/>
    <cellStyle name="Hyperlink" xfId="1229" builtinId="8" hidden="1"/>
    <cellStyle name="Hyperlink" xfId="1197" builtinId="8" hidden="1"/>
    <cellStyle name="Hyperlink" xfId="1165" builtinId="8" hidden="1"/>
    <cellStyle name="Hyperlink" xfId="1101" builtinId="8" hidden="1"/>
    <cellStyle name="Hyperlink" xfId="1065" builtinId="8" hidden="1"/>
    <cellStyle name="Hyperlink" xfId="1033" builtinId="8" hidden="1"/>
    <cellStyle name="Hyperlink" xfId="969" builtinId="8" hidden="1"/>
    <cellStyle name="Hyperlink" xfId="935" builtinId="8" hidden="1"/>
    <cellStyle name="Hyperlink" xfId="905" builtinId="8" hidden="1"/>
    <cellStyle name="Hyperlink" xfId="837" builtinId="8" hidden="1"/>
    <cellStyle name="Hyperlink" xfId="1341" builtinId="8" hidden="1"/>
    <cellStyle name="Hyperlink" xfId="1457" builtinId="8" hidden="1"/>
    <cellStyle name="Hyperlink" xfId="979" builtinId="8" hidden="1"/>
    <cellStyle name="Hyperlink" xfId="627" builtinId="8" hidden="1"/>
    <cellStyle name="Hyperlink" xfId="309" builtinId="8" hidden="1"/>
    <cellStyle name="Hyperlink" xfId="39" builtinId="8" hidden="1"/>
    <cellStyle name="Hyperlink" xfId="45" builtinId="8" hidden="1"/>
    <cellStyle name="Hyperlink" xfId="47" builtinId="8" hidden="1"/>
    <cellStyle name="Hyperlink" xfId="55" builtinId="8" hidden="1"/>
    <cellStyle name="Hyperlink" xfId="59" builtinId="8" hidden="1"/>
    <cellStyle name="Hyperlink" xfId="19" builtinId="8" hidden="1"/>
    <cellStyle name="Hyperlink" xfId="33" builtinId="8" hidden="1"/>
    <cellStyle name="Hyperlink" xfId="17" builtinId="8" hidden="1"/>
    <cellStyle name="Hyperlink" xfId="9" builtinId="8" hidden="1"/>
    <cellStyle name="Hyperlink" xfId="1509" builtinId="8" hidden="1"/>
    <cellStyle name="Hyperlink" xfId="1513" builtinId="8" hidden="1"/>
    <cellStyle name="Hyperlink" xfId="1515" builtinId="8" hidden="1"/>
    <cellStyle name="Hyperlink" xfId="1523" builtinId="8" hidden="1"/>
    <cellStyle name="Hyperlink" xfId="1525" builtinId="8" hidden="1"/>
    <cellStyle name="Hyperlink" xfId="1511" builtinId="8" hidden="1"/>
    <cellStyle name="Hyperlink" xfId="13" builtinId="8" hidden="1"/>
    <cellStyle name="Hyperlink" xfId="57" builtinId="8" hidden="1"/>
    <cellStyle name="Hyperlink" xfId="41" builtinId="8" hidden="1"/>
    <cellStyle name="Hyperlink" xfId="97" builtinId="8" hidden="1"/>
    <cellStyle name="Hyperlink" xfId="89" builtinId="8" hidden="1"/>
    <cellStyle name="Hyperlink" xfId="73" builtinId="8" hidden="1"/>
    <cellStyle name="Hyperlink" xfId="163" builtinId="8" hidden="1"/>
    <cellStyle name="Hyperlink" xfId="221" builtinId="8" hidden="1"/>
    <cellStyle name="Hyperlink" xfId="213" builtinId="8" hidden="1"/>
    <cellStyle name="Hyperlink" xfId="187" builtinId="8" hidden="1"/>
    <cellStyle name="Hyperlink" xfId="179" builtinId="8" hidden="1"/>
    <cellStyle name="Hyperlink" xfId="171" builtinId="8" hidden="1"/>
    <cellStyle name="Hyperlink" xfId="145" builtinId="8" hidden="1"/>
    <cellStyle name="Hyperlink" xfId="119" builtinId="8" hidden="1"/>
    <cellStyle name="Hyperlink" xfId="259" builtinId="8" hidden="1"/>
    <cellStyle name="Hyperlink" xfId="451" builtinId="8" hidden="1"/>
    <cellStyle name="Hyperlink" xfId="515" builtinId="8" hidden="1"/>
    <cellStyle name="Hyperlink" xfId="527" builtinId="8" hidden="1"/>
    <cellStyle name="Hyperlink" xfId="501" builtinId="8" hidden="1"/>
    <cellStyle name="Hyperlink" xfId="491" builtinId="8" hidden="1"/>
    <cellStyle name="Hyperlink" xfId="473" builtinId="8" hidden="1"/>
    <cellStyle name="Hyperlink" xfId="455" builtinId="8" hidden="1"/>
    <cellStyle name="Hyperlink" xfId="437" builtinId="8" hidden="1"/>
    <cellStyle name="Hyperlink" xfId="427" builtinId="8" hidden="1"/>
    <cellStyle name="Hyperlink" xfId="391" builtinId="8" hidden="1"/>
    <cellStyle name="Hyperlink" xfId="381" builtinId="8" hidden="1"/>
    <cellStyle name="Hyperlink" xfId="363" builtinId="8" hidden="1"/>
    <cellStyle name="Hyperlink" xfId="345" builtinId="8" hidden="1"/>
    <cellStyle name="Hyperlink" xfId="399" builtinId="8" hidden="1"/>
    <cellStyle name="Hyperlink" xfId="137" builtinId="8" hidden="1"/>
    <cellStyle name="Hyperlink" xfId="25" builtinId="8" hidden="1"/>
    <cellStyle name="Hyperlink" xfId="199" builtinId="8" hidden="1"/>
    <cellStyle name="Hyperlink" xfId="201" builtinId="8" hidden="1"/>
    <cellStyle name="Hyperlink" xfId="209" builtinId="8" hidden="1"/>
    <cellStyle name="Hyperlink" xfId="211" builtinId="8" hidden="1"/>
    <cellStyle name="Hyperlink" xfId="215" builtinId="8" hidden="1"/>
    <cellStyle name="Hyperlink" xfId="223" builtinId="8" hidden="1"/>
    <cellStyle name="Hyperlink" xfId="225" builtinId="8" hidden="1"/>
    <cellStyle name="Hyperlink" xfId="233" builtinId="8" hidden="1"/>
    <cellStyle name="Hyperlink" xfId="195" builtinId="8" hidden="1"/>
    <cellStyle name="Hyperlink" xfId="61" builtinId="8" hidden="1"/>
    <cellStyle name="Hyperlink" xfId="63" builtinId="8" hidden="1"/>
    <cellStyle name="Hyperlink" xfId="71" builtinId="8" hidden="1"/>
    <cellStyle name="Hyperlink" xfId="75" builtinId="8" hidden="1"/>
    <cellStyle name="Hyperlink" xfId="77" builtinId="8" hidden="1"/>
    <cellStyle name="Hyperlink" xfId="85" builtinId="8" hidden="1"/>
    <cellStyle name="Hyperlink" xfId="93" builtinId="8" hidden="1"/>
    <cellStyle name="Hyperlink" xfId="95" builtinId="8" hidden="1"/>
    <cellStyle name="Hyperlink" xfId="105" builtinId="8" hidden="1"/>
    <cellStyle name="Hyperlink" xfId="109" builtinId="8" hidden="1"/>
    <cellStyle name="Hyperlink" xfId="111" builtinId="8" hidden="1"/>
    <cellStyle name="Hyperlink" xfId="87" builtinId="8" hidden="1"/>
    <cellStyle name="Hyperlink" xfId="143" builtinId="8" hidden="1"/>
    <cellStyle name="Hyperlink" xfId="147" builtinId="8" hidden="1"/>
    <cellStyle name="Hyperlink" xfId="157" builtinId="8" hidden="1"/>
    <cellStyle name="Hyperlink" xfId="165" builtinId="8" hidden="1"/>
    <cellStyle name="Hyperlink" xfId="167" builtinId="8" hidden="1"/>
    <cellStyle name="Hyperlink" xfId="175" builtinId="8" hidden="1"/>
    <cellStyle name="Hyperlink" xfId="177" builtinId="8" hidden="1"/>
    <cellStyle name="Hyperlink" xfId="181" builtinId="8" hidden="1"/>
    <cellStyle name="Hyperlink" xfId="189" builtinId="8" hidden="1"/>
    <cellStyle name="Hyperlink" xfId="191" builtinId="8" hidden="1"/>
    <cellStyle name="Hyperlink" xfId="151" builtinId="8" hidden="1"/>
    <cellStyle name="Hyperlink" xfId="123" builtinId="8" hidden="1"/>
    <cellStyle name="Hyperlink" xfId="129" builtinId="8" hidden="1"/>
    <cellStyle name="Hyperlink" xfId="133" builtinId="8" hidden="1"/>
    <cellStyle name="Hyperlink" xfId="141" builtinId="8" hidden="1"/>
    <cellStyle name="Hyperlink" xfId="275" builtinId="8" hidden="1"/>
    <cellStyle name="Hyperlink" xfId="243" builtinId="8" hidden="1"/>
    <cellStyle name="Hyperlink" xfId="339" builtinId="8" hidden="1"/>
    <cellStyle name="Hyperlink" xfId="291" builtinId="8" hidden="1"/>
    <cellStyle name="Hyperlink" xfId="355" builtinId="8" hidden="1"/>
    <cellStyle name="Hyperlink" xfId="117" builtinId="8" hidden="1"/>
    <cellStyle name="Hyperlink" xfId="135" builtinId="8" hidden="1"/>
    <cellStyle name="Hyperlink" xfId="121" builtinId="8" hidden="1"/>
    <cellStyle name="Hyperlink" xfId="185" builtinId="8" hidden="1"/>
    <cellStyle name="Hyperlink" xfId="169" builtinId="8" hidden="1"/>
    <cellStyle name="Hyperlink" xfId="155" builtinId="8" hidden="1"/>
    <cellStyle name="Hyperlink" xfId="35" builtinId="8" hidden="1"/>
    <cellStyle name="Hyperlink" xfId="101" builtinId="8" hidden="1"/>
    <cellStyle name="Hyperlink" xfId="83" builtinId="8" hidden="1"/>
    <cellStyle name="Hyperlink" xfId="67" builtinId="8" hidden="1"/>
    <cellStyle name="Hyperlink" xfId="227" builtinId="8" hidden="1"/>
    <cellStyle name="Hyperlink" xfId="219" builtinId="8" hidden="1"/>
    <cellStyle name="Hyperlink" xfId="203" builtinId="8" hidden="1"/>
    <cellStyle name="Hyperlink" xfId="49" builtinId="8" hidden="1"/>
    <cellStyle name="Hyperlink" xfId="353" builtinId="8" hidden="1"/>
    <cellStyle name="Hyperlink" xfId="417" builtinId="8" hidden="1"/>
    <cellStyle name="Hyperlink" xfId="463" builtinId="8" hidden="1"/>
    <cellStyle name="Hyperlink" xfId="509" builtinId="8" hidden="1"/>
    <cellStyle name="Hyperlink" xfId="323" builtinId="8" hidden="1"/>
    <cellStyle name="Hyperlink" xfId="153" builtinId="8" hidden="1"/>
    <cellStyle name="Hyperlink" xfId="205" builtinId="8" hidden="1"/>
    <cellStyle name="Hyperlink" xfId="65" builtinId="8" hidden="1"/>
    <cellStyle name="Hyperlink" xfId="107" builtinId="8" hidden="1"/>
    <cellStyle name="Hyperlink" xfId="11" builtinId="8" hidden="1"/>
    <cellStyle name="Hyperlink" xfId="1521" builtinId="8" hidden="1"/>
    <cellStyle name="Hyperlink" xfId="7" builtinId="8" hidden="1"/>
    <cellStyle name="Hyperlink" xfId="31" builtinId="8" hidden="1"/>
    <cellStyle name="Hyperlink" xfId="51" builtinId="8" hidden="1"/>
    <cellStyle name="Hyperlink" xfId="37" builtinId="8" hidden="1"/>
    <cellStyle name="Hyperlink" xfId="1299" builtinId="8" hidden="1"/>
    <cellStyle name="Hyperlink" xfId="871" builtinId="8" hidden="1"/>
    <cellStyle name="Hyperlink" xfId="1001" builtinId="8" hidden="1"/>
    <cellStyle name="Hyperlink" xfId="1129" builtinId="8" hidden="1"/>
    <cellStyle name="Hyperlink" xfId="1095" builtinId="8" hidden="1"/>
    <cellStyle name="Hyperlink" xfId="1181" builtinId="8" hidden="1"/>
    <cellStyle name="Hyperlink" xfId="1233" builtinId="8" hidden="1"/>
    <cellStyle name="Hyperlink" xfId="1213" builtinId="8" hidden="1"/>
    <cellStyle name="Hyperlink" xfId="1191" builtinId="8" hidden="1"/>
    <cellStyle name="Hyperlink" xfId="1175" builtinId="8" hidden="1"/>
    <cellStyle name="Hyperlink" xfId="1153" builtinId="8" hidden="1"/>
    <cellStyle name="Hyperlink" xfId="1141" builtinId="8" hidden="1"/>
    <cellStyle name="Hyperlink" xfId="1119" builtinId="8" hidden="1"/>
    <cellStyle name="Hyperlink" xfId="1103" builtinId="8" hidden="1"/>
    <cellStyle name="Hyperlink" xfId="1081" builtinId="8" hidden="1"/>
    <cellStyle name="Hyperlink" xfId="1063" builtinId="8" hidden="1"/>
    <cellStyle name="Hyperlink" xfId="1045" builtinId="8" hidden="1"/>
    <cellStyle name="Hyperlink" xfId="1025" builtinId="8" hidden="1"/>
    <cellStyle name="Hyperlink" xfId="1007" builtinId="8" hidden="1"/>
    <cellStyle name="Hyperlink" xfId="991" builtinId="8" hidden="1"/>
    <cellStyle name="Hyperlink" xfId="973" builtinId="8" hidden="1"/>
    <cellStyle name="Hyperlink" xfId="953" builtinId="8" hidden="1"/>
    <cellStyle name="Hyperlink" xfId="933" builtinId="8" hidden="1"/>
    <cellStyle name="Hyperlink" xfId="917" builtinId="8" hidden="1"/>
    <cellStyle name="Hyperlink" xfId="895" builtinId="8" hidden="1"/>
    <cellStyle name="Hyperlink" xfId="879" builtinId="8" hidden="1"/>
    <cellStyle name="Hyperlink" xfId="857" builtinId="8" hidden="1"/>
    <cellStyle name="Hyperlink" xfId="845" builtinId="8" hidden="1"/>
    <cellStyle name="Hyperlink" xfId="1287" builtinId="8" hidden="1"/>
    <cellStyle name="Hyperlink" xfId="1361" builtinId="8" hidden="1"/>
    <cellStyle name="Hyperlink" xfId="1415" builtinId="8" hidden="1"/>
    <cellStyle name="Hyperlink" xfId="1489" builtinId="8" hidden="1"/>
    <cellStyle name="Hyperlink" xfId="1395" builtinId="8" hidden="1"/>
    <cellStyle name="Hyperlink" xfId="1171" builtinId="8" hidden="1"/>
    <cellStyle name="Hyperlink" xfId="1011" builtinId="8" hidden="1"/>
    <cellStyle name="Hyperlink" xfId="787" builtinId="8" hidden="1"/>
    <cellStyle name="Hyperlink" xfId="595" builtinId="8" hidden="1"/>
    <cellStyle name="Hyperlink" xfId="271" builtinId="8" hidden="1"/>
    <cellStyle name="Hyperlink" xfId="327" builtinId="8" hidden="1"/>
    <cellStyle name="Hyperlink" xfId="697" builtinId="8" hidden="1"/>
    <cellStyle name="Hyperlink" xfId="761" builtinId="8" hidden="1"/>
    <cellStyle name="Hyperlink" xfId="821" builtinId="8" hidden="1"/>
    <cellStyle name="Hyperlink" xfId="637" builtinId="8" hidden="1"/>
    <cellStyle name="Hyperlink" xfId="583" builtinId="8" hidden="1"/>
    <cellStyle name="Hyperlink" xfId="1531" builtinId="8" hidden="1"/>
    <cellStyle name="Hyperlink" xfId="1543" builtinId="8" hidden="1"/>
    <cellStyle name="Hyperlink" xfId="797" builtinId="8" hidden="1"/>
    <cellStyle name="Hyperlink" xfId="967" builtinId="8" hidden="1"/>
    <cellStyle name="Hyperlink" xfId="1085" builtinId="8" hidden="1"/>
    <cellStyle name="Hyperlink" xfId="889" builtinId="8" hidden="1"/>
    <cellStyle name="Hyperlink" xfId="819" builtinId="8" hidden="1"/>
    <cellStyle name="Hyperlink" xfId="81" builtinId="8" hidden="1"/>
    <cellStyle name="Hyperlink" xfId="229" builtinId="8" hidden="1"/>
    <cellStyle name="Hyperlink" xfId="1003" builtinId="8" hidden="1"/>
    <cellStyle name="Hyperlink" xfId="811" builtinId="8" hidden="1"/>
    <cellStyle name="Hyperlink" xfId="619" builtinId="8" hidden="1"/>
    <cellStyle name="Hyperlink" xfId="267" builtinId="8" hidden="1"/>
    <cellStyle name="Hyperlink" xfId="321" builtinId="8" hidden="1"/>
    <cellStyle name="Hyperlink" xfId="377" builtinId="8" hidden="1"/>
    <cellStyle name="Hyperlink" xfId="433" builtinId="8" hidden="1"/>
    <cellStyle name="Hyperlink" xfId="489" builtinId="8" hidden="1"/>
    <cellStyle name="Hyperlink" xfId="467" builtinId="8" hidden="1"/>
    <cellStyle name="Hyperlink" xfId="261" builtinId="8" hidden="1"/>
    <cellStyle name="Hyperlink" xfId="1465" builtinId="8" hidden="1"/>
    <cellStyle name="Hyperlink" xfId="1443" builtinId="8" hidden="1"/>
    <cellStyle name="Hyperlink" xfId="1259" builtinId="8" hidden="1"/>
    <cellStyle name="Hyperlink" xfId="1083" builtinId="8" hidden="1"/>
    <cellStyle name="Hyperlink" xfId="1369" builtinId="8" hidden="1"/>
    <cellStyle name="Hyperlink" xfId="1431" builtinId="8" hidden="1"/>
    <cellStyle name="Hyperlink" xfId="1263" builtinId="8" hidden="1"/>
    <cellStyle name="Hyperlink" xfId="1249" builtinId="8" hidden="1"/>
    <cellStyle name="Hyperlink" xfId="1281" builtinId="8" hidden="1"/>
    <cellStyle name="Hyperlink" xfId="1293" builtinId="8" hidden="1"/>
    <cellStyle name="Hyperlink" xfId="1317" builtinId="8" hidden="1"/>
    <cellStyle name="Hyperlink" xfId="1301" builtinId="8" hidden="1"/>
    <cellStyle name="Hyperlink" xfId="1429" builtinId="8" hidden="1"/>
    <cellStyle name="Hyperlink" xfId="1409" builtinId="8" hidden="1"/>
    <cellStyle name="Hyperlink" xfId="1389" builtinId="8" hidden="1"/>
    <cellStyle name="Hyperlink" xfId="1367" builtinId="8" hidden="1"/>
    <cellStyle name="Hyperlink" xfId="1349" builtinId="8" hidden="1"/>
    <cellStyle name="Hyperlink" xfId="1463" builtinId="8" hidden="1"/>
    <cellStyle name="Hyperlink" xfId="1091" builtinId="8" hidden="1"/>
    <cellStyle name="Hyperlink" xfId="1155" builtinId="8" hidden="1"/>
    <cellStyle name="Hyperlink" xfId="1211" builtinId="8" hidden="1"/>
    <cellStyle name="Hyperlink" xfId="1275" builtinId="8" hidden="1"/>
    <cellStyle name="Hyperlink" xfId="1339" builtinId="8" hidden="1"/>
    <cellStyle name="Hyperlink" xfId="1387" builtinId="8" hidden="1"/>
    <cellStyle name="Hyperlink" xfId="1451" builtinId="8" hidden="1"/>
    <cellStyle name="Hyperlink" xfId="1503" builtinId="8" hidden="1"/>
    <cellStyle name="Hyperlink" xfId="1485" builtinId="8" hidden="1"/>
    <cellStyle name="Hyperlink" xfId="1461" builtinId="8" hidden="1"/>
    <cellStyle name="Hyperlink" xfId="1441" builtinId="8" hidden="1"/>
    <cellStyle name="Hyperlink" xfId="867" builtinId="8" hidden="1"/>
    <cellStyle name="Hyperlink" xfId="285" builtinId="8" hidden="1"/>
    <cellStyle name="Hyperlink" xfId="407" builtinId="8" hidden="1"/>
    <cellStyle name="Hyperlink" xfId="529" builtinId="8" hidden="1"/>
    <cellStyle name="Hyperlink" xfId="483" builtinId="8" hidden="1"/>
    <cellStyle name="Hyperlink" xfId="1121" builtinId="8" hidden="1"/>
    <cellStyle name="Hyperlink" xfId="1109" builtinId="8" hidden="1"/>
    <cellStyle name="Hyperlink" xfId="1071" builtinId="8" hidden="1"/>
    <cellStyle name="Hyperlink" xfId="1061" builtinId="8" hidden="1"/>
    <cellStyle name="Hyperlink" xfId="1047" builtinId="8" hidden="1"/>
    <cellStyle name="Hyperlink" xfId="1023" builtinId="8" hidden="1"/>
    <cellStyle name="Hyperlink" xfId="1013" builtinId="8" hidden="1"/>
    <cellStyle name="Hyperlink" xfId="999" builtinId="8" hidden="1"/>
    <cellStyle name="Hyperlink" xfId="975" builtinId="8" hidden="1"/>
    <cellStyle name="Hyperlink" xfId="951" builtinId="8" hidden="1"/>
    <cellStyle name="Hyperlink" xfId="927" builtinId="8" hidden="1"/>
    <cellStyle name="Hyperlink" xfId="913" builtinId="8" hidden="1"/>
    <cellStyle name="Hyperlink" xfId="901" builtinId="8" hidden="1"/>
    <cellStyle name="Hyperlink" xfId="877" builtinId="8" hidden="1"/>
    <cellStyle name="Hyperlink" xfId="865" builtinId="8" hidden="1"/>
    <cellStyle name="Hyperlink" xfId="853" builtinId="8" hidden="1"/>
    <cellStyle name="Hyperlink" xfId="1309" builtinId="8" hidden="1"/>
    <cellStyle name="Hyperlink" xfId="1351" builtinId="8" hidden="1"/>
    <cellStyle name="Hyperlink" xfId="1437" builtinId="8" hidden="1"/>
    <cellStyle name="Hyperlink" xfId="1479" builtinId="8" hidden="1"/>
    <cellStyle name="Hyperlink" xfId="1459" builtinId="8" hidden="1"/>
    <cellStyle name="Hyperlink" xfId="1203" builtinId="8" hidden="1"/>
    <cellStyle name="Hyperlink" xfId="1075" builtinId="8" hidden="1"/>
    <cellStyle name="Hyperlink" xfId="691" builtinId="8" hidden="1"/>
    <cellStyle name="Hyperlink" xfId="563" builtinId="8" hidden="1"/>
    <cellStyle name="Hyperlink" xfId="263" builtinId="8" hidden="1"/>
    <cellStyle name="Hyperlink" xfId="335" builtinId="8" hidden="1"/>
    <cellStyle name="Hyperlink" xfId="373" builtinId="8" hidden="1"/>
    <cellStyle name="Hyperlink" xfId="409" builtinId="8" hidden="1"/>
    <cellStyle name="Hyperlink" xfId="481" builtinId="8" hidden="1"/>
    <cellStyle name="Hyperlink" xfId="387" builtinId="8" hidden="1"/>
    <cellStyle name="Hyperlink" xfId="161" builtinId="8" hidden="1"/>
    <cellStyle name="Hyperlink" xfId="197" builtinId="8" hidden="1"/>
    <cellStyle name="Hyperlink" xfId="231" builtinId="8" hidden="1"/>
    <cellStyle name="Hyperlink" xfId="99" builtinId="8" hidden="1"/>
    <cellStyle name="Hyperlink" xfId="23" builtinId="8" hidden="1"/>
    <cellStyle name="Hyperlink" xfId="1519" builtinId="8" hidden="1"/>
    <cellStyle name="Hyperlink" xfId="15" builtinId="8" hidden="1"/>
    <cellStyle name="Hyperlink" xfId="21" builtinId="8" hidden="1"/>
    <cellStyle name="Hyperlink" xfId="43" builtinId="8" hidden="1"/>
    <cellStyle name="Hyperlink" xfId="113" builtinId="8" hidden="1"/>
    <cellStyle name="Hyperlink" xfId="103" builtinId="8" hidden="1"/>
    <cellStyle name="Hyperlink" xfId="79" builtinId="8" hidden="1"/>
    <cellStyle name="Hyperlink" xfId="69" builtinId="8" hidden="1"/>
    <cellStyle name="Hyperlink" xfId="217" builtinId="8" hidden="1"/>
    <cellStyle name="Hyperlink" xfId="207" builtinId="8" hidden="1"/>
    <cellStyle name="Hyperlink" xfId="193" builtinId="8" hidden="1"/>
    <cellStyle name="Hyperlink" xfId="173" builtinId="8" hidden="1"/>
    <cellStyle name="Hyperlink" xfId="159" builtinId="8" hidden="1"/>
    <cellStyle name="Hyperlink" xfId="149" builtinId="8" hidden="1"/>
    <cellStyle name="Hyperlink" xfId="125" builtinId="8" hidden="1"/>
    <cellStyle name="Hyperlink" xfId="307" builtinId="8" hidden="1"/>
    <cellStyle name="Hyperlink" xfId="1051" builtinId="8" hidden="1"/>
    <cellStyle name="Hyperlink" xfId="1027" builtinId="8" hidden="1"/>
    <cellStyle name="Hyperlink" xfId="1019" builtinId="8" hidden="1"/>
    <cellStyle name="Hyperlink" xfId="995" builtinId="8" hidden="1"/>
    <cellStyle name="Hyperlink" xfId="987" builtinId="8" hidden="1"/>
    <cellStyle name="Hyperlink" xfId="971" builtinId="8" hidden="1"/>
    <cellStyle name="Hyperlink" xfId="931" builtinId="8" hidden="1"/>
    <cellStyle name="Hyperlink" xfId="923" builtinId="8" hidden="1"/>
    <cellStyle name="Hyperlink" xfId="899" builtinId="8" hidden="1"/>
    <cellStyle name="Hyperlink" xfId="891" builtinId="8" hidden="1"/>
    <cellStyle name="Hyperlink" xfId="875" builtinId="8" hidden="1"/>
    <cellStyle name="Hyperlink" xfId="843" builtinId="8" hidden="1"/>
    <cellStyle name="Hyperlink" xfId="835" builtinId="8" hidden="1"/>
    <cellStyle name="Hyperlink" xfId="803" builtinId="8" hidden="1"/>
    <cellStyle name="Hyperlink" xfId="795" builtinId="8" hidden="1"/>
    <cellStyle name="Hyperlink" xfId="771" builtinId="8" hidden="1"/>
    <cellStyle name="Hyperlink" xfId="747" builtinId="8" hidden="1"/>
    <cellStyle name="Hyperlink" xfId="739" builtinId="8" hidden="1"/>
    <cellStyle name="Hyperlink" xfId="731" builtinId="8" hidden="1"/>
    <cellStyle name="Hyperlink" xfId="707" builtinId="8" hidden="1"/>
    <cellStyle name="Hyperlink" xfId="675" builtinId="8" hidden="1"/>
    <cellStyle name="Hyperlink" xfId="651" builtinId="8" hidden="1"/>
    <cellStyle name="Hyperlink" xfId="643" builtinId="8" hidden="1"/>
    <cellStyle name="Hyperlink" xfId="635" builtinId="8" hidden="1"/>
    <cellStyle name="Hyperlink" xfId="603" builtinId="8" hidden="1"/>
    <cellStyle name="Hyperlink" xfId="587" builtinId="8" hidden="1"/>
    <cellStyle name="Hyperlink" xfId="579" builtinId="8" hidden="1"/>
    <cellStyle name="Hyperlink" xfId="547" builtinId="8" hidden="1"/>
    <cellStyle name="Hyperlink" xfId="539" builtinId="8" hidden="1"/>
    <cellStyle name="Hyperlink" xfId="241" builtinId="8" hidden="1"/>
    <cellStyle name="Hyperlink" xfId="247" builtinId="8" hidden="1"/>
    <cellStyle name="Hyperlink" xfId="249" builtinId="8" hidden="1"/>
    <cellStyle name="Hyperlink" xfId="255" builtinId="8" hidden="1"/>
    <cellStyle name="Hyperlink" xfId="257" builtinId="8" hidden="1"/>
    <cellStyle name="Hyperlink" xfId="269" builtinId="8" hidden="1"/>
    <cellStyle name="Hyperlink" xfId="273" builtinId="8" hidden="1"/>
    <cellStyle name="Hyperlink" xfId="277" builtinId="8" hidden="1"/>
    <cellStyle name="Hyperlink" xfId="283" builtinId="8" hidden="1"/>
    <cellStyle name="Hyperlink" xfId="287" builtinId="8" hidden="1"/>
    <cellStyle name="Hyperlink" xfId="293" builtinId="8" hidden="1"/>
    <cellStyle name="Hyperlink" xfId="297" builtinId="8" hidden="1"/>
    <cellStyle name="Hyperlink" xfId="303" builtinId="8" hidden="1"/>
    <cellStyle name="Hyperlink" xfId="313" builtinId="8" hidden="1"/>
    <cellStyle name="Hyperlink" xfId="315" builtinId="8" hidden="1"/>
    <cellStyle name="Hyperlink" xfId="319" builtinId="8" hidden="1"/>
    <cellStyle name="Hyperlink" xfId="325" builtinId="8" hidden="1"/>
    <cellStyle name="Hyperlink" xfId="329" builtinId="8" hidden="1"/>
    <cellStyle name="Hyperlink" xfId="331" builtinId="8" hidden="1"/>
    <cellStyle name="Hyperlink" xfId="343" builtinId="8" hidden="1"/>
    <cellStyle name="Hyperlink" xfId="347" builtinId="8" hidden="1"/>
    <cellStyle name="Hyperlink" xfId="351" builtinId="8" hidden="1"/>
    <cellStyle name="Hyperlink" xfId="357" builtinId="8" hidden="1"/>
    <cellStyle name="Hyperlink" xfId="361" builtinId="8" hidden="1"/>
    <cellStyle name="Hyperlink" xfId="367" builtinId="8" hidden="1"/>
    <cellStyle name="Hyperlink" xfId="369" builtinId="8" hidden="1"/>
    <cellStyle name="Hyperlink" xfId="379" builtinId="8" hidden="1"/>
    <cellStyle name="Hyperlink" xfId="385" builtinId="8" hidden="1"/>
    <cellStyle name="Hyperlink" xfId="389" builtinId="8" hidden="1"/>
    <cellStyle name="Hyperlink" xfId="395" builtinId="8" hidden="1"/>
    <cellStyle name="Hyperlink" xfId="397" builtinId="8" hidden="1"/>
    <cellStyle name="Hyperlink" xfId="401" builtinId="8" hidden="1"/>
    <cellStyle name="Hyperlink" xfId="411" builtinId="8" hidden="1"/>
    <cellStyle name="Hyperlink" xfId="415" builtinId="8" hidden="1"/>
    <cellStyle name="Hyperlink" xfId="423" builtinId="8" hidden="1"/>
    <cellStyle name="Hyperlink" xfId="425" builtinId="8" hidden="1"/>
    <cellStyle name="Hyperlink" xfId="429" builtinId="8" hidden="1"/>
    <cellStyle name="Hyperlink" xfId="439" builtinId="8" hidden="1"/>
    <cellStyle name="Hyperlink" xfId="441" builtinId="8" hidden="1"/>
    <cellStyle name="Hyperlink" xfId="443" builtinId="8" hidden="1"/>
    <cellStyle name="Hyperlink" xfId="453" builtinId="8" hidden="1"/>
    <cellStyle name="Hyperlink" xfId="459" builtinId="8" hidden="1"/>
    <cellStyle name="Hyperlink" xfId="465" builtinId="8" hidden="1"/>
    <cellStyle name="Hyperlink" xfId="469" builtinId="8" hidden="1"/>
    <cellStyle name="Hyperlink" xfId="471" builtinId="8" hidden="1"/>
    <cellStyle name="Hyperlink" xfId="477" builtinId="8" hidden="1"/>
    <cellStyle name="Hyperlink" xfId="485" builtinId="8" hidden="1"/>
    <cellStyle name="Hyperlink" xfId="493" builtinId="8" hidden="1"/>
    <cellStyle name="Hyperlink" xfId="495" builtinId="8" hidden="1"/>
    <cellStyle name="Hyperlink" xfId="497" builtinId="8" hidden="1"/>
    <cellStyle name="Hyperlink" xfId="507" builtinId="8" hidden="1"/>
    <cellStyle name="Hyperlink" xfId="511" builtinId="8" hidden="1"/>
    <cellStyle name="Hyperlink" xfId="513" builtinId="8" hidden="1"/>
    <cellStyle name="Hyperlink" xfId="521" builtinId="8" hidden="1"/>
    <cellStyle name="Hyperlink" xfId="525" builtinId="8" hidden="1"/>
    <cellStyle name="Hyperlink" xfId="523" builtinId="8" hidden="1"/>
    <cellStyle name="Hyperlink" xfId="487" builtinId="8" hidden="1"/>
    <cellStyle name="Hyperlink" xfId="449" builtinId="8" hidden="1"/>
    <cellStyle name="Hyperlink" xfId="413" builtinId="8" hidden="1"/>
    <cellStyle name="Hyperlink" xfId="375" builtinId="8" hidden="1"/>
    <cellStyle name="Hyperlink" xfId="341" builtinId="8" hidden="1"/>
    <cellStyle name="Hyperlink" xfId="301" builtinId="8" hidden="1"/>
    <cellStyle name="Hyperlink" xfId="265" builtinId="8" hidden="1"/>
    <cellStyle name="Hyperlink" xfId="555" builtinId="8" hidden="1"/>
    <cellStyle name="Hyperlink" xfId="683" builtinId="8" hidden="1"/>
    <cellStyle name="Hyperlink" xfId="827" builtinId="8" hidden="1"/>
    <cellStyle name="Hyperlink" xfId="939" builtinId="8" hidden="1"/>
    <cellStyle name="Hyperlink" xfId="115" builtinId="8" hidden="1"/>
    <cellStyle name="Hyperlink" xfId="131" builtinId="8" hidden="1"/>
    <cellStyle name="Hyperlink" xfId="1507" builtinId="8" hidden="1"/>
    <cellStyle name="Hyperlink" xfId="519" builtinId="8" hidden="1"/>
    <cellStyle name="Hyperlink" xfId="947" builtinId="8" hidden="1"/>
    <cellStyle name="Hyperlink" xfId="1265" builtinId="8" hidden="1"/>
    <cellStyle name="Hyperlink" xfId="961" builtinId="8" hidden="1"/>
    <cellStyle name="Hyperlink" xfId="1097" builtinId="8" hidden="1"/>
    <cellStyle name="Hyperlink" xfId="673" builtinId="8" hidden="1"/>
    <cellStyle name="Hyperlink" xfId="625" builtinId="8" hidden="1"/>
    <cellStyle name="Hyperlink" xfId="573" builtinId="8" hidden="1"/>
    <cellStyle name="Hyperlink" xfId="575" builtinId="8" hidden="1"/>
    <cellStyle name="Hyperlink" xfId="577" builtinId="8" hidden="1"/>
    <cellStyle name="Hyperlink" xfId="585" builtinId="8" hidden="1"/>
    <cellStyle name="Hyperlink" xfId="589" builtinId="8" hidden="1"/>
    <cellStyle name="Hyperlink" xfId="593" builtinId="8" hidden="1"/>
    <cellStyle name="Hyperlink" xfId="553" builtinId="8" hidden="1"/>
    <cellStyle name="Hyperlink" xfId="557" builtinId="8" hidden="1"/>
    <cellStyle name="Hyperlink" xfId="565" builtinId="8" hidden="1"/>
    <cellStyle name="Hyperlink" xfId="543" builtinId="8" hidden="1"/>
    <cellStyle name="Hyperlink" xfId="545" builtinId="8" hidden="1"/>
    <cellStyle name="Hyperlink" xfId="541" builtinId="8" hidden="1"/>
    <cellStyle name="Hyperlink" xfId="535" builtinId="8" hidden="1"/>
    <cellStyle name="Hyperlink" xfId="1529" builtinId="8" hidden="1"/>
    <cellStyle name="Hyperlink" xfId="1533" builtinId="8" hidden="1"/>
    <cellStyle name="Hyperlink" xfId="1537" builtinId="8" hidden="1"/>
    <cellStyle name="Hyperlink" xfId="1539" builtinId="8" hidden="1"/>
    <cellStyle name="Hyperlink" xfId="1545" builtinId="8" hidden="1"/>
    <cellStyle name="Hyperlink" xfId="1547" builtinId="8" hidden="1"/>
    <cellStyle name="Hyperlink" xfId="1549" builtinId="8" hidden="1"/>
    <cellStyle name="Hyperlink" xfId="1555" builtinId="8" hidden="1"/>
    <cellStyle name="Hyperlink" xfId="1561" builtinId="8" hidden="1"/>
    <cellStyle name="Hyperlink" xfId="1565" builtinId="8" hidden="1"/>
    <cellStyle name="Hyperlink" xfId="1559" builtinId="8" hidden="1"/>
    <cellStyle name="Hyperlink" xfId="1551" builtinId="8" hidden="1"/>
    <cellStyle name="Hyperlink" xfId="1535" builtinId="8" hidden="1"/>
    <cellStyle name="Hyperlink" xfId="1527" builtinId="8" hidden="1"/>
    <cellStyle name="Hyperlink" xfId="549" builtinId="8" hidden="1"/>
    <cellStyle name="Hyperlink" xfId="551" builtinId="8" hidden="1"/>
    <cellStyle name="Hyperlink" xfId="591" builtinId="8" hidden="1"/>
    <cellStyle name="Hyperlink" xfId="581" builtinId="8" hidden="1"/>
    <cellStyle name="Hyperlink" xfId="671" builtinId="8" hidden="1"/>
    <cellStyle name="Hyperlink" xfId="661" builtinId="8" hidden="1"/>
    <cellStyle name="Hyperlink" xfId="649" builtinId="8" hidden="1"/>
    <cellStyle name="Hyperlink" xfId="629" builtinId="8" hidden="1"/>
    <cellStyle name="Hyperlink" xfId="615" builtinId="8" hidden="1"/>
    <cellStyle name="Hyperlink" xfId="825" builtinId="8" hidden="1"/>
    <cellStyle name="Hyperlink" xfId="815" builtinId="8" hidden="1"/>
    <cellStyle name="Hyperlink" xfId="805" builtinId="8" hidden="1"/>
    <cellStyle name="Hyperlink" xfId="781" builtinId="8" hidden="1"/>
    <cellStyle name="Hyperlink" xfId="769" builtinId="8" hidden="1"/>
    <cellStyle name="Hyperlink" xfId="759" builtinId="8" hidden="1"/>
    <cellStyle name="Hyperlink" xfId="735" builtinId="8" hidden="1"/>
    <cellStyle name="Hyperlink" xfId="725" builtinId="8" hidden="1"/>
    <cellStyle name="Hyperlink" xfId="713" builtinId="8" hidden="1"/>
    <cellStyle name="Hyperlink" xfId="689" builtinId="8" hidden="1"/>
    <cellStyle name="Hyperlink" xfId="679" builtinId="8" hidden="1"/>
    <cellStyle name="Hyperlink" xfId="881" builtinId="8" hidden="1"/>
    <cellStyle name="Hyperlink" xfId="1053" builtinId="8" hidden="1"/>
    <cellStyle name="Hyperlink" xfId="1137" builtinId="8" hidden="1"/>
    <cellStyle name="Hyperlink" xfId="1223" builtinId="8" hidden="1"/>
    <cellStyle name="Hyperlink" xfId="1207" builtinId="8" hidden="1"/>
    <cellStyle name="Hyperlink" xfId="1193" builtinId="8" hidden="1"/>
    <cellStyle name="Hyperlink" xfId="1169" builtinId="8" hidden="1"/>
    <cellStyle name="Hyperlink" xfId="1157" builtinId="8" hidden="1"/>
    <cellStyle name="Hyperlink" xfId="1145" builtinId="8" hidden="1"/>
    <cellStyle name="Hyperlink" xfId="1217" builtinId="8" hidden="1"/>
    <cellStyle name="Hyperlink" xfId="605" builtinId="8" hidden="1"/>
    <cellStyle name="Hyperlink" xfId="1557" builtinId="8" hidden="1"/>
    <cellStyle name="Hyperlink" xfId="599" builtinId="8" hidden="1"/>
    <cellStyle name="Hyperlink" xfId="777" builtinId="8" hidden="1"/>
    <cellStyle name="Hyperlink" xfId="783" builtinId="8" hidden="1"/>
    <cellStyle name="Hyperlink" xfId="785" builtinId="8" hidden="1"/>
    <cellStyle name="Hyperlink" xfId="793" builtinId="8" hidden="1"/>
    <cellStyle name="Hyperlink" xfId="799" builtinId="8" hidden="1"/>
    <cellStyle name="Hyperlink" xfId="801" builtinId="8" hidden="1"/>
    <cellStyle name="Hyperlink" xfId="809" builtinId="8" hidden="1"/>
    <cellStyle name="Hyperlink" xfId="813" builtinId="8" hidden="1"/>
    <cellStyle name="Hyperlink" xfId="817" builtinId="8" hidden="1"/>
    <cellStyle name="Hyperlink" xfId="823" builtinId="8" hidden="1"/>
    <cellStyle name="Hyperlink" xfId="829" builtinId="8" hidden="1"/>
    <cellStyle name="Hyperlink" xfId="831" builtinId="8" hidden="1"/>
    <cellStyle name="Hyperlink" xfId="753" builtinId="8" hidden="1"/>
    <cellStyle name="Hyperlink" xfId="711" builtinId="8" hidden="1"/>
    <cellStyle name="Hyperlink" xfId="601" builtinId="8" hidden="1"/>
    <cellStyle name="Hyperlink" xfId="609" builtinId="8" hidden="1"/>
    <cellStyle name="Hyperlink" xfId="613" builtinId="8" hidden="1"/>
    <cellStyle name="Hyperlink" xfId="617" builtinId="8" hidden="1"/>
    <cellStyle name="Hyperlink" xfId="623" builtinId="8" hidden="1"/>
    <cellStyle name="Hyperlink" xfId="631" builtinId="8" hidden="1"/>
    <cellStyle name="Hyperlink" xfId="641" builtinId="8" hidden="1"/>
    <cellStyle name="Hyperlink" xfId="645" builtinId="8" hidden="1"/>
    <cellStyle name="Hyperlink" xfId="647" builtinId="8" hidden="1"/>
    <cellStyle name="Hyperlink" xfId="655" builtinId="8" hidden="1"/>
    <cellStyle name="Hyperlink" xfId="657" builtinId="8" hidden="1"/>
    <cellStyle name="Hyperlink" xfId="663" builtinId="8" hidden="1"/>
    <cellStyle name="Hyperlink" xfId="669" builtinId="8" hidden="1"/>
    <cellStyle name="Hyperlink" xfId="633" builtinId="8" hidden="1"/>
    <cellStyle name="Hyperlink" xfId="705" builtinId="8" hidden="1"/>
    <cellStyle name="Hyperlink" xfId="709" builtinId="8" hidden="1"/>
    <cellStyle name="Hyperlink" xfId="721" builtinId="8" hidden="1"/>
    <cellStyle name="Hyperlink" xfId="727" builtinId="8" hidden="1"/>
    <cellStyle name="Hyperlink" xfId="733" builtinId="8" hidden="1"/>
    <cellStyle name="Hyperlink" xfId="737" builtinId="8" hidden="1"/>
    <cellStyle name="Hyperlink" xfId="741" builtinId="8" hidden="1"/>
    <cellStyle name="Hyperlink" xfId="749" builtinId="8" hidden="1"/>
    <cellStyle name="Hyperlink" xfId="751" builtinId="8" hidden="1"/>
    <cellStyle name="Hyperlink" xfId="757" builtinId="8" hidden="1"/>
    <cellStyle name="Hyperlink" xfId="765" builtinId="8" hidden="1"/>
    <cellStyle name="Hyperlink" xfId="767" builtinId="8" hidden="1"/>
    <cellStyle name="Hyperlink" xfId="773" builtinId="8" hidden="1"/>
    <cellStyle name="Hyperlink" xfId="719" builtinId="8" hidden="1"/>
    <cellStyle name="Hyperlink" xfId="677" builtinId="8" hidden="1"/>
    <cellStyle name="Hyperlink" xfId="681" builtinId="8" hidden="1"/>
    <cellStyle name="Hyperlink" xfId="687" builtinId="8" hidden="1"/>
    <cellStyle name="Hyperlink" xfId="693" builtinId="8" hidden="1"/>
    <cellStyle name="Hyperlink" xfId="695" builtinId="8" hidden="1"/>
    <cellStyle name="Hyperlink" xfId="703" builtinId="8" hidden="1"/>
    <cellStyle name="Hyperlink" xfId="925" builtinId="8" hidden="1"/>
    <cellStyle name="Hyperlink" xfId="903" builtinId="8" hidden="1"/>
    <cellStyle name="Hyperlink" xfId="839" builtinId="8" hidden="1"/>
    <cellStyle name="Hyperlink" xfId="1009" builtinId="8" hidden="1"/>
    <cellStyle name="Hyperlink" xfId="945" builtinId="8" hidden="1"/>
    <cellStyle name="Hyperlink" xfId="1031" builtinId="8" hidden="1"/>
    <cellStyle name="Insatisfaisant 2" xfId="3" xr:uid="{00000000-0005-0000-0000-000014060000}"/>
    <cellStyle name="Neutre 2" xfId="4" xr:uid="{00000000-0005-0000-0000-000015060000}"/>
    <cellStyle name="Normal" xfId="0" builtinId="0"/>
    <cellStyle name="Normal 2" xfId="2" xr:uid="{00000000-0005-0000-0000-000017060000}"/>
    <cellStyle name="Normal 2 2" xfId="27" xr:uid="{00000000-0005-0000-0000-000018060000}"/>
    <cellStyle name="Normal 3" xfId="5" xr:uid="{00000000-0005-0000-0000-000019060000}"/>
    <cellStyle name="Normal 4" xfId="6" xr:uid="{00000000-0005-0000-0000-00001A060000}"/>
    <cellStyle name="Normal 5" xfId="28" xr:uid="{00000000-0005-0000-0000-00001B060000}"/>
    <cellStyle name="Normal 6" xfId="30" xr:uid="{00000000-0005-0000-0000-00001C060000}"/>
    <cellStyle name="Normal_ChinaStrat_22July10.xls" xfId="29" xr:uid="{00000000-0005-0000-0000-00001D060000}"/>
    <cellStyle name="Normal_Correlations" xfId="1" xr:uid="{00000000-0005-0000-0000-00001E060000}"/>
  </cellStyles>
  <dxfs count="0"/>
  <tableStyles count="0" defaultTableStyle="TableStyleMedium9" defaultPivotStyle="PivotStyleLight16"/>
  <colors>
    <mruColors>
      <color rgb="FFFF9933"/>
      <color rgb="FFFFFF99"/>
      <color rgb="FFEAF1DD"/>
      <color rgb="FFFFFFFF"/>
      <color rgb="FFFFCC00"/>
      <color rgb="FF99CCFF"/>
      <color rgb="FFFFCC99"/>
      <color rgb="FF00FF00"/>
      <color rgb="FFFFFFCC"/>
      <color rgb="FF00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L183"/>
  <sheetViews>
    <sheetView topLeftCell="A135" workbookViewId="0">
      <selection activeCell="G158" sqref="G158"/>
    </sheetView>
  </sheetViews>
  <sheetFormatPr baseColWidth="10" defaultColWidth="10.796875" defaultRowHeight="15"/>
  <cols>
    <col min="1" max="1" width="3.3984375" style="60" customWidth="1"/>
    <col min="2" max="2" width="13.3984375" style="60" customWidth="1"/>
    <col min="3" max="3" width="14" style="60" customWidth="1"/>
    <col min="4" max="4" width="11.3984375" style="60" customWidth="1"/>
    <col min="5" max="5" width="16.59765625" style="60" customWidth="1"/>
    <col min="6" max="6" width="5.3984375" style="60" customWidth="1"/>
    <col min="7" max="7" width="19" style="60" customWidth="1"/>
    <col min="8" max="8" width="16.59765625" style="60" customWidth="1"/>
    <col min="9" max="9" width="10.3984375" style="60" customWidth="1"/>
    <col min="10" max="12" width="10.796875" style="27"/>
    <col min="13" max="16384" width="10.796875" style="26"/>
  </cols>
  <sheetData>
    <row r="1" spans="1:12" ht="20">
      <c r="A1" s="22" t="s">
        <v>0</v>
      </c>
      <c r="B1" s="23"/>
      <c r="C1" s="23"/>
      <c r="D1" s="23"/>
      <c r="E1" s="24"/>
      <c r="F1" s="25"/>
      <c r="G1" s="23"/>
      <c r="H1" s="23"/>
      <c r="I1" s="23"/>
    </row>
    <row r="2" spans="1:12" ht="96" thickBot="1">
      <c r="A2" s="28" t="s">
        <v>1</v>
      </c>
      <c r="B2" s="29" t="s">
        <v>2</v>
      </c>
      <c r="C2" s="29" t="s">
        <v>3</v>
      </c>
      <c r="D2" s="29" t="s">
        <v>4</v>
      </c>
      <c r="E2" s="30" t="s">
        <v>5</v>
      </c>
      <c r="F2" s="31" t="s">
        <v>6</v>
      </c>
      <c r="G2" s="30" t="s">
        <v>7</v>
      </c>
      <c r="H2" s="29" t="s">
        <v>8</v>
      </c>
      <c r="I2" s="29" t="s">
        <v>9</v>
      </c>
    </row>
    <row r="3" spans="1:12" ht="52" thickBot="1">
      <c r="A3" s="32" t="s">
        <v>10</v>
      </c>
      <c r="B3" s="32" t="s">
        <v>10</v>
      </c>
      <c r="C3" s="32" t="s">
        <v>10</v>
      </c>
      <c r="D3" s="32"/>
      <c r="E3" s="32" t="s">
        <v>10</v>
      </c>
      <c r="F3" s="33" t="s">
        <v>10</v>
      </c>
      <c r="G3" s="32" t="s">
        <v>10</v>
      </c>
      <c r="H3" s="32"/>
      <c r="I3" s="34">
        <v>0</v>
      </c>
    </row>
    <row r="4" spans="1:12" ht="34">
      <c r="A4" s="35"/>
      <c r="B4" s="35"/>
      <c r="C4" s="35"/>
      <c r="D4" s="35"/>
      <c r="E4" s="35" t="s">
        <v>11</v>
      </c>
      <c r="F4" s="33" t="s">
        <v>10</v>
      </c>
      <c r="G4" s="33" t="s">
        <v>10</v>
      </c>
      <c r="H4" s="35"/>
      <c r="I4" s="36">
        <f>100/1000000</f>
        <v>1E-4</v>
      </c>
      <c r="J4" s="26"/>
      <c r="K4" s="26"/>
      <c r="L4" s="26"/>
    </row>
    <row r="5" spans="1:12" ht="17">
      <c r="A5" s="37"/>
      <c r="B5" s="37"/>
      <c r="C5" s="38"/>
      <c r="D5" s="35"/>
      <c r="E5" s="35"/>
      <c r="F5" s="39" t="s">
        <v>12</v>
      </c>
      <c r="G5" s="35" t="s">
        <v>13</v>
      </c>
      <c r="H5" s="35"/>
      <c r="I5" s="36">
        <v>4.2500000000000003E-3</v>
      </c>
      <c r="J5" s="26"/>
      <c r="K5" s="26"/>
      <c r="L5" s="26"/>
    </row>
    <row r="6" spans="1:12" ht="17">
      <c r="A6" s="37"/>
      <c r="B6" s="37"/>
      <c r="C6" s="38"/>
      <c r="D6" s="35"/>
      <c r="E6" s="35"/>
      <c r="F6" s="39" t="s">
        <v>14</v>
      </c>
      <c r="G6" s="35" t="s">
        <v>15</v>
      </c>
      <c r="H6" s="35"/>
      <c r="I6" s="36">
        <v>8.2360000000000003E-3</v>
      </c>
      <c r="J6" s="26"/>
      <c r="K6" s="26"/>
      <c r="L6" s="26"/>
    </row>
    <row r="7" spans="1:12" ht="17">
      <c r="A7" s="37"/>
      <c r="B7" s="37"/>
      <c r="C7" s="38"/>
      <c r="D7" s="35"/>
      <c r="E7" s="35" t="s">
        <v>16</v>
      </c>
      <c r="F7" s="39" t="s">
        <v>17</v>
      </c>
      <c r="G7" s="35" t="s">
        <v>18</v>
      </c>
      <c r="H7" s="35"/>
      <c r="I7" s="36">
        <v>1.1783999999999999E-2</v>
      </c>
      <c r="J7" s="26"/>
      <c r="K7" s="26"/>
      <c r="L7" s="26"/>
    </row>
    <row r="8" spans="1:12" ht="17">
      <c r="A8" s="37"/>
      <c r="B8" s="37"/>
      <c r="C8" s="38"/>
      <c r="D8" s="35"/>
      <c r="E8" s="35"/>
      <c r="F8" s="39" t="s">
        <v>12</v>
      </c>
      <c r="G8" s="35" t="s">
        <v>19</v>
      </c>
      <c r="H8" s="35"/>
      <c r="I8" s="40">
        <v>0.13</v>
      </c>
      <c r="J8" s="26"/>
      <c r="K8" s="26"/>
      <c r="L8" s="26"/>
    </row>
    <row r="9" spans="1:12" ht="17">
      <c r="A9" s="37"/>
      <c r="B9" s="37"/>
      <c r="C9" s="38"/>
      <c r="D9" s="35"/>
      <c r="E9" s="35"/>
      <c r="F9" s="39" t="s">
        <v>14</v>
      </c>
      <c r="G9" s="35" t="s">
        <v>20</v>
      </c>
      <c r="H9" s="35"/>
      <c r="I9" s="40">
        <v>0.77300000000000002</v>
      </c>
      <c r="J9" s="26"/>
      <c r="K9" s="26"/>
      <c r="L9" s="26"/>
    </row>
    <row r="10" spans="1:12" ht="17">
      <c r="A10" s="37"/>
      <c r="B10" s="37"/>
      <c r="C10" s="38"/>
      <c r="D10" s="35"/>
      <c r="E10" s="35"/>
      <c r="F10" s="39"/>
      <c r="G10" s="35" t="s">
        <v>21</v>
      </c>
      <c r="H10" s="35"/>
      <c r="I10" s="40">
        <v>1.806</v>
      </c>
      <c r="J10" s="26"/>
      <c r="K10" s="26"/>
      <c r="L10" s="26"/>
    </row>
    <row r="11" spans="1:12" ht="18" thickBot="1">
      <c r="A11" s="37"/>
      <c r="B11" s="37"/>
      <c r="C11" s="41" t="s">
        <v>22</v>
      </c>
      <c r="D11" s="42"/>
      <c r="E11" s="42" t="s">
        <v>23</v>
      </c>
      <c r="F11" s="43" t="s">
        <v>17</v>
      </c>
      <c r="G11" s="42" t="s">
        <v>24</v>
      </c>
      <c r="H11" s="42"/>
      <c r="I11" s="44">
        <v>2.58</v>
      </c>
      <c r="J11" s="26"/>
      <c r="K11" s="26"/>
      <c r="L11" s="26"/>
    </row>
    <row r="12" spans="1:12" ht="17">
      <c r="A12" s="37"/>
      <c r="B12" s="37"/>
      <c r="C12" s="45"/>
      <c r="D12" s="32"/>
      <c r="E12" s="32"/>
      <c r="F12" s="33" t="s">
        <v>12</v>
      </c>
      <c r="G12" s="32" t="s">
        <v>25</v>
      </c>
      <c r="H12" s="32"/>
      <c r="I12" s="44">
        <v>3.6</v>
      </c>
      <c r="J12" s="26"/>
      <c r="K12" s="26"/>
      <c r="L12" s="26"/>
    </row>
    <row r="13" spans="1:12" ht="17">
      <c r="A13" s="37"/>
      <c r="B13" s="37"/>
      <c r="C13" s="38"/>
      <c r="D13" s="35"/>
      <c r="E13" s="35" t="s">
        <v>26</v>
      </c>
      <c r="F13" s="39" t="s">
        <v>17</v>
      </c>
      <c r="G13" s="35" t="s">
        <v>27</v>
      </c>
      <c r="H13" s="35"/>
      <c r="I13" s="40">
        <v>5.335</v>
      </c>
      <c r="J13" s="26"/>
      <c r="K13" s="26"/>
      <c r="L13" s="26"/>
    </row>
    <row r="14" spans="1:12" ht="17">
      <c r="A14" s="37"/>
      <c r="B14" s="37"/>
      <c r="C14" s="38"/>
      <c r="D14" s="35"/>
      <c r="E14" s="35"/>
      <c r="F14" s="39"/>
      <c r="G14" s="35" t="s">
        <v>28</v>
      </c>
      <c r="H14" s="35"/>
      <c r="I14" s="44">
        <v>7.25</v>
      </c>
      <c r="J14" s="26"/>
      <c r="K14" s="26"/>
      <c r="L14" s="26"/>
    </row>
    <row r="15" spans="1:12" ht="17">
      <c r="A15" s="37"/>
      <c r="B15" s="37"/>
      <c r="C15" s="38"/>
      <c r="D15" s="35"/>
      <c r="E15" s="35"/>
      <c r="F15" s="39" t="s">
        <v>12</v>
      </c>
      <c r="G15" s="35" t="s">
        <v>29</v>
      </c>
      <c r="H15" s="35"/>
      <c r="I15" s="40">
        <v>11.625</v>
      </c>
      <c r="J15" s="26"/>
      <c r="K15" s="26"/>
      <c r="L15" s="26"/>
    </row>
    <row r="16" spans="1:12" ht="17">
      <c r="A16" s="37"/>
      <c r="B16" s="37"/>
      <c r="C16" s="38"/>
      <c r="D16" s="35"/>
      <c r="E16" s="35"/>
      <c r="F16" s="39"/>
      <c r="G16" s="35" t="s">
        <v>30</v>
      </c>
      <c r="H16" s="35"/>
      <c r="I16" s="44">
        <v>13.82</v>
      </c>
      <c r="J16" s="26"/>
      <c r="K16" s="26"/>
      <c r="L16" s="26"/>
    </row>
    <row r="17" spans="1:12" ht="17">
      <c r="A17" s="37"/>
      <c r="B17" s="37"/>
      <c r="C17" s="38"/>
      <c r="D17" s="35"/>
      <c r="E17" s="35"/>
      <c r="F17" s="39" t="s">
        <v>14</v>
      </c>
      <c r="G17" s="35" t="s">
        <v>31</v>
      </c>
      <c r="H17" s="35"/>
      <c r="I17" s="44">
        <v>15.99</v>
      </c>
      <c r="J17" s="26"/>
      <c r="K17" s="26"/>
      <c r="L17" s="26"/>
    </row>
    <row r="18" spans="1:12" ht="17">
      <c r="A18" s="37"/>
      <c r="B18" s="37"/>
      <c r="C18" s="38"/>
      <c r="D18" s="35"/>
      <c r="E18" s="35"/>
      <c r="F18" s="39"/>
      <c r="G18" s="35" t="s">
        <v>32</v>
      </c>
      <c r="H18" s="35"/>
      <c r="I18" s="44">
        <v>20.45</v>
      </c>
      <c r="J18" s="26"/>
      <c r="K18" s="26"/>
      <c r="L18" s="26"/>
    </row>
    <row r="19" spans="1:12" ht="18" thickBot="1">
      <c r="A19" s="37"/>
      <c r="B19" s="37"/>
      <c r="C19" s="41" t="s">
        <v>33</v>
      </c>
      <c r="D19" s="42"/>
      <c r="E19" s="42" t="s">
        <v>34</v>
      </c>
      <c r="F19" s="43" t="s">
        <v>17</v>
      </c>
      <c r="G19" s="42" t="s">
        <v>35</v>
      </c>
      <c r="H19" s="42"/>
      <c r="I19" s="44">
        <v>23.04</v>
      </c>
      <c r="J19" s="26"/>
      <c r="K19" s="26"/>
      <c r="L19" s="26"/>
    </row>
    <row r="20" spans="1:12" ht="17">
      <c r="A20" s="37"/>
      <c r="B20" s="37"/>
      <c r="C20" s="45"/>
      <c r="D20" s="32"/>
      <c r="E20" s="32"/>
      <c r="F20" s="33" t="s">
        <v>12</v>
      </c>
      <c r="G20" s="32" t="s">
        <v>36</v>
      </c>
      <c r="H20" s="32"/>
      <c r="I20" s="44">
        <v>27.286149999999999</v>
      </c>
      <c r="J20" s="26"/>
      <c r="K20" s="26"/>
      <c r="L20" s="26"/>
    </row>
    <row r="21" spans="1:12" ht="17">
      <c r="A21" s="37"/>
      <c r="B21" s="37"/>
      <c r="C21" s="38"/>
      <c r="D21" s="35"/>
      <c r="E21" s="35" t="s">
        <v>37</v>
      </c>
      <c r="F21" s="39" t="s">
        <v>17</v>
      </c>
      <c r="G21" s="35" t="s">
        <v>38</v>
      </c>
      <c r="H21" s="35"/>
      <c r="I21" s="44">
        <v>33.904879999999999</v>
      </c>
      <c r="J21" s="26"/>
      <c r="K21" s="26"/>
      <c r="L21" s="26"/>
    </row>
    <row r="22" spans="1:12" ht="17">
      <c r="A22" s="37"/>
      <c r="B22" s="37"/>
      <c r="C22" s="38"/>
      <c r="D22" s="35"/>
      <c r="E22" s="35"/>
      <c r="F22" s="39" t="s">
        <v>12</v>
      </c>
      <c r="G22" s="35" t="s">
        <v>39</v>
      </c>
      <c r="H22" s="35"/>
      <c r="I22" s="44">
        <v>37.71</v>
      </c>
      <c r="J22" s="26"/>
      <c r="K22" s="26"/>
      <c r="L22" s="26"/>
    </row>
    <row r="23" spans="1:12" ht="17">
      <c r="A23" s="37"/>
      <c r="B23" s="37"/>
      <c r="C23" s="38"/>
      <c r="D23" s="35"/>
      <c r="E23" s="35"/>
      <c r="F23" s="39"/>
      <c r="G23" s="35" t="s">
        <v>40</v>
      </c>
      <c r="H23" s="35"/>
      <c r="I23" s="44">
        <v>41.03</v>
      </c>
      <c r="J23" s="26"/>
      <c r="K23" s="26"/>
      <c r="L23" s="26"/>
    </row>
    <row r="24" spans="1:12" ht="17">
      <c r="A24" s="37"/>
      <c r="B24" s="37"/>
      <c r="C24" s="38"/>
      <c r="D24" s="35"/>
      <c r="E24" s="35"/>
      <c r="F24" s="39" t="s">
        <v>14</v>
      </c>
      <c r="G24" s="35" t="s">
        <v>41</v>
      </c>
      <c r="H24" s="35"/>
      <c r="I24" s="44">
        <v>48.070700000000002</v>
      </c>
      <c r="J24" s="26"/>
      <c r="K24" s="26"/>
      <c r="L24" s="26"/>
    </row>
    <row r="25" spans="1:12" ht="17">
      <c r="A25" s="37"/>
      <c r="B25" s="37"/>
      <c r="C25" s="38"/>
      <c r="D25" s="35"/>
      <c r="E25" s="35" t="s">
        <v>42</v>
      </c>
      <c r="F25" s="39" t="s">
        <v>17</v>
      </c>
      <c r="G25" s="35" t="s">
        <v>43</v>
      </c>
      <c r="H25" s="35"/>
      <c r="I25" s="44">
        <v>56.000999999999998</v>
      </c>
      <c r="J25" s="26"/>
      <c r="K25" s="26"/>
      <c r="L25" s="26"/>
    </row>
    <row r="26" spans="1:12" ht="17">
      <c r="A26" s="37"/>
      <c r="B26" s="37"/>
      <c r="C26" s="38"/>
      <c r="D26" s="35"/>
      <c r="E26" s="35"/>
      <c r="F26" s="39" t="s">
        <v>12</v>
      </c>
      <c r="G26" s="35" t="s">
        <v>44</v>
      </c>
      <c r="H26" s="35"/>
      <c r="I26" s="44">
        <v>59.237000000000002</v>
      </c>
      <c r="J26" s="26"/>
      <c r="K26" s="26"/>
      <c r="L26" s="26"/>
    </row>
    <row r="27" spans="1:12" ht="18" thickBot="1">
      <c r="A27" s="37"/>
      <c r="B27" s="37"/>
      <c r="C27" s="38"/>
      <c r="D27" s="35"/>
      <c r="E27" s="35"/>
      <c r="F27" s="39" t="s">
        <v>14</v>
      </c>
      <c r="G27" s="35" t="s">
        <v>45</v>
      </c>
      <c r="H27" s="35"/>
      <c r="I27" s="44">
        <v>61.662999999999997</v>
      </c>
      <c r="J27" s="26"/>
      <c r="K27" s="26"/>
      <c r="L27" s="26"/>
    </row>
    <row r="28" spans="1:12" ht="18" thickBot="1">
      <c r="A28" s="37"/>
      <c r="B28" s="35" t="s">
        <v>46</v>
      </c>
      <c r="C28" s="41" t="s">
        <v>47</v>
      </c>
      <c r="D28" s="42"/>
      <c r="E28" s="42" t="s">
        <v>48</v>
      </c>
      <c r="F28" s="43" t="s">
        <v>17</v>
      </c>
      <c r="G28" s="42" t="s">
        <v>49</v>
      </c>
      <c r="H28" s="46" t="s">
        <v>10</v>
      </c>
      <c r="I28" s="44">
        <v>66.040000000000006</v>
      </c>
      <c r="J28" s="26"/>
      <c r="K28" s="26"/>
      <c r="L28" s="26"/>
    </row>
    <row r="29" spans="1:12" ht="17">
      <c r="A29" s="37"/>
      <c r="B29" s="37"/>
      <c r="C29" s="45"/>
      <c r="D29" s="32"/>
      <c r="E29" s="32"/>
      <c r="F29" s="33"/>
      <c r="G29" s="32"/>
      <c r="H29" s="32" t="s">
        <v>12</v>
      </c>
      <c r="I29" s="47">
        <v>69.91</v>
      </c>
      <c r="J29" s="26"/>
      <c r="K29" s="26"/>
      <c r="L29" s="26"/>
    </row>
    <row r="30" spans="1:12" ht="17">
      <c r="A30" s="37"/>
      <c r="B30" s="37"/>
      <c r="C30" s="38"/>
      <c r="D30" s="35"/>
      <c r="E30" s="35"/>
      <c r="F30" s="39"/>
      <c r="G30" s="35" t="s">
        <v>50</v>
      </c>
      <c r="H30" s="35" t="s">
        <v>17</v>
      </c>
      <c r="I30" s="47">
        <v>72.17</v>
      </c>
      <c r="J30" s="26"/>
      <c r="K30" s="26"/>
      <c r="L30" s="26"/>
    </row>
    <row r="31" spans="1:12" ht="17">
      <c r="A31" s="37"/>
      <c r="B31" s="37"/>
      <c r="C31" s="38"/>
      <c r="D31" s="35"/>
      <c r="E31" s="35"/>
      <c r="F31" s="39"/>
      <c r="G31" s="35"/>
      <c r="H31" s="35" t="s">
        <v>12</v>
      </c>
      <c r="I31" s="47">
        <v>76.38</v>
      </c>
      <c r="J31" s="26"/>
      <c r="K31" s="26"/>
      <c r="L31" s="26"/>
    </row>
    <row r="32" spans="1:12" ht="17">
      <c r="A32" s="37"/>
      <c r="B32" s="37"/>
      <c r="C32" s="38"/>
      <c r="D32" s="35"/>
      <c r="E32" s="35"/>
      <c r="F32" s="39"/>
      <c r="G32" s="35"/>
      <c r="H32" s="35" t="s">
        <v>14</v>
      </c>
      <c r="I32" s="47">
        <v>80.64</v>
      </c>
      <c r="J32" s="26"/>
      <c r="K32" s="26"/>
      <c r="L32" s="26"/>
    </row>
    <row r="33" spans="1:12" ht="17">
      <c r="A33" s="37"/>
      <c r="B33" s="37"/>
      <c r="C33" s="38"/>
      <c r="D33" s="35"/>
      <c r="E33" s="35"/>
      <c r="F33" s="39"/>
      <c r="G33" s="35" t="s">
        <v>51</v>
      </c>
      <c r="H33" s="35" t="s">
        <v>17</v>
      </c>
      <c r="I33" s="44">
        <v>83.65</v>
      </c>
      <c r="J33" s="26"/>
      <c r="K33" s="26"/>
      <c r="L33" s="26"/>
    </row>
    <row r="34" spans="1:12" ht="17">
      <c r="A34" s="37"/>
      <c r="B34" s="37"/>
      <c r="C34" s="38"/>
      <c r="D34" s="35"/>
      <c r="E34" s="35"/>
      <c r="F34" s="39"/>
      <c r="G34" s="35"/>
      <c r="H34" s="35" t="s">
        <v>12</v>
      </c>
      <c r="I34" s="44">
        <v>84.54</v>
      </c>
      <c r="J34" s="26"/>
      <c r="K34" s="26"/>
      <c r="L34" s="26"/>
    </row>
    <row r="35" spans="1:12" ht="17">
      <c r="A35" s="37"/>
      <c r="B35" s="37"/>
      <c r="C35" s="38"/>
      <c r="D35" s="35"/>
      <c r="E35" s="35"/>
      <c r="F35" s="39"/>
      <c r="G35" s="35"/>
      <c r="H35" s="35" t="s">
        <v>14</v>
      </c>
      <c r="I35" s="44">
        <v>85.3</v>
      </c>
      <c r="J35" s="26"/>
      <c r="K35" s="26"/>
      <c r="L35" s="26"/>
    </row>
    <row r="36" spans="1:12" ht="17">
      <c r="A36" s="37"/>
      <c r="B36" s="37"/>
      <c r="C36" s="38"/>
      <c r="D36" s="35"/>
      <c r="E36" s="35"/>
      <c r="F36" s="39"/>
      <c r="G36" s="35" t="s">
        <v>52</v>
      </c>
      <c r="H36" s="35" t="s">
        <v>17</v>
      </c>
      <c r="I36" s="44">
        <v>85.7</v>
      </c>
      <c r="J36" s="26"/>
      <c r="K36" s="26"/>
      <c r="L36" s="26"/>
    </row>
    <row r="37" spans="1:12" ht="17">
      <c r="A37" s="37"/>
      <c r="B37" s="37"/>
      <c r="C37" s="38"/>
      <c r="D37" s="35"/>
      <c r="E37" s="35"/>
      <c r="F37" s="39"/>
      <c r="G37" s="35"/>
      <c r="H37" s="35" t="s">
        <v>12</v>
      </c>
      <c r="I37" s="44">
        <v>87.5</v>
      </c>
      <c r="J37" s="26"/>
      <c r="K37" s="26"/>
      <c r="L37" s="26"/>
    </row>
    <row r="38" spans="1:12" ht="17">
      <c r="A38" s="37"/>
      <c r="B38" s="37"/>
      <c r="C38" s="38"/>
      <c r="D38" s="35"/>
      <c r="E38" s="35"/>
      <c r="F38" s="39"/>
      <c r="G38" s="35"/>
      <c r="H38" s="35" t="s">
        <v>14</v>
      </c>
      <c r="I38" s="44">
        <v>88.09</v>
      </c>
      <c r="J38" s="26"/>
      <c r="K38" s="26"/>
      <c r="L38" s="26"/>
    </row>
    <row r="39" spans="1:12" ht="17">
      <c r="A39" s="37"/>
      <c r="B39" s="37"/>
      <c r="C39" s="38"/>
      <c r="D39" s="35"/>
      <c r="E39" s="35"/>
      <c r="F39" s="39"/>
      <c r="G39" s="35" t="s">
        <v>53</v>
      </c>
      <c r="H39" s="35" t="s">
        <v>17</v>
      </c>
      <c r="I39" s="44">
        <v>89.39</v>
      </c>
      <c r="J39" s="26"/>
      <c r="K39" s="26"/>
      <c r="L39" s="26"/>
    </row>
    <row r="40" spans="1:12" ht="17">
      <c r="A40" s="37"/>
      <c r="B40" s="37"/>
      <c r="C40" s="38"/>
      <c r="D40" s="35"/>
      <c r="E40" s="35"/>
      <c r="F40" s="39"/>
      <c r="G40" s="35"/>
      <c r="H40" s="35" t="s">
        <v>12</v>
      </c>
      <c r="I40" s="44">
        <v>90.27</v>
      </c>
      <c r="J40" s="26"/>
      <c r="K40" s="26"/>
      <c r="L40" s="26"/>
    </row>
    <row r="41" spans="1:12" ht="17">
      <c r="A41" s="37"/>
      <c r="B41" s="37"/>
      <c r="C41" s="38"/>
      <c r="D41" s="35"/>
      <c r="E41" s="35"/>
      <c r="F41" s="39"/>
      <c r="G41" s="35"/>
      <c r="H41" s="35" t="s">
        <v>14</v>
      </c>
      <c r="I41" s="44">
        <v>92.9</v>
      </c>
      <c r="J41" s="26"/>
      <c r="K41" s="26"/>
      <c r="L41" s="26"/>
    </row>
    <row r="42" spans="1:12" ht="17">
      <c r="A42" s="37"/>
      <c r="B42" s="37"/>
      <c r="C42" s="38"/>
      <c r="D42" s="35"/>
      <c r="E42" s="35"/>
      <c r="F42" s="39"/>
      <c r="G42" s="35" t="s">
        <v>54</v>
      </c>
      <c r="H42" s="35" t="s">
        <v>17</v>
      </c>
      <c r="I42" s="44">
        <v>93.9</v>
      </c>
      <c r="J42" s="26"/>
      <c r="K42" s="26"/>
      <c r="L42" s="26"/>
    </row>
    <row r="43" spans="1:12" ht="17">
      <c r="A43" s="37"/>
      <c r="B43" s="37"/>
      <c r="C43" s="38"/>
      <c r="D43" s="35"/>
      <c r="E43" s="35"/>
      <c r="F43" s="39"/>
      <c r="G43" s="35"/>
      <c r="H43" s="35" t="s">
        <v>12</v>
      </c>
      <c r="I43" s="47">
        <v>95.47</v>
      </c>
      <c r="J43" s="26"/>
      <c r="K43" s="26"/>
      <c r="L43" s="26"/>
    </row>
    <row r="44" spans="1:12" ht="17">
      <c r="A44" s="37"/>
      <c r="B44" s="37"/>
      <c r="C44" s="38"/>
      <c r="D44" s="35"/>
      <c r="E44" s="35"/>
      <c r="F44" s="39"/>
      <c r="G44" s="35"/>
      <c r="H44" s="35" t="s">
        <v>14</v>
      </c>
      <c r="I44" s="47">
        <v>96.24</v>
      </c>
      <c r="J44" s="26"/>
      <c r="K44" s="26"/>
      <c r="L44" s="26"/>
    </row>
    <row r="45" spans="1:12" ht="17">
      <c r="A45" s="37"/>
      <c r="B45" s="37"/>
      <c r="C45" s="38"/>
      <c r="D45" s="35"/>
      <c r="E45" s="35" t="s">
        <v>55</v>
      </c>
      <c r="F45" s="39"/>
      <c r="G45" s="35" t="s">
        <v>56</v>
      </c>
      <c r="H45" s="35" t="s">
        <v>17</v>
      </c>
      <c r="I45" s="44">
        <v>100.5</v>
      </c>
      <c r="J45" s="26"/>
      <c r="K45" s="26"/>
      <c r="L45" s="26"/>
    </row>
    <row r="46" spans="1:12" ht="17">
      <c r="A46" s="37"/>
      <c r="B46" s="37"/>
      <c r="C46" s="38"/>
      <c r="D46" s="35"/>
      <c r="E46" s="35"/>
      <c r="F46" s="39"/>
      <c r="G46" s="35"/>
      <c r="H46" s="35" t="s">
        <v>12</v>
      </c>
      <c r="I46" s="44">
        <v>107.59</v>
      </c>
      <c r="J46" s="26"/>
      <c r="K46" s="26"/>
      <c r="L46" s="26"/>
    </row>
    <row r="47" spans="1:12" ht="17">
      <c r="A47" s="37"/>
      <c r="B47" s="37"/>
      <c r="C47" s="38"/>
      <c r="D47" s="35"/>
      <c r="E47" s="35"/>
      <c r="F47" s="39"/>
      <c r="G47" s="35"/>
      <c r="H47" s="35" t="s">
        <v>14</v>
      </c>
      <c r="I47" s="44">
        <v>110.22</v>
      </c>
      <c r="J47" s="26"/>
      <c r="K47" s="26"/>
      <c r="L47" s="26"/>
    </row>
    <row r="48" spans="1:12" ht="17">
      <c r="A48" s="37"/>
      <c r="B48" s="37"/>
      <c r="C48" s="38"/>
      <c r="D48" s="35"/>
      <c r="E48" s="35"/>
      <c r="F48" s="39"/>
      <c r="G48" s="35" t="s">
        <v>57</v>
      </c>
      <c r="H48" s="35" t="s">
        <v>17</v>
      </c>
      <c r="I48" s="44">
        <v>113.2</v>
      </c>
      <c r="J48" s="26"/>
      <c r="K48" s="26"/>
      <c r="L48" s="26"/>
    </row>
    <row r="49" spans="1:12" ht="17">
      <c r="A49" s="37"/>
      <c r="B49" s="37"/>
      <c r="C49" s="38"/>
      <c r="D49" s="35"/>
      <c r="E49" s="35"/>
      <c r="F49" s="39"/>
      <c r="G49" s="35"/>
      <c r="H49" s="48" t="s">
        <v>58</v>
      </c>
      <c r="I49" s="44">
        <v>116.7</v>
      </c>
      <c r="J49" s="26"/>
      <c r="K49" s="26"/>
      <c r="L49" s="26"/>
    </row>
    <row r="50" spans="1:12" ht="17">
      <c r="A50" s="37"/>
      <c r="B50" s="37"/>
      <c r="C50" s="38"/>
      <c r="D50" s="35"/>
      <c r="E50" s="35"/>
      <c r="F50" s="39"/>
      <c r="G50" s="35"/>
      <c r="H50" s="48" t="s">
        <v>12</v>
      </c>
      <c r="I50" s="44">
        <v>118.76</v>
      </c>
      <c r="J50" s="26"/>
      <c r="K50" s="26"/>
      <c r="L50" s="26"/>
    </row>
    <row r="51" spans="1:12" ht="17">
      <c r="A51" s="37"/>
      <c r="B51" s="37"/>
      <c r="C51" s="38"/>
      <c r="D51" s="35"/>
      <c r="E51" s="35"/>
      <c r="F51" s="39"/>
      <c r="G51" s="35" t="s">
        <v>59</v>
      </c>
      <c r="H51" s="48" t="s">
        <v>17</v>
      </c>
      <c r="I51" s="44">
        <v>121.4</v>
      </c>
      <c r="J51" s="26"/>
      <c r="K51" s="26"/>
      <c r="L51" s="26"/>
    </row>
    <row r="52" spans="1:12" ht="17">
      <c r="A52" s="37"/>
      <c r="B52" s="37"/>
      <c r="C52" s="38"/>
      <c r="D52" s="35"/>
      <c r="E52" s="35"/>
      <c r="F52" s="39"/>
      <c r="G52" s="35"/>
      <c r="H52" s="35" t="s">
        <v>12</v>
      </c>
      <c r="I52" s="44">
        <v>125.08</v>
      </c>
      <c r="J52" s="26"/>
      <c r="K52" s="26"/>
      <c r="L52" s="26"/>
    </row>
    <row r="53" spans="1:12" ht="17">
      <c r="A53" s="37"/>
      <c r="B53" s="37"/>
      <c r="C53" s="38"/>
      <c r="D53" s="35"/>
      <c r="E53" s="35"/>
      <c r="F53" s="39"/>
      <c r="G53" s="35" t="s">
        <v>60</v>
      </c>
      <c r="H53" s="35" t="s">
        <v>17</v>
      </c>
      <c r="I53" s="44">
        <v>126.5</v>
      </c>
      <c r="J53" s="26"/>
      <c r="K53" s="26"/>
      <c r="L53" s="26"/>
    </row>
    <row r="54" spans="1:12" ht="17">
      <c r="A54" s="37"/>
      <c r="B54" s="37"/>
      <c r="C54" s="38"/>
      <c r="D54" s="35"/>
      <c r="E54" s="35"/>
      <c r="F54" s="39"/>
      <c r="G54" s="35"/>
      <c r="H54" s="35" t="s">
        <v>12</v>
      </c>
      <c r="I54" s="44">
        <v>129.94</v>
      </c>
      <c r="J54" s="26"/>
      <c r="K54" s="26"/>
      <c r="L54" s="26"/>
    </row>
    <row r="55" spans="1:12" ht="17">
      <c r="A55" s="37"/>
      <c r="B55" s="37"/>
      <c r="C55" s="38"/>
      <c r="D55" s="35"/>
      <c r="E55" s="35"/>
      <c r="F55" s="39"/>
      <c r="G55" s="35" t="s">
        <v>61</v>
      </c>
      <c r="H55" s="35" t="s">
        <v>17</v>
      </c>
      <c r="I55" s="44">
        <v>132.6</v>
      </c>
      <c r="J55" s="26"/>
      <c r="K55" s="26"/>
      <c r="L55" s="26"/>
    </row>
    <row r="56" spans="1:12" ht="17">
      <c r="A56" s="37"/>
      <c r="B56" s="37"/>
      <c r="C56" s="38"/>
      <c r="D56" s="35"/>
      <c r="E56" s="35"/>
      <c r="F56" s="39"/>
      <c r="G56" s="35"/>
      <c r="H56" s="35" t="s">
        <v>12</v>
      </c>
      <c r="I56" s="44">
        <v>135.4</v>
      </c>
      <c r="J56" s="26"/>
      <c r="K56" s="26"/>
      <c r="L56" s="26"/>
    </row>
    <row r="57" spans="1:12" ht="17">
      <c r="A57" s="37"/>
      <c r="B57" s="37"/>
      <c r="C57" s="38"/>
      <c r="D57" s="35"/>
      <c r="E57" s="35"/>
      <c r="F57" s="39"/>
      <c r="G57" s="35" t="s">
        <v>62</v>
      </c>
      <c r="H57" s="35" t="s">
        <v>17</v>
      </c>
      <c r="I57" s="44">
        <v>137.69999999999999</v>
      </c>
      <c r="J57" s="26"/>
      <c r="K57" s="26"/>
      <c r="L57" s="26"/>
    </row>
    <row r="58" spans="1:12" ht="17">
      <c r="A58" s="37"/>
      <c r="B58" s="37"/>
      <c r="C58" s="38"/>
      <c r="D58" s="35"/>
      <c r="E58" s="35"/>
      <c r="F58" s="39"/>
      <c r="G58" s="35"/>
      <c r="H58" s="35" t="s">
        <v>12</v>
      </c>
      <c r="I58" s="44">
        <v>139.91999999999999</v>
      </c>
      <c r="J58" s="26"/>
      <c r="K58" s="26"/>
      <c r="L58" s="26"/>
    </row>
    <row r="59" spans="1:12" ht="17">
      <c r="A59" s="37"/>
      <c r="B59" s="37"/>
      <c r="C59" s="38"/>
      <c r="D59" s="35"/>
      <c r="E59" s="35"/>
      <c r="F59" s="39"/>
      <c r="G59" s="35"/>
      <c r="H59" s="35" t="s">
        <v>14</v>
      </c>
      <c r="I59" s="44">
        <v>141.38</v>
      </c>
      <c r="J59" s="26"/>
      <c r="K59" s="26"/>
      <c r="L59" s="26"/>
    </row>
    <row r="60" spans="1:12" ht="18" thickBot="1">
      <c r="A60" s="37"/>
      <c r="B60" s="37"/>
      <c r="C60" s="41" t="s">
        <v>63</v>
      </c>
      <c r="D60" s="42"/>
      <c r="E60" s="42" t="s">
        <v>64</v>
      </c>
      <c r="F60" s="43"/>
      <c r="G60" s="42" t="s">
        <v>65</v>
      </c>
      <c r="H60" s="42" t="s">
        <v>17</v>
      </c>
      <c r="I60" s="49">
        <v>143.1</v>
      </c>
      <c r="J60" s="26"/>
      <c r="K60" s="26"/>
      <c r="L60" s="26"/>
    </row>
    <row r="61" spans="1:12" ht="17">
      <c r="A61" s="37"/>
      <c r="B61" s="37"/>
      <c r="C61" s="45"/>
      <c r="D61" s="32"/>
      <c r="E61" s="32"/>
      <c r="F61" s="33"/>
      <c r="G61" s="32"/>
      <c r="H61" s="32" t="s">
        <v>12</v>
      </c>
      <c r="I61" s="47">
        <v>145.05000000000001</v>
      </c>
      <c r="J61" s="26"/>
      <c r="K61" s="26"/>
      <c r="L61" s="26"/>
    </row>
    <row r="62" spans="1:12" ht="17">
      <c r="A62" s="37"/>
      <c r="B62" s="37"/>
      <c r="C62" s="38"/>
      <c r="D62" s="35"/>
      <c r="E62" s="35"/>
      <c r="F62" s="39"/>
      <c r="G62" s="35" t="s">
        <v>66</v>
      </c>
      <c r="H62" s="35" t="s">
        <v>17</v>
      </c>
      <c r="I62" s="47">
        <v>149.24</v>
      </c>
      <c r="J62" s="26"/>
      <c r="K62" s="26"/>
      <c r="L62" s="26"/>
    </row>
    <row r="63" spans="1:12" ht="17">
      <c r="A63" s="37"/>
      <c r="B63" s="37"/>
      <c r="C63" s="38"/>
      <c r="D63" s="35"/>
      <c r="E63" s="35"/>
      <c r="F63" s="39"/>
      <c r="G63" s="35"/>
      <c r="H63" s="35" t="s">
        <v>12</v>
      </c>
      <c r="I63" s="47">
        <v>152.04</v>
      </c>
      <c r="J63" s="26"/>
      <c r="K63" s="26"/>
      <c r="L63" s="26"/>
    </row>
    <row r="64" spans="1:12" ht="17">
      <c r="A64" s="37"/>
      <c r="B64" s="37"/>
      <c r="C64" s="38"/>
      <c r="D64" s="35"/>
      <c r="E64" s="35"/>
      <c r="F64" s="39"/>
      <c r="G64" s="35" t="s">
        <v>67</v>
      </c>
      <c r="H64" s="35" t="s">
        <v>17</v>
      </c>
      <c r="I64" s="47">
        <v>154.78</v>
      </c>
      <c r="J64" s="26"/>
      <c r="K64" s="26"/>
      <c r="L64" s="26"/>
    </row>
    <row r="65" spans="1:12" ht="17">
      <c r="A65" s="37"/>
      <c r="B65" s="37"/>
      <c r="C65" s="38"/>
      <c r="D65" s="35"/>
      <c r="E65" s="35"/>
      <c r="F65" s="39"/>
      <c r="G65" s="35"/>
      <c r="H65" s="35" t="s">
        <v>12</v>
      </c>
      <c r="I65" s="47">
        <v>157.96</v>
      </c>
      <c r="J65" s="26"/>
      <c r="K65" s="26"/>
      <c r="L65" s="26"/>
    </row>
    <row r="66" spans="1:12" ht="17">
      <c r="A66" s="37"/>
      <c r="B66" s="37"/>
      <c r="C66" s="38"/>
      <c r="D66" s="35"/>
      <c r="E66" s="35"/>
      <c r="F66" s="39"/>
      <c r="G66" s="35"/>
      <c r="H66" s="35" t="s">
        <v>14</v>
      </c>
      <c r="I66" s="44">
        <v>159.1</v>
      </c>
      <c r="J66" s="26"/>
      <c r="K66" s="26"/>
      <c r="L66" s="26"/>
    </row>
    <row r="67" spans="1:12" ht="17">
      <c r="A67" s="37"/>
      <c r="B67" s="37"/>
      <c r="C67" s="38"/>
      <c r="D67" s="35"/>
      <c r="E67" s="35" t="s">
        <v>55</v>
      </c>
      <c r="F67" s="39"/>
      <c r="G67" s="35" t="s">
        <v>68</v>
      </c>
      <c r="H67" s="35" t="s">
        <v>17</v>
      </c>
      <c r="I67" s="47">
        <v>161.53</v>
      </c>
      <c r="J67" s="26"/>
      <c r="K67" s="26"/>
      <c r="L67" s="26"/>
    </row>
    <row r="68" spans="1:12" ht="17">
      <c r="A68" s="37"/>
      <c r="B68" s="37"/>
      <c r="C68" s="38"/>
      <c r="D68" s="35"/>
      <c r="E68" s="35"/>
      <c r="F68" s="39"/>
      <c r="G68" s="35"/>
      <c r="H68" s="35" t="s">
        <v>12</v>
      </c>
      <c r="I68" s="47">
        <v>162.65</v>
      </c>
      <c r="J68" s="26"/>
      <c r="K68" s="26"/>
      <c r="L68" s="26"/>
    </row>
    <row r="69" spans="1:12" ht="17">
      <c r="A69" s="37"/>
      <c r="B69" s="37"/>
      <c r="C69" s="38"/>
      <c r="D69" s="35"/>
      <c r="E69" s="35"/>
      <c r="F69" s="39"/>
      <c r="G69" s="35"/>
      <c r="H69" s="35" t="s">
        <v>14</v>
      </c>
      <c r="I69" s="47">
        <v>163.47</v>
      </c>
      <c r="J69" s="26"/>
      <c r="K69" s="26"/>
      <c r="L69" s="26"/>
    </row>
    <row r="70" spans="1:12" ht="17">
      <c r="A70" s="37"/>
      <c r="B70" s="37"/>
      <c r="C70" s="38"/>
      <c r="D70" s="35"/>
      <c r="E70" s="35"/>
      <c r="F70" s="39"/>
      <c r="G70" s="35" t="s">
        <v>69</v>
      </c>
      <c r="H70" s="35" t="s">
        <v>17</v>
      </c>
      <c r="I70" s="47">
        <v>165.29</v>
      </c>
      <c r="J70" s="26"/>
      <c r="K70" s="26"/>
      <c r="L70" s="26"/>
    </row>
    <row r="71" spans="1:12" ht="17">
      <c r="A71" s="37"/>
      <c r="B71" s="37"/>
      <c r="C71" s="38"/>
      <c r="D71" s="35"/>
      <c r="E71" s="35"/>
      <c r="F71" s="39"/>
      <c r="G71" s="35"/>
      <c r="H71" s="35" t="s">
        <v>12</v>
      </c>
      <c r="I71" s="47">
        <v>165.83</v>
      </c>
      <c r="J71" s="26"/>
      <c r="K71" s="26"/>
      <c r="L71" s="26"/>
    </row>
    <row r="72" spans="1:12" ht="17">
      <c r="A72" s="37"/>
      <c r="B72" s="37"/>
      <c r="C72" s="38"/>
      <c r="D72" s="35"/>
      <c r="E72" s="35"/>
      <c r="F72" s="39"/>
      <c r="G72" s="35"/>
      <c r="H72" s="35" t="s">
        <v>14</v>
      </c>
      <c r="I72" s="47">
        <v>166.97</v>
      </c>
      <c r="J72" s="26"/>
      <c r="K72" s="26"/>
      <c r="L72" s="26"/>
    </row>
    <row r="73" spans="1:12" ht="17">
      <c r="A73" s="37"/>
      <c r="B73" s="37"/>
      <c r="C73" s="38"/>
      <c r="D73" s="35"/>
      <c r="E73" s="35"/>
      <c r="F73" s="39"/>
      <c r="G73" s="35" t="s">
        <v>70</v>
      </c>
      <c r="H73" s="35" t="s">
        <v>17</v>
      </c>
      <c r="I73" s="47">
        <v>168.17</v>
      </c>
      <c r="J73" s="26"/>
      <c r="K73" s="26"/>
      <c r="L73" s="26"/>
    </row>
    <row r="74" spans="1:12" ht="17">
      <c r="A74" s="37"/>
      <c r="B74" s="37"/>
      <c r="C74" s="38"/>
      <c r="D74" s="35"/>
      <c r="E74" s="35"/>
      <c r="F74" s="39"/>
      <c r="G74" s="35"/>
      <c r="H74" s="35" t="s">
        <v>12</v>
      </c>
      <c r="I74" s="47">
        <v>169.74</v>
      </c>
      <c r="J74" s="26"/>
      <c r="K74" s="26"/>
      <c r="L74" s="26"/>
    </row>
    <row r="75" spans="1:12" ht="17">
      <c r="A75" s="37"/>
      <c r="B75" s="37"/>
      <c r="C75" s="38"/>
      <c r="D75" s="35"/>
      <c r="E75" s="35"/>
      <c r="F75" s="39"/>
      <c r="G75" s="35" t="s">
        <v>71</v>
      </c>
      <c r="H75" s="35" t="s">
        <v>17</v>
      </c>
      <c r="I75" s="44">
        <v>170.9</v>
      </c>
      <c r="J75" s="26"/>
      <c r="K75" s="26"/>
      <c r="L75" s="26"/>
    </row>
    <row r="76" spans="1:12" ht="17">
      <c r="A76" s="37"/>
      <c r="B76" s="37"/>
      <c r="C76" s="38"/>
      <c r="D76" s="35"/>
      <c r="E76" s="35"/>
      <c r="F76" s="39"/>
      <c r="G76" s="35"/>
      <c r="H76" s="35" t="s">
        <v>12</v>
      </c>
      <c r="I76" s="44">
        <v>171.5</v>
      </c>
      <c r="J76" s="26"/>
      <c r="K76" s="26"/>
      <c r="L76" s="26"/>
    </row>
    <row r="77" spans="1:12" ht="17">
      <c r="A77" s="37"/>
      <c r="B77" s="37"/>
      <c r="C77" s="38"/>
      <c r="D77" s="35"/>
      <c r="E77" s="35"/>
      <c r="F77" s="39"/>
      <c r="G77" s="35"/>
      <c r="H77" s="35" t="s">
        <v>14</v>
      </c>
      <c r="I77" s="44">
        <v>172.7</v>
      </c>
      <c r="J77" s="26"/>
      <c r="K77" s="26"/>
      <c r="L77" s="26"/>
    </row>
    <row r="78" spans="1:12" ht="17">
      <c r="A78" s="37"/>
      <c r="B78" s="37"/>
      <c r="C78" s="38"/>
      <c r="D78" s="35"/>
      <c r="E78" s="35" t="s">
        <v>72</v>
      </c>
      <c r="F78" s="39"/>
      <c r="G78" s="35" t="s">
        <v>73</v>
      </c>
      <c r="H78" s="35" t="s">
        <v>17</v>
      </c>
      <c r="I78" s="44">
        <v>174.7</v>
      </c>
      <c r="J78" s="26"/>
      <c r="K78" s="26"/>
      <c r="L78" s="26"/>
    </row>
    <row r="79" spans="1:12" ht="17">
      <c r="A79" s="37"/>
      <c r="B79" s="37"/>
      <c r="C79" s="38"/>
      <c r="D79" s="35"/>
      <c r="E79" s="35"/>
      <c r="F79" s="39"/>
      <c r="G79" s="35"/>
      <c r="H79" s="35" t="s">
        <v>12</v>
      </c>
      <c r="I79" s="44">
        <v>179.82</v>
      </c>
      <c r="J79" s="26"/>
      <c r="K79" s="26"/>
      <c r="L79" s="26"/>
    </row>
    <row r="80" spans="1:12" ht="17">
      <c r="A80" s="37"/>
      <c r="B80" s="37"/>
      <c r="C80" s="38"/>
      <c r="D80" s="35"/>
      <c r="E80" s="35"/>
      <c r="F80" s="39"/>
      <c r="G80" s="35"/>
      <c r="H80" s="48" t="s">
        <v>74</v>
      </c>
      <c r="I80" s="50">
        <v>181.17</v>
      </c>
      <c r="J80" s="26"/>
      <c r="K80" s="26"/>
      <c r="L80" s="26"/>
    </row>
    <row r="81" spans="1:12" ht="17">
      <c r="A81" s="37"/>
      <c r="B81" s="37"/>
      <c r="C81" s="38"/>
      <c r="D81" s="35"/>
      <c r="E81" s="35"/>
      <c r="F81" s="39"/>
      <c r="G81" s="35" t="s">
        <v>75</v>
      </c>
      <c r="H81" s="35" t="s">
        <v>17</v>
      </c>
      <c r="I81" s="44">
        <v>184.2</v>
      </c>
      <c r="J81" s="26"/>
      <c r="K81" s="26"/>
      <c r="L81" s="26"/>
    </row>
    <row r="82" spans="1:12" ht="17">
      <c r="A82" s="37"/>
      <c r="B82" s="37"/>
      <c r="C82" s="38"/>
      <c r="D82" s="35"/>
      <c r="E82" s="35"/>
      <c r="F82" s="39"/>
      <c r="G82" s="35"/>
      <c r="H82" s="35" t="s">
        <v>76</v>
      </c>
      <c r="I82" s="44">
        <v>188</v>
      </c>
      <c r="J82" s="26"/>
      <c r="K82" s="26"/>
      <c r="L82" s="26"/>
    </row>
    <row r="83" spans="1:12" ht="17">
      <c r="A83" s="37"/>
      <c r="B83" s="37"/>
      <c r="C83" s="38"/>
      <c r="D83" s="35"/>
      <c r="E83" s="35"/>
      <c r="F83" s="39"/>
      <c r="G83" s="35" t="s">
        <v>77</v>
      </c>
      <c r="H83" s="35" t="s">
        <v>78</v>
      </c>
      <c r="I83" s="44">
        <v>192.9</v>
      </c>
      <c r="J83" s="26"/>
      <c r="K83" s="26"/>
      <c r="L83" s="26"/>
    </row>
    <row r="84" spans="1:12" ht="17">
      <c r="A84" s="37"/>
      <c r="B84" s="37"/>
      <c r="C84" s="38"/>
      <c r="D84" s="35"/>
      <c r="E84" s="35"/>
      <c r="F84" s="39"/>
      <c r="G84" s="35"/>
      <c r="H84" s="35" t="s">
        <v>12</v>
      </c>
      <c r="I84" s="47">
        <v>196.37</v>
      </c>
      <c r="J84" s="26"/>
      <c r="K84" s="26"/>
      <c r="L84" s="26"/>
    </row>
    <row r="85" spans="1:12" ht="17">
      <c r="A85" s="37"/>
      <c r="B85" s="37"/>
      <c r="C85" s="38"/>
      <c r="D85" s="35"/>
      <c r="E85" s="35"/>
      <c r="F85" s="39"/>
      <c r="G85" s="35" t="s">
        <v>79</v>
      </c>
      <c r="H85" s="35" t="s">
        <v>17</v>
      </c>
      <c r="I85" s="47">
        <v>199.46</v>
      </c>
      <c r="J85" s="26"/>
      <c r="K85" s="26"/>
      <c r="L85" s="26"/>
    </row>
    <row r="86" spans="1:12" ht="18" thickBot="1">
      <c r="A86" s="37"/>
      <c r="B86" s="37"/>
      <c r="C86" s="38" t="s">
        <v>80</v>
      </c>
      <c r="D86" s="35"/>
      <c r="E86" s="35" t="s">
        <v>64</v>
      </c>
      <c r="F86" s="39"/>
      <c r="G86" s="35" t="s">
        <v>81</v>
      </c>
      <c r="H86" s="35" t="s">
        <v>82</v>
      </c>
      <c r="I86" s="47">
        <v>201.36</v>
      </c>
      <c r="J86" s="26"/>
      <c r="K86" s="26"/>
      <c r="L86" s="26"/>
    </row>
    <row r="87" spans="1:12" ht="17">
      <c r="A87" s="37"/>
      <c r="B87" s="37"/>
      <c r="C87" s="45"/>
      <c r="D87" s="32"/>
      <c r="E87" s="32"/>
      <c r="F87" s="33"/>
      <c r="G87" s="32" t="s">
        <v>83</v>
      </c>
      <c r="H87" s="46" t="s">
        <v>82</v>
      </c>
      <c r="I87" s="51">
        <v>205.74</v>
      </c>
      <c r="J87" s="26"/>
      <c r="K87" s="26"/>
      <c r="L87" s="26"/>
    </row>
    <row r="88" spans="1:12" ht="17">
      <c r="A88" s="37"/>
      <c r="B88" s="37"/>
      <c r="C88" s="38"/>
      <c r="D88" s="35"/>
      <c r="E88" s="35"/>
      <c r="F88" s="39"/>
      <c r="G88" s="35"/>
      <c r="H88" s="35" t="s">
        <v>84</v>
      </c>
      <c r="I88" s="47">
        <v>214.03</v>
      </c>
      <c r="J88" s="26"/>
      <c r="K88" s="26"/>
      <c r="L88" s="26"/>
    </row>
    <row r="89" spans="1:12" ht="17">
      <c r="A89" s="37"/>
      <c r="B89" s="37"/>
      <c r="C89" s="38"/>
      <c r="D89" s="35"/>
      <c r="E89" s="35"/>
      <c r="F89" s="39"/>
      <c r="G89" s="35"/>
      <c r="H89" s="35" t="s">
        <v>85</v>
      </c>
      <c r="I89" s="47">
        <v>217.49</v>
      </c>
      <c r="J89" s="26"/>
      <c r="K89" s="26"/>
      <c r="L89" s="26"/>
    </row>
    <row r="90" spans="1:12" ht="17">
      <c r="A90" s="37"/>
      <c r="B90" s="37"/>
      <c r="C90" s="38"/>
      <c r="D90" s="35"/>
      <c r="E90" s="35"/>
      <c r="F90" s="39"/>
      <c r="G90" s="35" t="s">
        <v>86</v>
      </c>
      <c r="H90" s="35" t="s">
        <v>87</v>
      </c>
      <c r="I90" s="44">
        <v>227.3</v>
      </c>
      <c r="J90" s="26"/>
      <c r="K90" s="26"/>
      <c r="L90" s="26"/>
    </row>
    <row r="91" spans="1:12" ht="17">
      <c r="A91" s="37"/>
      <c r="B91" s="37"/>
      <c r="C91" s="38"/>
      <c r="D91" s="35"/>
      <c r="E91" s="35"/>
      <c r="F91" s="39"/>
      <c r="G91" s="35"/>
      <c r="H91" s="35" t="s">
        <v>88</v>
      </c>
      <c r="I91" s="44">
        <v>233.6</v>
      </c>
      <c r="J91" s="26"/>
      <c r="K91" s="26"/>
      <c r="L91" s="26"/>
    </row>
    <row r="92" spans="1:12" ht="17">
      <c r="A92" s="37"/>
      <c r="B92" s="37"/>
      <c r="C92" s="38"/>
      <c r="D92" s="35"/>
      <c r="E92" s="35" t="s">
        <v>55</v>
      </c>
      <c r="F92" s="39"/>
      <c r="G92" s="35" t="s">
        <v>89</v>
      </c>
      <c r="H92" s="35" t="s">
        <v>90</v>
      </c>
      <c r="I92" s="44">
        <v>237</v>
      </c>
      <c r="J92" s="26"/>
      <c r="K92" s="26"/>
      <c r="L92" s="26"/>
    </row>
    <row r="93" spans="1:12" ht="34">
      <c r="A93" s="37"/>
      <c r="B93" s="37"/>
      <c r="C93" s="38"/>
      <c r="D93" s="35"/>
      <c r="E93" s="35"/>
      <c r="F93" s="39"/>
      <c r="G93" s="35"/>
      <c r="H93" s="35" t="s">
        <v>91</v>
      </c>
      <c r="I93" s="44">
        <v>239.48</v>
      </c>
      <c r="J93" s="26"/>
      <c r="K93" s="26"/>
      <c r="L93" s="26"/>
    </row>
    <row r="94" spans="1:12" ht="17">
      <c r="A94" s="37"/>
      <c r="B94" s="37"/>
      <c r="C94" s="38"/>
      <c r="D94" s="35"/>
      <c r="E94" s="35"/>
      <c r="F94" s="39"/>
      <c r="G94" s="35" t="s">
        <v>92</v>
      </c>
      <c r="H94" s="35" t="s">
        <v>93</v>
      </c>
      <c r="I94" s="44">
        <v>241.46</v>
      </c>
      <c r="J94" s="26"/>
      <c r="K94" s="26"/>
      <c r="L94" s="26"/>
    </row>
    <row r="95" spans="1:12" ht="17">
      <c r="A95" s="37"/>
      <c r="B95" s="37"/>
      <c r="C95" s="38"/>
      <c r="D95" s="35"/>
      <c r="E95" s="35"/>
      <c r="F95" s="39"/>
      <c r="G95" s="35"/>
      <c r="H95" s="35" t="s">
        <v>94</v>
      </c>
      <c r="I95" s="44">
        <v>243.33</v>
      </c>
      <c r="J95" s="26"/>
      <c r="K95" s="26"/>
      <c r="L95" s="26"/>
    </row>
    <row r="96" spans="1:12" ht="17">
      <c r="A96" s="37"/>
      <c r="B96" s="37"/>
      <c r="C96" s="38"/>
      <c r="D96" s="35"/>
      <c r="E96" s="35"/>
      <c r="F96" s="39"/>
      <c r="G96" s="35"/>
      <c r="H96" s="35" t="s">
        <v>95</v>
      </c>
      <c r="I96" s="44">
        <v>244.24</v>
      </c>
      <c r="J96" s="26"/>
      <c r="K96" s="26"/>
      <c r="L96" s="26"/>
    </row>
    <row r="97" spans="1:12" ht="17">
      <c r="A97" s="37"/>
      <c r="B97" s="37"/>
      <c r="C97" s="38"/>
      <c r="D97" s="35"/>
      <c r="E97" s="35"/>
      <c r="F97" s="39"/>
      <c r="G97" s="35"/>
      <c r="H97" s="35" t="s">
        <v>96</v>
      </c>
      <c r="I97" s="44">
        <v>244.99</v>
      </c>
      <c r="J97" s="26"/>
      <c r="K97" s="26"/>
      <c r="L97" s="26"/>
    </row>
    <row r="98" spans="1:12" ht="17">
      <c r="A98" s="37"/>
      <c r="B98" s="37"/>
      <c r="C98" s="38"/>
      <c r="D98" s="35"/>
      <c r="E98" s="35" t="s">
        <v>72</v>
      </c>
      <c r="F98" s="39"/>
      <c r="G98" s="35" t="s">
        <v>97</v>
      </c>
      <c r="H98" s="35" t="s">
        <v>98</v>
      </c>
      <c r="I98" s="44">
        <v>246.7</v>
      </c>
      <c r="J98" s="26"/>
      <c r="K98" s="26"/>
      <c r="L98" s="26"/>
    </row>
    <row r="99" spans="1:12" ht="17">
      <c r="A99" s="37"/>
      <c r="B99" s="37"/>
      <c r="C99" s="38"/>
      <c r="D99" s="35"/>
      <c r="E99" s="35"/>
      <c r="F99" s="39"/>
      <c r="G99" s="35"/>
      <c r="H99" s="35" t="s">
        <v>99</v>
      </c>
      <c r="I99" s="44">
        <v>248.1</v>
      </c>
      <c r="J99" s="26"/>
      <c r="K99" s="26"/>
      <c r="L99" s="26"/>
    </row>
    <row r="100" spans="1:12" ht="17">
      <c r="A100" s="37"/>
      <c r="B100" s="37"/>
      <c r="C100" s="38"/>
      <c r="D100" s="35"/>
      <c r="E100" s="35"/>
      <c r="F100" s="39"/>
      <c r="G100" s="35" t="s">
        <v>100</v>
      </c>
      <c r="H100" s="35" t="s">
        <v>101</v>
      </c>
      <c r="I100" s="44">
        <v>249.88</v>
      </c>
      <c r="J100" s="26"/>
      <c r="K100" s="26"/>
      <c r="L100" s="26"/>
    </row>
    <row r="101" spans="1:12" ht="17">
      <c r="A101" s="37"/>
      <c r="B101" s="37"/>
      <c r="C101" s="38"/>
      <c r="D101" s="35"/>
      <c r="E101" s="35"/>
      <c r="F101" s="39"/>
      <c r="G101" s="35"/>
      <c r="H101" s="35" t="s">
        <v>102</v>
      </c>
      <c r="I101" s="44">
        <v>250.5</v>
      </c>
      <c r="J101" s="26"/>
      <c r="K101" s="26"/>
      <c r="L101" s="26"/>
    </row>
    <row r="102" spans="1:12" ht="18" thickBot="1">
      <c r="A102" s="37"/>
      <c r="B102" s="35" t="s">
        <v>103</v>
      </c>
      <c r="C102" s="41" t="s">
        <v>104</v>
      </c>
      <c r="D102" s="42"/>
      <c r="E102" s="42" t="s">
        <v>64</v>
      </c>
      <c r="F102" s="43"/>
      <c r="G102" s="42" t="s">
        <v>105</v>
      </c>
      <c r="H102" s="42" t="s">
        <v>106</v>
      </c>
      <c r="I102" s="49">
        <v>251.9</v>
      </c>
      <c r="J102" s="26"/>
      <c r="K102" s="26"/>
      <c r="L102" s="26"/>
    </row>
    <row r="103" spans="1:12" ht="17">
      <c r="A103" s="37"/>
      <c r="B103" s="37"/>
      <c r="C103" s="45"/>
      <c r="D103" s="32"/>
      <c r="E103" s="32"/>
      <c r="F103" s="33"/>
      <c r="G103" s="32" t="s">
        <v>107</v>
      </c>
      <c r="H103" s="32"/>
      <c r="I103" s="52">
        <v>254.24260000000001</v>
      </c>
      <c r="J103" s="26"/>
      <c r="K103" s="26"/>
      <c r="L103" s="26"/>
    </row>
    <row r="104" spans="1:12" ht="17">
      <c r="A104" s="37"/>
      <c r="B104" s="37"/>
      <c r="C104" s="38"/>
      <c r="D104" s="35"/>
      <c r="E104" s="35" t="s">
        <v>108</v>
      </c>
      <c r="F104" s="39"/>
      <c r="G104" s="35" t="s">
        <v>109</v>
      </c>
      <c r="H104" s="35"/>
      <c r="I104" s="44">
        <v>259.54700000000003</v>
      </c>
      <c r="J104" s="26"/>
      <c r="K104" s="26"/>
      <c r="L104" s="26"/>
    </row>
    <row r="105" spans="1:12" ht="17">
      <c r="A105" s="37"/>
      <c r="B105" s="37"/>
      <c r="C105" s="38"/>
      <c r="D105" s="35"/>
      <c r="E105" s="35"/>
      <c r="F105" s="39"/>
      <c r="G105" s="35" t="s">
        <v>110</v>
      </c>
      <c r="H105" s="35"/>
      <c r="I105" s="44">
        <v>264.34100000000001</v>
      </c>
      <c r="J105" s="26"/>
      <c r="K105" s="26"/>
      <c r="L105" s="26"/>
    </row>
    <row r="106" spans="1:12" ht="17">
      <c r="A106" s="37"/>
      <c r="B106" s="37"/>
      <c r="C106" s="38"/>
      <c r="D106" s="35"/>
      <c r="E106" s="35"/>
      <c r="F106" s="39"/>
      <c r="G106" s="35" t="s">
        <v>111</v>
      </c>
      <c r="H106" s="35"/>
      <c r="I106" s="44">
        <v>269.20999999999998</v>
      </c>
      <c r="J106" s="26"/>
      <c r="K106" s="26"/>
      <c r="L106" s="26"/>
    </row>
    <row r="107" spans="1:12" ht="17">
      <c r="A107" s="37"/>
      <c r="B107" s="37"/>
      <c r="C107" s="38"/>
      <c r="D107" s="35"/>
      <c r="E107" s="35" t="s">
        <v>112</v>
      </c>
      <c r="F107" s="39"/>
      <c r="G107" s="35" t="s">
        <v>113</v>
      </c>
      <c r="H107" s="35"/>
      <c r="I107" s="44">
        <v>274.37</v>
      </c>
      <c r="J107" s="26"/>
      <c r="K107" s="26"/>
      <c r="L107" s="26"/>
    </row>
    <row r="108" spans="1:12" ht="17">
      <c r="A108" s="37"/>
      <c r="B108" s="37"/>
      <c r="C108" s="38"/>
      <c r="D108" s="35"/>
      <c r="E108" s="35"/>
      <c r="F108" s="39"/>
      <c r="G108" s="35" t="s">
        <v>114</v>
      </c>
      <c r="H108" s="35"/>
      <c r="I108" s="44">
        <v>283.3</v>
      </c>
      <c r="J108" s="26"/>
      <c r="K108" s="26"/>
      <c r="L108" s="26"/>
    </row>
    <row r="109" spans="1:12" ht="17">
      <c r="A109" s="37"/>
      <c r="B109" s="37"/>
      <c r="C109" s="38"/>
      <c r="D109" s="35"/>
      <c r="E109" s="35"/>
      <c r="F109" s="39"/>
      <c r="G109" s="35" t="s">
        <v>115</v>
      </c>
      <c r="H109" s="35"/>
      <c r="I109" s="44">
        <v>290.51</v>
      </c>
      <c r="J109" s="26"/>
      <c r="K109" s="26"/>
      <c r="L109" s="26"/>
    </row>
    <row r="110" spans="1:12" ht="17">
      <c r="A110" s="37"/>
      <c r="B110" s="37"/>
      <c r="C110" s="38"/>
      <c r="D110" s="35"/>
      <c r="E110" s="35"/>
      <c r="F110" s="39"/>
      <c r="G110" s="35" t="s">
        <v>116</v>
      </c>
      <c r="H110" s="35"/>
      <c r="I110" s="44">
        <v>293.52</v>
      </c>
      <c r="J110" s="26"/>
      <c r="K110" s="26"/>
      <c r="L110" s="26"/>
    </row>
    <row r="111" spans="1:12" ht="18" thickBot="1">
      <c r="A111" s="37"/>
      <c r="B111" s="37"/>
      <c r="C111" s="41" t="s">
        <v>117</v>
      </c>
      <c r="D111" s="42" t="s">
        <v>10</v>
      </c>
      <c r="E111" s="42" t="s">
        <v>118</v>
      </c>
      <c r="F111" s="43"/>
      <c r="G111" s="42" t="s">
        <v>119</v>
      </c>
      <c r="H111" s="42"/>
      <c r="I111" s="49">
        <v>298.89</v>
      </c>
      <c r="J111" s="26"/>
      <c r="K111" s="26"/>
      <c r="L111" s="26"/>
    </row>
    <row r="112" spans="1:12" ht="17">
      <c r="A112" s="37"/>
      <c r="B112" s="37"/>
      <c r="C112" s="38"/>
      <c r="D112" s="35"/>
      <c r="E112" s="35"/>
      <c r="F112" s="39"/>
      <c r="G112" s="35" t="s">
        <v>120</v>
      </c>
      <c r="H112" s="35"/>
      <c r="I112" s="44">
        <v>303.67779999999999</v>
      </c>
      <c r="J112" s="26"/>
      <c r="K112" s="26"/>
      <c r="L112" s="26"/>
    </row>
    <row r="113" spans="1:12" ht="17">
      <c r="A113" s="37"/>
      <c r="B113" s="37"/>
      <c r="C113" s="38"/>
      <c r="D113" s="35"/>
      <c r="E113" s="35" t="s">
        <v>121</v>
      </c>
      <c r="F113" s="39"/>
      <c r="G113" s="35" t="s">
        <v>122</v>
      </c>
      <c r="H113" s="35"/>
      <c r="I113" s="44">
        <v>307.02</v>
      </c>
      <c r="J113" s="26"/>
      <c r="K113" s="26"/>
      <c r="L113" s="26"/>
    </row>
    <row r="114" spans="1:12" ht="17">
      <c r="A114" s="37"/>
      <c r="B114" s="37"/>
      <c r="C114" s="38"/>
      <c r="D114" s="35"/>
      <c r="E114" s="35" t="s">
        <v>123</v>
      </c>
      <c r="F114" s="39"/>
      <c r="G114" s="35" t="s">
        <v>124</v>
      </c>
      <c r="H114" s="35"/>
      <c r="I114" s="44">
        <v>315.14999999999998</v>
      </c>
      <c r="J114" s="26"/>
      <c r="K114" s="26"/>
      <c r="L114" s="26"/>
    </row>
    <row r="115" spans="1:12" ht="34">
      <c r="A115" s="37"/>
      <c r="B115" s="37"/>
      <c r="C115" s="38"/>
      <c r="D115" s="35" t="s">
        <v>125</v>
      </c>
      <c r="E115" s="35" t="s">
        <v>126</v>
      </c>
      <c r="F115" s="39"/>
      <c r="G115" s="35" t="s">
        <v>127</v>
      </c>
      <c r="H115" s="35"/>
      <c r="I115" s="44">
        <v>323.39999999999998</v>
      </c>
      <c r="J115" s="26"/>
      <c r="K115" s="26"/>
      <c r="L115" s="26"/>
    </row>
    <row r="116" spans="1:12" ht="17">
      <c r="A116" s="37"/>
      <c r="B116" s="37"/>
      <c r="C116" s="38"/>
      <c r="D116" s="35"/>
      <c r="E116" s="35" t="s">
        <v>128</v>
      </c>
      <c r="F116" s="39"/>
      <c r="G116" s="35" t="s">
        <v>129</v>
      </c>
      <c r="H116" s="35"/>
      <c r="I116" s="44">
        <v>330.34</v>
      </c>
      <c r="J116" s="26"/>
      <c r="K116" s="26"/>
      <c r="L116" s="26"/>
    </row>
    <row r="117" spans="1:12" ht="18" thickBot="1">
      <c r="A117" s="37"/>
      <c r="B117" s="37"/>
      <c r="C117" s="38"/>
      <c r="D117" s="35"/>
      <c r="E117" s="35" t="s">
        <v>130</v>
      </c>
      <c r="F117" s="39"/>
      <c r="G117" s="35" t="s">
        <v>131</v>
      </c>
      <c r="H117" s="35"/>
      <c r="I117" s="44">
        <v>346.73</v>
      </c>
      <c r="J117" s="26"/>
      <c r="K117" s="26"/>
      <c r="L117" s="26"/>
    </row>
    <row r="118" spans="1:12" ht="35" thickBot="1">
      <c r="A118" s="37"/>
      <c r="B118" s="37"/>
      <c r="C118" s="41" t="s">
        <v>132</v>
      </c>
      <c r="D118" s="42" t="s">
        <v>133</v>
      </c>
      <c r="E118" s="42" t="s">
        <v>134</v>
      </c>
      <c r="F118" s="43"/>
      <c r="G118" s="42" t="s">
        <v>135</v>
      </c>
      <c r="H118" s="53" t="s">
        <v>10</v>
      </c>
      <c r="I118" s="49">
        <v>359.3</v>
      </c>
      <c r="J118" s="26"/>
      <c r="K118" s="26"/>
      <c r="L118" s="26"/>
    </row>
    <row r="119" spans="1:12" ht="17">
      <c r="A119" s="37"/>
      <c r="B119" s="37"/>
      <c r="C119" s="38"/>
      <c r="D119" s="35"/>
      <c r="E119" s="35"/>
      <c r="F119" s="39"/>
      <c r="G119" s="35"/>
      <c r="H119" s="35" t="s">
        <v>136</v>
      </c>
      <c r="I119" s="44">
        <v>361.78</v>
      </c>
      <c r="J119" s="26"/>
      <c r="K119" s="26"/>
      <c r="L119" s="26"/>
    </row>
    <row r="120" spans="1:12" ht="17">
      <c r="A120" s="37"/>
      <c r="B120" s="37"/>
      <c r="C120" s="38"/>
      <c r="D120" s="35"/>
      <c r="E120" s="35"/>
      <c r="F120" s="39"/>
      <c r="G120" s="35"/>
      <c r="H120" s="35" t="s">
        <v>12</v>
      </c>
      <c r="I120" s="44">
        <v>365.06</v>
      </c>
      <c r="J120" s="26"/>
      <c r="K120" s="26"/>
      <c r="L120" s="26"/>
    </row>
    <row r="121" spans="1:12" ht="17">
      <c r="A121" s="37"/>
      <c r="B121" s="37"/>
      <c r="C121" s="54"/>
      <c r="D121" s="35"/>
      <c r="E121" s="35"/>
      <c r="F121" s="39"/>
      <c r="G121" s="35"/>
      <c r="H121" s="35" t="s">
        <v>14</v>
      </c>
      <c r="I121" s="55">
        <v>367.91</v>
      </c>
      <c r="J121" s="26"/>
      <c r="K121" s="26"/>
      <c r="L121" s="26"/>
    </row>
    <row r="122" spans="1:12" ht="17">
      <c r="A122" s="37"/>
      <c r="B122" s="37"/>
      <c r="C122" s="38"/>
      <c r="D122" s="35"/>
      <c r="E122" s="35"/>
      <c r="F122" s="39"/>
      <c r="G122" s="35" t="s">
        <v>137</v>
      </c>
      <c r="H122" s="35" t="s">
        <v>17</v>
      </c>
      <c r="I122" s="44">
        <v>371.1</v>
      </c>
      <c r="J122" s="26"/>
      <c r="K122" s="26"/>
      <c r="L122" s="26"/>
    </row>
    <row r="123" spans="1:12" ht="17">
      <c r="A123" s="37"/>
      <c r="B123" s="37"/>
      <c r="C123" s="38"/>
      <c r="D123" s="35"/>
      <c r="E123" s="35"/>
      <c r="F123" s="39"/>
      <c r="G123" s="35"/>
      <c r="H123" s="35" t="s">
        <v>12</v>
      </c>
      <c r="I123" s="44">
        <v>373.44</v>
      </c>
      <c r="J123" s="26"/>
      <c r="K123" s="26"/>
      <c r="L123" s="26"/>
    </row>
    <row r="124" spans="1:12" ht="17">
      <c r="A124" s="37"/>
      <c r="B124" s="37"/>
      <c r="C124" s="54"/>
      <c r="D124" s="35"/>
      <c r="E124" s="35"/>
      <c r="F124" s="39"/>
      <c r="G124" s="35"/>
      <c r="H124" s="35" t="s">
        <v>14</v>
      </c>
      <c r="I124" s="55">
        <v>376.35</v>
      </c>
      <c r="J124" s="26"/>
      <c r="K124" s="26"/>
      <c r="L124" s="26"/>
    </row>
    <row r="125" spans="1:12" ht="17">
      <c r="A125" s="37"/>
      <c r="B125" s="37"/>
      <c r="C125" s="38"/>
      <c r="D125" s="35"/>
      <c r="E125" s="35" t="s">
        <v>55</v>
      </c>
      <c r="F125" s="39"/>
      <c r="G125" s="35" t="s">
        <v>138</v>
      </c>
      <c r="H125" s="35" t="s">
        <v>17</v>
      </c>
      <c r="I125" s="44">
        <v>378.9</v>
      </c>
      <c r="J125" s="26"/>
      <c r="K125" s="26"/>
      <c r="L125" s="26"/>
    </row>
    <row r="126" spans="1:12" ht="17">
      <c r="A126" s="37"/>
      <c r="B126" s="37"/>
      <c r="C126" s="38"/>
      <c r="D126" s="35"/>
      <c r="E126" s="35"/>
      <c r="F126" s="39"/>
      <c r="G126" s="35"/>
      <c r="H126" s="35" t="s">
        <v>12</v>
      </c>
      <c r="I126" s="44">
        <v>380.31</v>
      </c>
      <c r="J126" s="26"/>
      <c r="K126" s="26"/>
      <c r="L126" s="26"/>
    </row>
    <row r="127" spans="1:12" ht="17">
      <c r="A127" s="37"/>
      <c r="B127" s="37"/>
      <c r="C127" s="54"/>
      <c r="D127" s="35"/>
      <c r="E127" s="35"/>
      <c r="F127" s="39"/>
      <c r="G127" s="35"/>
      <c r="H127" s="35" t="s">
        <v>14</v>
      </c>
      <c r="I127" s="55">
        <v>383.06</v>
      </c>
      <c r="J127" s="26"/>
      <c r="K127" s="26"/>
      <c r="L127" s="26"/>
    </row>
    <row r="128" spans="1:12" ht="17">
      <c r="A128" s="37"/>
      <c r="B128" s="37"/>
      <c r="C128" s="38"/>
      <c r="D128" s="35"/>
      <c r="E128" s="35"/>
      <c r="F128" s="39"/>
      <c r="G128" s="35" t="s">
        <v>139</v>
      </c>
      <c r="H128" s="35" t="s">
        <v>17</v>
      </c>
      <c r="I128" s="44">
        <v>385.3</v>
      </c>
      <c r="J128" s="26"/>
      <c r="K128" s="26"/>
      <c r="L128" s="26"/>
    </row>
    <row r="129" spans="1:12" ht="17">
      <c r="A129" s="37"/>
      <c r="B129" s="37"/>
      <c r="C129" s="38"/>
      <c r="D129" s="35"/>
      <c r="E129" s="35"/>
      <c r="F129" s="39"/>
      <c r="G129" s="35"/>
      <c r="H129" s="35" t="s">
        <v>12</v>
      </c>
      <c r="I129" s="44">
        <v>389.62</v>
      </c>
      <c r="J129" s="26"/>
      <c r="K129" s="26"/>
      <c r="L129" s="26"/>
    </row>
    <row r="130" spans="1:12" ht="17">
      <c r="A130" s="37"/>
      <c r="B130" s="37"/>
      <c r="C130" s="38"/>
      <c r="D130" s="35"/>
      <c r="E130" s="35" t="s">
        <v>72</v>
      </c>
      <c r="F130" s="39"/>
      <c r="G130" s="35" t="s">
        <v>140</v>
      </c>
      <c r="H130" s="35" t="s">
        <v>17</v>
      </c>
      <c r="I130" s="44">
        <v>394.3</v>
      </c>
      <c r="J130" s="26"/>
      <c r="K130" s="26"/>
      <c r="L130" s="26"/>
    </row>
    <row r="131" spans="1:12" ht="17">
      <c r="A131" s="37"/>
      <c r="B131" s="37"/>
      <c r="C131" s="38"/>
      <c r="D131" s="35"/>
      <c r="E131" s="35"/>
      <c r="F131" s="39"/>
      <c r="G131" s="35"/>
      <c r="H131" s="35" t="s">
        <v>12</v>
      </c>
      <c r="I131" s="44">
        <v>400.08</v>
      </c>
      <c r="J131" s="26"/>
      <c r="K131" s="26"/>
      <c r="L131" s="26"/>
    </row>
    <row r="132" spans="1:12" ht="17">
      <c r="A132" s="37"/>
      <c r="B132" s="37"/>
      <c r="C132" s="38"/>
      <c r="D132" s="35"/>
      <c r="E132" s="35"/>
      <c r="F132" s="39"/>
      <c r="G132" s="35" t="s">
        <v>141</v>
      </c>
      <c r="H132" s="35" t="s">
        <v>17</v>
      </c>
      <c r="I132" s="44">
        <v>407.3</v>
      </c>
      <c r="J132" s="26"/>
      <c r="K132" s="26"/>
      <c r="L132" s="26"/>
    </row>
    <row r="133" spans="1:12" ht="17">
      <c r="A133" s="37"/>
      <c r="B133" s="37"/>
      <c r="C133" s="38"/>
      <c r="D133" s="35"/>
      <c r="E133" s="35"/>
      <c r="F133" s="39"/>
      <c r="G133" s="39" t="s">
        <v>142</v>
      </c>
      <c r="H133" s="48" t="s">
        <v>143</v>
      </c>
      <c r="I133" s="44">
        <v>410.51</v>
      </c>
      <c r="J133" s="26"/>
      <c r="K133" s="26"/>
      <c r="L133" s="26"/>
    </row>
    <row r="134" spans="1:12" ht="17">
      <c r="A134" s="37"/>
      <c r="B134" s="37"/>
      <c r="C134" s="38"/>
      <c r="D134" s="35"/>
      <c r="E134" s="35"/>
      <c r="F134" s="39"/>
      <c r="G134" s="35" t="s">
        <v>144</v>
      </c>
      <c r="H134" s="35" t="s">
        <v>17</v>
      </c>
      <c r="I134" s="44">
        <v>412.4</v>
      </c>
      <c r="J134" s="26"/>
      <c r="K134" s="26"/>
      <c r="L134" s="26"/>
    </row>
    <row r="135" spans="1:12" ht="17">
      <c r="A135" s="37"/>
      <c r="B135" s="37"/>
      <c r="C135" s="38"/>
      <c r="D135" s="35"/>
      <c r="E135" s="35"/>
      <c r="F135" s="39"/>
      <c r="G135" s="35"/>
      <c r="H135" s="35" t="s">
        <v>12</v>
      </c>
      <c r="I135" s="44">
        <v>413.94</v>
      </c>
      <c r="J135" s="26"/>
      <c r="K135" s="26"/>
      <c r="L135" s="26"/>
    </row>
    <row r="136" spans="1:12" ht="17">
      <c r="A136" s="37"/>
      <c r="B136" s="37"/>
      <c r="C136" s="54"/>
      <c r="D136" s="35"/>
      <c r="E136" s="35"/>
      <c r="F136" s="39"/>
      <c r="G136" s="35"/>
      <c r="H136" s="35" t="s">
        <v>14</v>
      </c>
      <c r="I136" s="55">
        <v>416.3</v>
      </c>
      <c r="J136" s="26"/>
      <c r="K136" s="26"/>
      <c r="L136" s="26"/>
    </row>
    <row r="137" spans="1:12" ht="18" thickBot="1">
      <c r="A137" s="37"/>
      <c r="B137" s="37"/>
      <c r="C137" s="41" t="s">
        <v>145</v>
      </c>
      <c r="D137" s="42"/>
      <c r="E137" s="42" t="s">
        <v>64</v>
      </c>
      <c r="F137" s="43"/>
      <c r="G137" s="42" t="s">
        <v>146</v>
      </c>
      <c r="H137" s="35" t="s">
        <v>17</v>
      </c>
      <c r="I137" s="49">
        <v>419</v>
      </c>
      <c r="J137" s="26"/>
      <c r="K137" s="26"/>
      <c r="L137" s="26"/>
    </row>
    <row r="138" spans="1:12" ht="17">
      <c r="A138" s="37"/>
      <c r="B138" s="37"/>
      <c r="C138" s="45"/>
      <c r="D138" s="32"/>
      <c r="E138" s="32" t="s">
        <v>147</v>
      </c>
      <c r="F138" s="33"/>
      <c r="G138" s="32" t="s">
        <v>82</v>
      </c>
      <c r="H138" s="32"/>
      <c r="I138" s="52">
        <v>422.7337</v>
      </c>
      <c r="J138" s="26"/>
      <c r="K138" s="26"/>
      <c r="L138" s="26"/>
    </row>
    <row r="139" spans="1:12" ht="17">
      <c r="A139" s="37"/>
      <c r="B139" s="37"/>
      <c r="C139" s="38"/>
      <c r="D139" s="35"/>
      <c r="E139" s="35"/>
      <c r="F139" s="39"/>
      <c r="G139" s="35" t="s">
        <v>148</v>
      </c>
      <c r="H139" s="35"/>
      <c r="I139" s="44">
        <v>425.01010000000002</v>
      </c>
      <c r="J139" s="26"/>
      <c r="K139" s="26"/>
      <c r="L139" s="26"/>
    </row>
    <row r="140" spans="1:12" ht="17">
      <c r="A140" s="37"/>
      <c r="B140" s="37"/>
      <c r="C140" s="38"/>
      <c r="D140" s="35"/>
      <c r="E140" s="35" t="s">
        <v>149</v>
      </c>
      <c r="F140" s="39"/>
      <c r="G140" s="35" t="s">
        <v>150</v>
      </c>
      <c r="H140" s="35"/>
      <c r="I140" s="44">
        <v>426.73779999999999</v>
      </c>
      <c r="J140" s="26"/>
      <c r="K140" s="26"/>
      <c r="L140" s="26"/>
    </row>
    <row r="141" spans="1:12" ht="17">
      <c r="A141" s="37"/>
      <c r="B141" s="37"/>
      <c r="C141" s="38"/>
      <c r="D141" s="35"/>
      <c r="E141" s="35"/>
      <c r="F141" s="39"/>
      <c r="G141" s="35" t="s">
        <v>151</v>
      </c>
      <c r="H141" s="35"/>
      <c r="I141" s="44">
        <v>430.62169999999998</v>
      </c>
      <c r="J141" s="26"/>
      <c r="K141" s="26"/>
      <c r="L141" s="26"/>
    </row>
    <row r="142" spans="1:12" ht="17">
      <c r="A142" s="37"/>
      <c r="B142" s="37"/>
      <c r="C142" s="38"/>
      <c r="D142" s="35"/>
      <c r="E142" s="35" t="s">
        <v>152</v>
      </c>
      <c r="F142" s="39"/>
      <c r="G142" s="35" t="s">
        <v>153</v>
      </c>
      <c r="H142" s="35"/>
      <c r="I142" s="44">
        <v>432.93259999999998</v>
      </c>
      <c r="J142" s="26"/>
      <c r="K142" s="26"/>
      <c r="L142" s="26"/>
    </row>
    <row r="143" spans="1:12" ht="17">
      <c r="A143" s="37"/>
      <c r="B143" s="37"/>
      <c r="C143" s="38"/>
      <c r="D143" s="35"/>
      <c r="E143" s="35"/>
      <c r="F143" s="39"/>
      <c r="G143" s="35" t="s">
        <v>154</v>
      </c>
      <c r="H143" s="35"/>
      <c r="I143" s="44">
        <v>438.5908</v>
      </c>
      <c r="J143" s="26"/>
      <c r="K143" s="26"/>
      <c r="L143" s="26"/>
    </row>
    <row r="144" spans="1:12" ht="17">
      <c r="A144" s="37"/>
      <c r="B144" s="37"/>
      <c r="C144" s="38"/>
      <c r="D144" s="35"/>
      <c r="E144" s="35"/>
      <c r="F144" s="39"/>
      <c r="G144" s="35" t="s">
        <v>155</v>
      </c>
      <c r="H144" s="35"/>
      <c r="I144" s="44">
        <v>440.49</v>
      </c>
      <c r="J144" s="26"/>
      <c r="K144" s="26"/>
      <c r="L144" s="26"/>
    </row>
    <row r="145" spans="1:12" ht="18" thickBot="1">
      <c r="A145" s="37"/>
      <c r="B145" s="37"/>
      <c r="C145" s="41" t="s">
        <v>156</v>
      </c>
      <c r="D145" s="42"/>
      <c r="E145" s="42" t="s">
        <v>157</v>
      </c>
      <c r="F145" s="43"/>
      <c r="G145" s="42" t="s">
        <v>158</v>
      </c>
      <c r="H145" s="42"/>
      <c r="I145" s="49">
        <v>443.0718</v>
      </c>
      <c r="J145" s="26"/>
      <c r="K145" s="26"/>
      <c r="L145" s="26"/>
    </row>
    <row r="146" spans="1:12" ht="17">
      <c r="A146" s="37"/>
      <c r="B146" s="37"/>
      <c r="C146" s="38"/>
      <c r="D146" s="35"/>
      <c r="E146" s="35"/>
      <c r="F146" s="39"/>
      <c r="G146" s="35" t="s">
        <v>159</v>
      </c>
      <c r="H146" s="35"/>
      <c r="I146" s="44">
        <v>445.21</v>
      </c>
      <c r="J146" s="26"/>
      <c r="K146" s="26"/>
      <c r="L146" s="26"/>
    </row>
    <row r="147" spans="1:12" ht="17">
      <c r="A147" s="37"/>
      <c r="B147" s="37"/>
      <c r="C147" s="38"/>
      <c r="D147" s="35"/>
      <c r="E147" s="35"/>
      <c r="F147" s="39"/>
      <c r="G147" s="35" t="s">
        <v>160</v>
      </c>
      <c r="H147" s="35"/>
      <c r="I147" s="44">
        <v>452.75</v>
      </c>
      <c r="J147" s="26"/>
      <c r="K147" s="26"/>
      <c r="L147" s="26"/>
    </row>
    <row r="148" spans="1:12" ht="17">
      <c r="A148" s="37"/>
      <c r="B148" s="37"/>
      <c r="C148" s="38"/>
      <c r="D148" s="35"/>
      <c r="E148" s="35" t="s">
        <v>55</v>
      </c>
      <c r="F148" s="39"/>
      <c r="G148" s="35" t="s">
        <v>161</v>
      </c>
      <c r="H148" s="35"/>
      <c r="I148" s="44">
        <v>458.17720000000003</v>
      </c>
      <c r="J148" s="26"/>
      <c r="K148" s="26"/>
      <c r="L148" s="26"/>
    </row>
    <row r="149" spans="1:12" ht="17">
      <c r="A149" s="37"/>
      <c r="B149" s="37"/>
      <c r="C149" s="38"/>
      <c r="D149" s="35"/>
      <c r="E149" s="35"/>
      <c r="F149" s="39"/>
      <c r="G149" s="35" t="s">
        <v>162</v>
      </c>
      <c r="H149" s="35"/>
      <c r="I149" s="44">
        <v>469.42</v>
      </c>
      <c r="J149" s="26"/>
      <c r="K149" s="26"/>
      <c r="L149" s="26"/>
    </row>
    <row r="150" spans="1:12" ht="17">
      <c r="A150" s="37"/>
      <c r="B150" s="37"/>
      <c r="C150" s="38"/>
      <c r="D150" s="35"/>
      <c r="E150" s="35" t="s">
        <v>72</v>
      </c>
      <c r="F150" s="39"/>
      <c r="G150" s="35" t="s">
        <v>163</v>
      </c>
      <c r="H150" s="35"/>
      <c r="I150" s="44">
        <v>471.26330000000002</v>
      </c>
      <c r="J150" s="26"/>
      <c r="K150" s="26"/>
      <c r="L150" s="26"/>
    </row>
    <row r="151" spans="1:12" ht="17">
      <c r="A151" s="37"/>
      <c r="B151" s="37"/>
      <c r="C151" s="38"/>
      <c r="D151" s="35"/>
      <c r="E151" s="35"/>
      <c r="F151" s="39"/>
      <c r="G151" s="35" t="s">
        <v>164</v>
      </c>
      <c r="H151" s="35"/>
      <c r="I151" s="44">
        <v>477.07909999999998</v>
      </c>
      <c r="J151" s="26"/>
      <c r="K151" s="26"/>
      <c r="L151" s="26"/>
    </row>
    <row r="152" spans="1:12" ht="18" thickBot="1">
      <c r="A152" s="37"/>
      <c r="B152" s="37"/>
      <c r="C152" s="41" t="s">
        <v>165</v>
      </c>
      <c r="D152" s="42"/>
      <c r="E152" s="42" t="s">
        <v>64</v>
      </c>
      <c r="F152" s="43"/>
      <c r="G152" s="42" t="s">
        <v>166</v>
      </c>
      <c r="H152" s="42"/>
      <c r="I152" s="44">
        <v>486.85</v>
      </c>
      <c r="J152" s="26"/>
      <c r="K152" s="26"/>
      <c r="L152" s="26"/>
    </row>
    <row r="153" spans="1:12" ht="17">
      <c r="A153" s="37"/>
      <c r="B153" s="37"/>
      <c r="C153" s="38"/>
      <c r="D153" s="35"/>
      <c r="E153" s="35"/>
      <c r="F153" s="39"/>
      <c r="G153" s="56" t="s">
        <v>167</v>
      </c>
      <c r="H153" s="35"/>
      <c r="I153" s="57">
        <v>491</v>
      </c>
      <c r="J153" s="26"/>
      <c r="K153" s="26"/>
      <c r="L153" s="26"/>
    </row>
    <row r="154" spans="1:12" ht="17">
      <c r="A154" s="37"/>
      <c r="B154" s="37"/>
      <c r="C154" s="38"/>
      <c r="D154" s="35"/>
      <c r="E154" s="35"/>
      <c r="F154" s="39"/>
      <c r="G154" s="56" t="s">
        <v>168</v>
      </c>
      <c r="H154" s="35"/>
      <c r="I154" s="57">
        <v>494.2</v>
      </c>
      <c r="J154" s="26"/>
      <c r="K154" s="26"/>
      <c r="L154" s="26"/>
    </row>
    <row r="155" spans="1:12" ht="17">
      <c r="A155" s="37"/>
      <c r="B155" s="37"/>
      <c r="C155" s="38"/>
      <c r="D155" s="35"/>
      <c r="E155" s="35" t="s">
        <v>169</v>
      </c>
      <c r="F155" s="39"/>
      <c r="G155" s="56" t="s">
        <v>170</v>
      </c>
      <c r="H155" s="35"/>
      <c r="I155" s="57">
        <v>497</v>
      </c>
      <c r="J155" s="26"/>
      <c r="K155" s="26"/>
      <c r="L155" s="26"/>
    </row>
    <row r="156" spans="1:12" ht="17">
      <c r="A156" s="37"/>
      <c r="B156" s="37"/>
      <c r="C156" s="38"/>
      <c r="D156" s="35"/>
      <c r="E156" s="35"/>
      <c r="F156" s="39"/>
      <c r="G156" s="56" t="s">
        <v>171</v>
      </c>
      <c r="H156" s="35"/>
      <c r="I156" s="57">
        <v>500.5</v>
      </c>
      <c r="J156" s="26"/>
      <c r="K156" s="26"/>
      <c r="L156" s="26"/>
    </row>
    <row r="157" spans="1:12" ht="17">
      <c r="A157" s="37"/>
      <c r="B157" s="37"/>
      <c r="C157" s="38"/>
      <c r="D157" s="35"/>
      <c r="E157" s="35"/>
      <c r="F157" s="39"/>
      <c r="G157" s="56" t="s">
        <v>172</v>
      </c>
      <c r="H157" s="35"/>
      <c r="I157" s="57">
        <v>504.5</v>
      </c>
      <c r="J157" s="26"/>
      <c r="K157" s="26"/>
      <c r="L157" s="26"/>
    </row>
    <row r="158" spans="1:12" ht="17">
      <c r="A158" s="37"/>
      <c r="B158" s="37"/>
      <c r="C158" s="38"/>
      <c r="D158" s="35"/>
      <c r="E158" s="35" t="s">
        <v>173</v>
      </c>
      <c r="F158" s="39"/>
      <c r="G158" s="35" t="s">
        <v>174</v>
      </c>
      <c r="H158" s="35"/>
      <c r="I158" s="57">
        <v>509</v>
      </c>
      <c r="J158" s="26"/>
      <c r="K158" s="26"/>
      <c r="L158" s="26"/>
    </row>
    <row r="159" spans="1:12" ht="17">
      <c r="A159" s="37"/>
      <c r="B159" s="37"/>
      <c r="C159" s="38"/>
      <c r="D159" s="35"/>
      <c r="E159" s="35"/>
      <c r="F159" s="39"/>
      <c r="G159" s="35" t="s">
        <v>175</v>
      </c>
      <c r="H159" s="35"/>
      <c r="I159" s="57">
        <v>514.5</v>
      </c>
      <c r="J159" s="26"/>
      <c r="K159" s="26"/>
      <c r="L159" s="26"/>
    </row>
    <row r="160" spans="1:12" ht="17">
      <c r="A160" s="37"/>
      <c r="B160" s="37"/>
      <c r="C160" s="38"/>
      <c r="D160" s="35"/>
      <c r="E160" s="35" t="s">
        <v>176</v>
      </c>
      <c r="F160" s="39"/>
      <c r="G160" s="35" t="s">
        <v>177</v>
      </c>
      <c r="H160" s="35"/>
      <c r="I160" s="57">
        <v>521</v>
      </c>
      <c r="J160" s="26"/>
      <c r="K160" s="26"/>
      <c r="L160" s="26"/>
    </row>
    <row r="161" spans="1:12" ht="17">
      <c r="A161" s="37"/>
      <c r="B161" s="37"/>
      <c r="C161" s="38"/>
      <c r="D161" s="35"/>
      <c r="E161" s="35"/>
      <c r="F161" s="39"/>
      <c r="G161" s="35" t="s">
        <v>178</v>
      </c>
      <c r="H161" s="35"/>
      <c r="I161" s="57">
        <v>529</v>
      </c>
      <c r="J161" s="26"/>
      <c r="K161" s="26"/>
      <c r="L161" s="26"/>
    </row>
    <row r="162" spans="1:12" ht="18" thickBot="1">
      <c r="A162" s="58" t="s">
        <v>179</v>
      </c>
      <c r="B162" s="58" t="s">
        <v>180</v>
      </c>
      <c r="C162" s="41" t="s">
        <v>181</v>
      </c>
      <c r="D162" s="42"/>
      <c r="E162" s="42" t="s">
        <v>182</v>
      </c>
      <c r="F162" s="43"/>
      <c r="G162" s="42" t="s">
        <v>183</v>
      </c>
      <c r="H162" s="42"/>
      <c r="I162" s="59">
        <v>538.79999999999995</v>
      </c>
      <c r="J162" s="26"/>
      <c r="K162" s="26"/>
      <c r="L162" s="26"/>
    </row>
    <row r="163" spans="1:12" ht="17">
      <c r="C163" s="35" t="s">
        <v>184</v>
      </c>
      <c r="D163" s="35"/>
      <c r="E163" s="35"/>
      <c r="F163" s="39"/>
      <c r="G163" s="35"/>
      <c r="H163" s="35"/>
      <c r="I163" s="61">
        <v>635</v>
      </c>
      <c r="J163" s="26"/>
      <c r="K163" s="26"/>
      <c r="L163" s="26"/>
    </row>
    <row r="164" spans="1:12" ht="34">
      <c r="C164" s="35" t="s">
        <v>185</v>
      </c>
      <c r="D164" s="35"/>
      <c r="E164" s="35"/>
      <c r="F164" s="39"/>
      <c r="G164" s="35"/>
      <c r="H164" s="35"/>
      <c r="I164" s="61">
        <v>720</v>
      </c>
      <c r="J164" s="26"/>
      <c r="K164" s="26"/>
      <c r="L164" s="26"/>
    </row>
    <row r="165" spans="1:12" ht="17">
      <c r="B165" s="58" t="s">
        <v>186</v>
      </c>
      <c r="C165" s="35" t="s">
        <v>187</v>
      </c>
      <c r="D165" s="35"/>
      <c r="E165" s="35"/>
      <c r="F165" s="39"/>
      <c r="G165" s="35"/>
      <c r="H165" s="35"/>
      <c r="I165" s="61">
        <v>1000</v>
      </c>
      <c r="J165" s="26"/>
      <c r="K165" s="26"/>
      <c r="L165" s="26"/>
    </row>
    <row r="166" spans="1:12" ht="17">
      <c r="C166" s="35" t="s">
        <v>188</v>
      </c>
      <c r="D166" s="35"/>
      <c r="E166" s="35"/>
      <c r="F166" s="39"/>
      <c r="G166" s="35"/>
      <c r="H166" s="35"/>
      <c r="I166" s="61">
        <v>1200</v>
      </c>
      <c r="J166" s="26"/>
      <c r="K166" s="26"/>
      <c r="L166" s="26"/>
    </row>
    <row r="167" spans="1:12" ht="17">
      <c r="C167" s="35" t="s">
        <v>189</v>
      </c>
      <c r="D167" s="35"/>
      <c r="E167" s="35"/>
      <c r="F167" s="39"/>
      <c r="G167" s="35"/>
      <c r="H167" s="35"/>
      <c r="I167" s="61">
        <v>1400</v>
      </c>
      <c r="J167" s="26"/>
      <c r="K167" s="26"/>
      <c r="L167" s="26"/>
    </row>
    <row r="168" spans="1:12" ht="17">
      <c r="B168" s="58" t="s">
        <v>190</v>
      </c>
      <c r="C168" s="35" t="s">
        <v>191</v>
      </c>
      <c r="D168" s="35"/>
      <c r="E168" s="35"/>
      <c r="F168" s="39"/>
      <c r="G168" s="35"/>
      <c r="H168" s="35"/>
      <c r="I168" s="61">
        <v>1600</v>
      </c>
      <c r="J168" s="26"/>
      <c r="K168" s="26"/>
      <c r="L168" s="26"/>
    </row>
    <row r="169" spans="1:12" ht="17">
      <c r="C169" s="35" t="s">
        <v>192</v>
      </c>
      <c r="D169" s="35"/>
      <c r="E169" s="35"/>
      <c r="F169" s="39"/>
      <c r="G169" s="35"/>
      <c r="H169" s="35"/>
      <c r="I169" s="61">
        <v>1800</v>
      </c>
      <c r="J169" s="26"/>
      <c r="K169" s="26"/>
      <c r="L169" s="26"/>
    </row>
    <row r="170" spans="1:12" ht="17">
      <c r="C170" s="35" t="s">
        <v>193</v>
      </c>
      <c r="D170" s="35"/>
      <c r="E170" s="35"/>
      <c r="F170" s="39"/>
      <c r="G170" s="35"/>
      <c r="H170" s="35"/>
      <c r="I170" s="61">
        <v>2050</v>
      </c>
      <c r="J170" s="26"/>
      <c r="K170" s="26"/>
      <c r="L170" s="26"/>
    </row>
    <row r="171" spans="1:12" ht="17">
      <c r="C171" s="35" t="s">
        <v>194</v>
      </c>
      <c r="D171" s="35"/>
      <c r="E171" s="35"/>
      <c r="F171" s="39"/>
      <c r="G171" s="35"/>
      <c r="H171" s="35"/>
      <c r="I171" s="61">
        <v>2300</v>
      </c>
      <c r="J171" s="26"/>
      <c r="K171" s="26"/>
      <c r="L171" s="26"/>
    </row>
    <row r="172" spans="1:12" ht="17">
      <c r="A172" s="58" t="s">
        <v>195</v>
      </c>
      <c r="B172" s="58" t="s">
        <v>196</v>
      </c>
      <c r="C172" s="35" t="s">
        <v>197</v>
      </c>
      <c r="D172" s="35"/>
      <c r="E172" s="35"/>
      <c r="F172" s="39"/>
      <c r="G172" s="35"/>
      <c r="H172" s="35"/>
      <c r="I172" s="61">
        <v>2500</v>
      </c>
      <c r="J172" s="26"/>
      <c r="K172" s="26"/>
      <c r="L172" s="26"/>
    </row>
    <row r="173" spans="1:12" ht="16">
      <c r="B173" s="58" t="s">
        <v>198</v>
      </c>
      <c r="C173" s="35"/>
      <c r="D173" s="35"/>
      <c r="E173" s="35"/>
      <c r="F173" s="39"/>
      <c r="G173" s="35"/>
      <c r="H173" s="35"/>
      <c r="I173" s="61">
        <v>2800</v>
      </c>
      <c r="J173" s="26"/>
      <c r="K173" s="26"/>
      <c r="L173" s="26"/>
    </row>
    <row r="174" spans="1:12" ht="16">
      <c r="B174" s="58" t="s">
        <v>199</v>
      </c>
      <c r="C174" s="35"/>
      <c r="D174" s="35"/>
      <c r="E174" s="35"/>
      <c r="F174" s="39"/>
      <c r="G174" s="35"/>
      <c r="H174" s="35"/>
      <c r="I174" s="61">
        <v>3200</v>
      </c>
      <c r="J174" s="26"/>
      <c r="K174" s="26"/>
      <c r="L174" s="26"/>
    </row>
    <row r="175" spans="1:12" ht="16">
      <c r="B175" s="58" t="s">
        <v>200</v>
      </c>
      <c r="C175" s="35"/>
      <c r="D175" s="35"/>
      <c r="E175" s="35"/>
      <c r="F175" s="39"/>
      <c r="G175" s="35"/>
      <c r="H175" s="35"/>
      <c r="I175" s="61">
        <v>3600</v>
      </c>
      <c r="J175" s="26"/>
      <c r="K175" s="26"/>
      <c r="L175" s="26"/>
    </row>
    <row r="176" spans="1:12" ht="16">
      <c r="A176" s="58" t="s">
        <v>201</v>
      </c>
      <c r="B176" s="58" t="s">
        <v>202</v>
      </c>
      <c r="C176" s="35"/>
      <c r="D176" s="35"/>
      <c r="E176" s="35"/>
      <c r="F176" s="39"/>
      <c r="G176" s="35"/>
      <c r="H176" s="35"/>
      <c r="I176" s="61">
        <v>4000</v>
      </c>
      <c r="J176" s="26"/>
      <c r="K176" s="26"/>
      <c r="L176" s="26"/>
    </row>
    <row r="177" spans="1:12" ht="16">
      <c r="A177" s="58" t="s">
        <v>203</v>
      </c>
      <c r="B177" s="58" t="s">
        <v>203</v>
      </c>
      <c r="C177" s="37"/>
      <c r="D177" s="37"/>
      <c r="E177" s="37"/>
      <c r="F177" s="62"/>
      <c r="G177" s="37"/>
      <c r="H177" s="37"/>
      <c r="I177" s="61">
        <v>4567</v>
      </c>
      <c r="J177" s="26"/>
      <c r="K177" s="26"/>
      <c r="L177" s="26"/>
    </row>
    <row r="178" spans="1:12" ht="16">
      <c r="B178" s="58"/>
      <c r="C178" s="58"/>
      <c r="D178" s="58"/>
      <c r="E178" s="58"/>
      <c r="F178" s="58"/>
      <c r="G178" s="58"/>
      <c r="H178" s="58"/>
      <c r="I178" s="58"/>
      <c r="J178" s="26"/>
      <c r="K178" s="26"/>
      <c r="L178" s="26"/>
    </row>
    <row r="179" spans="1:12" ht="16">
      <c r="C179" s="58"/>
      <c r="D179" s="58"/>
      <c r="E179" s="58"/>
      <c r="F179" s="58"/>
      <c r="G179" s="58"/>
      <c r="H179" s="58"/>
      <c r="I179" s="58"/>
      <c r="J179" s="26"/>
      <c r="K179" s="26"/>
      <c r="L179" s="26"/>
    </row>
    <row r="180" spans="1:12" ht="16">
      <c r="C180" s="58"/>
      <c r="D180" s="58"/>
      <c r="E180" s="58"/>
      <c r="F180" s="58"/>
      <c r="G180" s="58"/>
      <c r="H180" s="58"/>
      <c r="I180" s="58"/>
      <c r="J180" s="26"/>
      <c r="K180" s="26"/>
      <c r="L180" s="26"/>
    </row>
    <row r="181" spans="1:12" ht="16">
      <c r="B181" s="58"/>
      <c r="C181" s="58"/>
      <c r="D181" s="58"/>
      <c r="E181" s="58"/>
      <c r="F181" s="58"/>
      <c r="G181" s="58"/>
      <c r="H181" s="58"/>
      <c r="I181" s="58"/>
      <c r="J181" s="26"/>
      <c r="K181" s="26"/>
      <c r="L181" s="26"/>
    </row>
    <row r="182" spans="1:12" ht="13">
      <c r="J182" s="26"/>
      <c r="K182" s="26"/>
      <c r="L182" s="26"/>
    </row>
    <row r="183" spans="1:12" ht="13">
      <c r="J183" s="26"/>
      <c r="K183" s="26"/>
      <c r="L183" s="26"/>
    </row>
  </sheetData>
  <pageMargins left="0.75" right="0.75" top="1" bottom="1" header="0.5" footer="0.5"/>
  <pageSetup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Feuil8"/>
  <dimension ref="A1:U1683"/>
  <sheetViews>
    <sheetView tabSelected="1" topLeftCell="B1317" workbookViewId="0">
      <selection activeCell="B1327" sqref="B1327"/>
    </sheetView>
  </sheetViews>
  <sheetFormatPr baseColWidth="10" defaultColWidth="10.796875" defaultRowHeight="16"/>
  <cols>
    <col min="1" max="1" width="17" style="8" customWidth="1"/>
    <col min="2" max="2" width="21.19921875" style="17" customWidth="1"/>
    <col min="3" max="3" width="9.3984375" style="12" customWidth="1"/>
    <col min="4" max="4" width="17.796875" style="12" customWidth="1"/>
    <col min="5" max="5" width="12.19921875" style="133" customWidth="1"/>
    <col min="6" max="6" width="11.3984375" style="137" customWidth="1"/>
    <col min="7" max="7" width="24.3984375" style="147" customWidth="1"/>
    <col min="8" max="8" width="30" style="82" customWidth="1"/>
    <col min="9" max="9" width="28" style="142" customWidth="1"/>
    <col min="10" max="10" width="14.3984375" style="7" customWidth="1"/>
    <col min="11" max="11" width="8.59765625" style="130" customWidth="1"/>
    <col min="12" max="12" width="15.3984375" style="12" customWidth="1"/>
    <col min="13" max="13" width="11" style="8" customWidth="1"/>
    <col min="14" max="14" width="7.3984375" style="5" customWidth="1"/>
    <col min="15" max="15" width="13.59765625" style="85" customWidth="1"/>
    <col min="16" max="16" width="14.3984375" style="20" customWidth="1"/>
    <col min="17" max="17" width="9.19921875" style="143" customWidth="1"/>
    <col min="18" max="18" width="13.59765625" style="21" customWidth="1"/>
    <col min="19" max="19" width="16.19921875" style="9" customWidth="1"/>
    <col min="20" max="20" width="12.3984375" style="7" customWidth="1"/>
    <col min="21" max="16384" width="10.796875" style="8"/>
  </cols>
  <sheetData>
    <row r="1" spans="1:20" ht="28">
      <c r="A1" s="141" t="s">
        <v>204</v>
      </c>
    </row>
    <row r="2" spans="1:20" s="5" customFormat="1" ht="56">
      <c r="A2" s="5" t="s">
        <v>3</v>
      </c>
      <c r="B2" s="13" t="s">
        <v>205</v>
      </c>
      <c r="C2" s="131" t="s">
        <v>206</v>
      </c>
      <c r="D2" s="136" t="s">
        <v>207</v>
      </c>
      <c r="E2" s="131" t="s">
        <v>208</v>
      </c>
      <c r="F2" s="138" t="s">
        <v>10</v>
      </c>
      <c r="G2" s="131" t="s">
        <v>209</v>
      </c>
      <c r="H2" s="180" t="s">
        <v>2067</v>
      </c>
      <c r="I2" s="181" t="s">
        <v>2068</v>
      </c>
      <c r="J2" s="6" t="s">
        <v>210</v>
      </c>
      <c r="K2" s="128" t="s">
        <v>211</v>
      </c>
      <c r="L2" s="85" t="s">
        <v>212</v>
      </c>
      <c r="M2" s="2" t="s">
        <v>213</v>
      </c>
      <c r="N2" s="5" t="s">
        <v>214</v>
      </c>
      <c r="O2" s="146" t="s">
        <v>215</v>
      </c>
      <c r="P2" s="18" t="s">
        <v>216</v>
      </c>
      <c r="Q2" s="144" t="s">
        <v>211</v>
      </c>
      <c r="R2" s="145" t="s">
        <v>217</v>
      </c>
      <c r="S2" s="1" t="s">
        <v>218</v>
      </c>
      <c r="T2" s="4" t="s">
        <v>219</v>
      </c>
    </row>
    <row r="3" spans="1:20" s="5" customFormat="1" ht="17">
      <c r="B3" s="127" t="s">
        <v>220</v>
      </c>
      <c r="C3" s="3"/>
      <c r="D3" s="3"/>
      <c r="E3" s="131"/>
      <c r="F3" s="138"/>
      <c r="G3" s="148"/>
      <c r="I3" s="140"/>
      <c r="J3" s="6"/>
      <c r="K3" s="128"/>
      <c r="L3" s="1"/>
      <c r="M3" s="2"/>
      <c r="O3" s="126">
        <v>0</v>
      </c>
      <c r="P3" s="18"/>
      <c r="Q3" s="144"/>
      <c r="R3" s="19"/>
      <c r="S3" s="1"/>
      <c r="T3" s="4"/>
    </row>
    <row r="4" spans="1:20" ht="28">
      <c r="A4" s="67" t="s">
        <v>221</v>
      </c>
      <c r="B4" s="63" t="s">
        <v>13</v>
      </c>
      <c r="C4" s="134" t="s">
        <v>7</v>
      </c>
      <c r="D4" s="134" t="s">
        <v>222</v>
      </c>
      <c r="E4" s="132">
        <f>$O$4-J4*($O$4-$O$3)</f>
        <v>4.2500000000000003E-3</v>
      </c>
      <c r="F4" s="139">
        <f>$O$4-P4*($O$4-$O$3)</f>
        <v>0</v>
      </c>
      <c r="G4" s="149" t="s">
        <v>223</v>
      </c>
      <c r="H4" s="82" t="str">
        <f>CONCATENATE(K4," percent up in ",L4," international stage")</f>
        <v>0 percent up in Meghalayan international stage</v>
      </c>
      <c r="I4" s="142" t="str">
        <f>CONCATENATE(Q4," percent up in ",R4," international stage")</f>
        <v>100 percent up in Meghalayan international stage</v>
      </c>
      <c r="J4" s="7">
        <v>0</v>
      </c>
      <c r="K4" s="129">
        <f>ROUND(J4*100,1)</f>
        <v>0</v>
      </c>
      <c r="L4" s="8" t="s">
        <v>13</v>
      </c>
      <c r="M4" s="5" t="s">
        <v>224</v>
      </c>
      <c r="N4" s="5" t="s">
        <v>225</v>
      </c>
      <c r="O4" s="83">
        <f>Master_Chronostrat!I5</f>
        <v>4.2500000000000003E-3</v>
      </c>
      <c r="P4" s="20">
        <v>1</v>
      </c>
      <c r="Q4" s="143">
        <f>ROUND(P4*100,1)</f>
        <v>100</v>
      </c>
      <c r="R4" s="21" t="s">
        <v>13</v>
      </c>
      <c r="S4" s="8" t="s">
        <v>224</v>
      </c>
      <c r="T4" s="7" t="s">
        <v>226</v>
      </c>
    </row>
    <row r="5" spans="1:20" ht="42">
      <c r="A5" s="67" t="s">
        <v>221</v>
      </c>
      <c r="B5" s="63" t="s">
        <v>15</v>
      </c>
      <c r="C5" s="134" t="s">
        <v>7</v>
      </c>
      <c r="D5" s="134" t="s">
        <v>222</v>
      </c>
      <c r="E5" s="132">
        <f>$O$5-J5*($O$5-$O$4)</f>
        <v>8.2360000000000003E-3</v>
      </c>
      <c r="F5" s="139">
        <f>$O$5-P5*($O$5-$O$4)</f>
        <v>4.2500000000000003E-3</v>
      </c>
      <c r="G5" s="149"/>
      <c r="H5" s="82" t="str">
        <f t="shared" ref="H5:H68" si="0">CONCATENATE(K5," percent up in ",L5," international stage")</f>
        <v>0 percent up in Northgrippian international stage</v>
      </c>
      <c r="I5" s="142" t="str">
        <f t="shared" ref="I5:I68" si="1">CONCATENATE(Q5," percent up in ",R5," international stage")</f>
        <v>100 percent up in Northgrippian international stage</v>
      </c>
      <c r="J5" s="7">
        <v>0</v>
      </c>
      <c r="K5" s="129">
        <f t="shared" ref="K5:K68" si="2">ROUND(J5*100,1)</f>
        <v>0</v>
      </c>
      <c r="L5" s="8" t="s">
        <v>15</v>
      </c>
      <c r="M5" s="5" t="s">
        <v>224</v>
      </c>
      <c r="N5" s="5" t="s">
        <v>227</v>
      </c>
      <c r="O5" s="83">
        <f>Master_Chronostrat!I6</f>
        <v>8.2360000000000003E-3</v>
      </c>
      <c r="P5" s="20">
        <v>1</v>
      </c>
      <c r="Q5" s="143">
        <f t="shared" ref="Q5:Q68" si="3">ROUND(P5*100,1)</f>
        <v>100</v>
      </c>
      <c r="R5" s="21" t="s">
        <v>15</v>
      </c>
      <c r="S5" s="8" t="s">
        <v>224</v>
      </c>
      <c r="T5" s="7" t="s">
        <v>226</v>
      </c>
    </row>
    <row r="6" spans="1:20" ht="28">
      <c r="A6" s="67" t="s">
        <v>221</v>
      </c>
      <c r="B6" s="63" t="s">
        <v>228</v>
      </c>
      <c r="C6" s="5"/>
      <c r="D6" s="5" t="s">
        <v>229</v>
      </c>
      <c r="E6" s="132">
        <f t="shared" ref="E6:E13" si="4">$O$13-J6*($O$13-$O$5)</f>
        <v>1.1783999999999999E-2</v>
      </c>
      <c r="F6" s="139">
        <f>$O$13-P6*($O$13-$O$5)</f>
        <v>1.163129137049951E-2</v>
      </c>
      <c r="G6" s="149"/>
      <c r="H6" s="82" t="str">
        <f t="shared" si="0"/>
        <v>0 percent up in Greenlandian international stage</v>
      </c>
      <c r="I6" s="142" t="str">
        <f t="shared" si="1"/>
        <v>4.3 percent up in Greenlandian international stage</v>
      </c>
      <c r="J6" s="7">
        <v>0</v>
      </c>
      <c r="K6" s="129">
        <f t="shared" si="2"/>
        <v>0</v>
      </c>
      <c r="L6" s="8" t="s">
        <v>18</v>
      </c>
      <c r="M6" s="5" t="s">
        <v>82</v>
      </c>
      <c r="N6" s="5" t="s">
        <v>82</v>
      </c>
      <c r="O6" s="83"/>
      <c r="P6" s="20">
        <v>4.3040763669811057E-2</v>
      </c>
      <c r="Q6" s="143">
        <f t="shared" si="3"/>
        <v>4.3</v>
      </c>
      <c r="R6" s="21" t="s">
        <v>18</v>
      </c>
      <c r="S6" s="8" t="s">
        <v>230</v>
      </c>
      <c r="T6" s="7" t="s">
        <v>226</v>
      </c>
    </row>
    <row r="7" spans="1:20" ht="28">
      <c r="A7" s="67" t="s">
        <v>221</v>
      </c>
      <c r="B7" s="64" t="s">
        <v>231</v>
      </c>
      <c r="C7" s="5"/>
      <c r="D7" s="5" t="s">
        <v>82</v>
      </c>
      <c r="E7" s="132">
        <f t="shared" si="4"/>
        <v>1.1783999999999999E-2</v>
      </c>
      <c r="F7" s="139">
        <f t="shared" ref="F7:F12" si="5">$O$4-P7*($O$4-$O$3)</f>
        <v>0</v>
      </c>
      <c r="G7" s="149"/>
      <c r="H7" s="82" t="str">
        <f t="shared" si="0"/>
        <v>0 percent up in Greenlandian international stage</v>
      </c>
      <c r="I7" s="142" t="str">
        <f t="shared" si="1"/>
        <v>100 percent up in Meghalayan international stage</v>
      </c>
      <c r="J7" s="7">
        <v>0</v>
      </c>
      <c r="K7" s="129">
        <f t="shared" si="2"/>
        <v>0</v>
      </c>
      <c r="L7" s="8" t="s">
        <v>18</v>
      </c>
      <c r="M7" s="5" t="s">
        <v>82</v>
      </c>
      <c r="N7" s="5" t="s">
        <v>82</v>
      </c>
      <c r="O7" s="83"/>
      <c r="P7" s="20">
        <v>1</v>
      </c>
      <c r="Q7" s="143">
        <f t="shared" si="3"/>
        <v>100</v>
      </c>
      <c r="R7" s="21" t="s">
        <v>13</v>
      </c>
      <c r="S7" s="8" t="s">
        <v>232</v>
      </c>
      <c r="T7" s="7" t="s">
        <v>226</v>
      </c>
    </row>
    <row r="8" spans="1:20" ht="28">
      <c r="A8" s="67" t="s">
        <v>221</v>
      </c>
      <c r="B8" s="65" t="s">
        <v>233</v>
      </c>
      <c r="C8" s="5"/>
      <c r="D8" s="5" t="s">
        <v>234</v>
      </c>
      <c r="E8" s="132">
        <f t="shared" si="4"/>
        <v>1.1783999999999999E-2</v>
      </c>
      <c r="F8" s="139">
        <f t="shared" si="5"/>
        <v>0</v>
      </c>
      <c r="G8" s="149"/>
      <c r="H8" s="82" t="str">
        <f t="shared" si="0"/>
        <v>0 percent up in Greenlandian international stage</v>
      </c>
      <c r="I8" s="142" t="str">
        <f t="shared" si="1"/>
        <v>100 percent up in Meghalayan international stage</v>
      </c>
      <c r="J8" s="7">
        <v>0</v>
      </c>
      <c r="K8" s="129">
        <f t="shared" si="2"/>
        <v>0</v>
      </c>
      <c r="L8" s="8" t="s">
        <v>18</v>
      </c>
      <c r="M8" s="5" t="s">
        <v>82</v>
      </c>
      <c r="N8" s="5" t="s">
        <v>82</v>
      </c>
      <c r="O8" s="83"/>
      <c r="P8" s="20">
        <v>1</v>
      </c>
      <c r="Q8" s="143">
        <f t="shared" si="3"/>
        <v>100</v>
      </c>
      <c r="R8" s="21" t="s">
        <v>13</v>
      </c>
      <c r="S8" s="8" t="s">
        <v>232</v>
      </c>
      <c r="T8" s="7" t="s">
        <v>226</v>
      </c>
    </row>
    <row r="9" spans="1:20" ht="28">
      <c r="A9" s="67" t="s">
        <v>221</v>
      </c>
      <c r="B9" s="65" t="s">
        <v>235</v>
      </c>
      <c r="C9" s="5"/>
      <c r="D9" s="5" t="s">
        <v>236</v>
      </c>
      <c r="E9" s="132">
        <f t="shared" si="4"/>
        <v>1.1783999999999999E-2</v>
      </c>
      <c r="F9" s="139">
        <f t="shared" si="5"/>
        <v>0</v>
      </c>
      <c r="G9" s="149"/>
      <c r="H9" s="82" t="str">
        <f t="shared" si="0"/>
        <v>0 percent up in Greenlandian international stage</v>
      </c>
      <c r="I9" s="142" t="str">
        <f t="shared" si="1"/>
        <v>100 percent up in Meghalayan international stage</v>
      </c>
      <c r="J9" s="7">
        <v>0</v>
      </c>
      <c r="K9" s="129">
        <f t="shared" si="2"/>
        <v>0</v>
      </c>
      <c r="L9" s="8" t="s">
        <v>18</v>
      </c>
      <c r="M9" s="5" t="s">
        <v>82</v>
      </c>
      <c r="N9" s="5" t="s">
        <v>82</v>
      </c>
      <c r="O9" s="83"/>
      <c r="P9" s="20">
        <v>1</v>
      </c>
      <c r="Q9" s="143">
        <f t="shared" si="3"/>
        <v>100</v>
      </c>
      <c r="R9" s="21" t="s">
        <v>13</v>
      </c>
      <c r="S9" s="8" t="s">
        <v>232</v>
      </c>
      <c r="T9" s="7" t="s">
        <v>226</v>
      </c>
    </row>
    <row r="10" spans="1:20" ht="28">
      <c r="A10" s="67" t="s">
        <v>221</v>
      </c>
      <c r="B10" s="63" t="s">
        <v>237</v>
      </c>
      <c r="C10" s="5"/>
      <c r="D10" s="5" t="s">
        <v>236</v>
      </c>
      <c r="E10" s="132">
        <f t="shared" si="4"/>
        <v>1.1783999999999999E-2</v>
      </c>
      <c r="F10" s="139">
        <f t="shared" si="5"/>
        <v>0</v>
      </c>
      <c r="G10" s="149"/>
      <c r="H10" s="82" t="str">
        <f t="shared" si="0"/>
        <v>0 percent up in Greenlandian international stage</v>
      </c>
      <c r="I10" s="142" t="str">
        <f t="shared" si="1"/>
        <v>100 percent up in Meghalayan international stage</v>
      </c>
      <c r="J10" s="7">
        <v>0</v>
      </c>
      <c r="K10" s="129">
        <f t="shared" si="2"/>
        <v>0</v>
      </c>
      <c r="L10" s="8" t="s">
        <v>18</v>
      </c>
      <c r="M10" s="5" t="s">
        <v>82</v>
      </c>
      <c r="N10" s="5" t="s">
        <v>82</v>
      </c>
      <c r="O10" s="83"/>
      <c r="P10" s="20">
        <v>1</v>
      </c>
      <c r="Q10" s="143">
        <f t="shared" si="3"/>
        <v>100</v>
      </c>
      <c r="R10" s="21" t="s">
        <v>13</v>
      </c>
      <c r="S10" s="8" t="s">
        <v>232</v>
      </c>
      <c r="T10" s="7" t="s">
        <v>226</v>
      </c>
    </row>
    <row r="11" spans="1:20" ht="28">
      <c r="A11" s="67" t="s">
        <v>221</v>
      </c>
      <c r="B11" s="65" t="s">
        <v>16</v>
      </c>
      <c r="C11" s="134" t="s">
        <v>5</v>
      </c>
      <c r="D11" s="134" t="s">
        <v>222</v>
      </c>
      <c r="E11" s="132">
        <f t="shared" si="4"/>
        <v>1.1783999999999999E-2</v>
      </c>
      <c r="F11" s="139">
        <f t="shared" si="5"/>
        <v>0</v>
      </c>
      <c r="G11" s="149"/>
      <c r="H11" s="82" t="str">
        <f t="shared" si="0"/>
        <v>0 percent up in Greenlandian international stage</v>
      </c>
      <c r="I11" s="142" t="str">
        <f t="shared" si="1"/>
        <v>100 percent up in Meghalayan international stage</v>
      </c>
      <c r="J11" s="7">
        <v>0</v>
      </c>
      <c r="K11" s="129">
        <f t="shared" si="2"/>
        <v>0</v>
      </c>
      <c r="L11" s="8" t="s">
        <v>18</v>
      </c>
      <c r="M11" s="5" t="s">
        <v>224</v>
      </c>
      <c r="N11" s="5" t="s">
        <v>238</v>
      </c>
      <c r="O11" s="83"/>
      <c r="P11" s="20">
        <v>1</v>
      </c>
      <c r="Q11" s="143">
        <f t="shared" si="3"/>
        <v>100</v>
      </c>
      <c r="R11" s="21" t="s">
        <v>13</v>
      </c>
      <c r="S11" s="8" t="s">
        <v>239</v>
      </c>
      <c r="T11" s="7" t="s">
        <v>226</v>
      </c>
    </row>
    <row r="12" spans="1:20" ht="28">
      <c r="A12" s="67" t="s">
        <v>221</v>
      </c>
      <c r="B12" s="65" t="s">
        <v>240</v>
      </c>
      <c r="C12" s="5"/>
      <c r="D12" s="5" t="s">
        <v>82</v>
      </c>
      <c r="E12" s="132">
        <f t="shared" si="4"/>
        <v>1.1783999999999999E-2</v>
      </c>
      <c r="F12" s="139">
        <f t="shared" si="5"/>
        <v>0</v>
      </c>
      <c r="G12" s="149" t="s">
        <v>241</v>
      </c>
      <c r="H12" s="82" t="str">
        <f t="shared" si="0"/>
        <v>0 percent up in Greenlandian international stage</v>
      </c>
      <c r="I12" s="142" t="str">
        <f t="shared" si="1"/>
        <v>100 percent up in Meghalayan international stage</v>
      </c>
      <c r="J12" s="7">
        <v>0</v>
      </c>
      <c r="K12" s="129">
        <f t="shared" si="2"/>
        <v>0</v>
      </c>
      <c r="L12" s="8" t="s">
        <v>18</v>
      </c>
      <c r="M12" s="5" t="s">
        <v>82</v>
      </c>
      <c r="N12" s="5" t="s">
        <v>82</v>
      </c>
      <c r="O12" s="83"/>
      <c r="P12" s="20">
        <v>1</v>
      </c>
      <c r="Q12" s="143">
        <f t="shared" si="3"/>
        <v>100</v>
      </c>
      <c r="R12" s="21" t="s">
        <v>13</v>
      </c>
      <c r="S12" s="8" t="s">
        <v>232</v>
      </c>
      <c r="T12" s="7" t="s">
        <v>226</v>
      </c>
    </row>
    <row r="13" spans="1:20" ht="28">
      <c r="A13" s="67" t="s">
        <v>221</v>
      </c>
      <c r="B13" s="63" t="s">
        <v>18</v>
      </c>
      <c r="C13" s="134" t="s">
        <v>7</v>
      </c>
      <c r="D13" s="134" t="s">
        <v>222</v>
      </c>
      <c r="E13" s="132">
        <f t="shared" si="4"/>
        <v>1.1783999999999999E-2</v>
      </c>
      <c r="F13" s="139">
        <f>$O$13-P13*($O$13-$O$5)</f>
        <v>8.2360000000000003E-3</v>
      </c>
      <c r="G13" s="149"/>
      <c r="H13" s="82" t="str">
        <f t="shared" si="0"/>
        <v>0 percent up in Greenlandian international stage</v>
      </c>
      <c r="I13" s="142" t="str">
        <f t="shared" si="1"/>
        <v>100 percent up in Greenlandian international stage</v>
      </c>
      <c r="J13" s="7">
        <v>0</v>
      </c>
      <c r="K13" s="129">
        <f t="shared" si="2"/>
        <v>0</v>
      </c>
      <c r="L13" s="8" t="s">
        <v>18</v>
      </c>
      <c r="M13" s="5" t="s">
        <v>224</v>
      </c>
      <c r="N13" s="5" t="s">
        <v>242</v>
      </c>
      <c r="O13" s="83">
        <f>Master_Chronostrat!I7</f>
        <v>1.1783999999999999E-2</v>
      </c>
      <c r="P13" s="20">
        <v>1</v>
      </c>
      <c r="Q13" s="143">
        <f t="shared" si="3"/>
        <v>100</v>
      </c>
      <c r="R13" s="21" t="s">
        <v>18</v>
      </c>
      <c r="S13" s="8" t="s">
        <v>224</v>
      </c>
      <c r="T13" s="7" t="s">
        <v>226</v>
      </c>
    </row>
    <row r="14" spans="1:20" ht="28">
      <c r="A14" s="67" t="s">
        <v>221</v>
      </c>
      <c r="B14" s="63" t="s">
        <v>243</v>
      </c>
      <c r="C14" s="5"/>
      <c r="D14" s="5" t="s">
        <v>244</v>
      </c>
      <c r="E14" s="132">
        <f t="shared" ref="E14:E26" si="6">$O$26-J14*($O$26-$O$13)</f>
        <v>7.7278948826194932E-2</v>
      </c>
      <c r="F14" s="139">
        <f>$O$13-P14*($O$13-$O$5)</f>
        <v>1.0018270821308748E-2</v>
      </c>
      <c r="G14" s="149"/>
      <c r="H14" s="82" t="str">
        <f t="shared" si="0"/>
        <v>44.6 percent up in Pleistocene Upper international stage</v>
      </c>
      <c r="I14" s="142" t="str">
        <f t="shared" si="1"/>
        <v>49.8 percent up in Greenlandian international stage</v>
      </c>
      <c r="J14" s="7">
        <v>0.44597221335356518</v>
      </c>
      <c r="K14" s="129">
        <f t="shared" si="2"/>
        <v>44.6</v>
      </c>
      <c r="L14" s="8" t="s">
        <v>245</v>
      </c>
      <c r="M14" s="5" t="s">
        <v>82</v>
      </c>
      <c r="N14" s="5" t="s">
        <v>82</v>
      </c>
      <c r="O14" s="83"/>
      <c r="P14" s="20">
        <v>0.49766887787239333</v>
      </c>
      <c r="Q14" s="143">
        <f t="shared" si="3"/>
        <v>49.8</v>
      </c>
      <c r="R14" s="21" t="s">
        <v>18</v>
      </c>
      <c r="S14" s="8" t="s">
        <v>246</v>
      </c>
      <c r="T14" s="7" t="s">
        <v>226</v>
      </c>
    </row>
    <row r="15" spans="1:20" ht="28">
      <c r="A15" s="67" t="s">
        <v>221</v>
      </c>
      <c r="B15" s="63" t="s">
        <v>247</v>
      </c>
      <c r="C15" s="5"/>
      <c r="D15" s="5" t="s">
        <v>248</v>
      </c>
      <c r="E15" s="132">
        <f t="shared" si="6"/>
        <v>0.1031226013623739</v>
      </c>
      <c r="F15" s="139">
        <f>$O$13-P15*($O$13-$O$5)</f>
        <v>1.0018270821308748E-2</v>
      </c>
      <c r="G15" s="149"/>
      <c r="H15" s="82" t="str">
        <f t="shared" si="0"/>
        <v>22.7 percent up in Pleistocene Upper international stage</v>
      </c>
      <c r="I15" s="142" t="str">
        <f t="shared" si="1"/>
        <v>49.8 percent up in Greenlandian international stage</v>
      </c>
      <c r="J15" s="7">
        <v>0.22735838327828806</v>
      </c>
      <c r="K15" s="129">
        <f t="shared" si="2"/>
        <v>22.7</v>
      </c>
      <c r="L15" s="8" t="s">
        <v>245</v>
      </c>
      <c r="M15" s="5" t="s">
        <v>82</v>
      </c>
      <c r="N15" s="5" t="s">
        <v>82</v>
      </c>
      <c r="O15" s="83"/>
      <c r="P15" s="20">
        <v>0.49766887787239333</v>
      </c>
      <c r="Q15" s="143">
        <f t="shared" si="3"/>
        <v>49.8</v>
      </c>
      <c r="R15" s="21" t="s">
        <v>18</v>
      </c>
      <c r="S15" s="8" t="s">
        <v>246</v>
      </c>
      <c r="T15" s="7" t="s">
        <v>226</v>
      </c>
    </row>
    <row r="16" spans="1:20" ht="28">
      <c r="A16" s="67" t="s">
        <v>221</v>
      </c>
      <c r="B16" s="63" t="s">
        <v>249</v>
      </c>
      <c r="C16" s="5"/>
      <c r="D16" s="5" t="s">
        <v>250</v>
      </c>
      <c r="E16" s="132">
        <f t="shared" si="6"/>
        <v>0.1031226013623739</v>
      </c>
      <c r="F16" s="139">
        <f>$O$13-P16*($O$13-$O$5)</f>
        <v>1.0018270821308748E-2</v>
      </c>
      <c r="G16" s="149"/>
      <c r="H16" s="82" t="str">
        <f t="shared" si="0"/>
        <v>22.7 percent up in Pleistocene Upper international stage</v>
      </c>
      <c r="I16" s="142" t="str">
        <f t="shared" si="1"/>
        <v>49.8 percent up in Greenlandian international stage</v>
      </c>
      <c r="J16" s="7">
        <v>0.22735838327828806</v>
      </c>
      <c r="K16" s="129">
        <f t="shared" si="2"/>
        <v>22.7</v>
      </c>
      <c r="L16" s="8" t="s">
        <v>245</v>
      </c>
      <c r="M16" s="5" t="s">
        <v>82</v>
      </c>
      <c r="N16" s="5" t="s">
        <v>82</v>
      </c>
      <c r="O16" s="83"/>
      <c r="P16" s="20">
        <v>0.49766887787239333</v>
      </c>
      <c r="Q16" s="143">
        <f t="shared" si="3"/>
        <v>49.8</v>
      </c>
      <c r="R16" s="21" t="s">
        <v>18</v>
      </c>
      <c r="S16" s="8" t="s">
        <v>246</v>
      </c>
      <c r="T16" s="7" t="s">
        <v>226</v>
      </c>
    </row>
    <row r="17" spans="1:20" ht="28">
      <c r="A17" s="67" t="s">
        <v>221</v>
      </c>
      <c r="B17" s="65" t="s">
        <v>251</v>
      </c>
      <c r="C17" s="5"/>
      <c r="D17" s="5" t="s">
        <v>82</v>
      </c>
      <c r="E17" s="132">
        <f t="shared" si="6"/>
        <v>0.11806044920869088</v>
      </c>
      <c r="F17" s="139">
        <f>$O$4-P17*($O$4-$O$3)</f>
        <v>0</v>
      </c>
      <c r="G17" s="149"/>
      <c r="H17" s="82" t="str">
        <f t="shared" si="0"/>
        <v>10.1 percent up in Pleistocene Upper international stage</v>
      </c>
      <c r="I17" s="142" t="str">
        <f t="shared" si="1"/>
        <v>100 percent up in Meghalayan international stage</v>
      </c>
      <c r="J17" s="7">
        <v>0.10099775657532928</v>
      </c>
      <c r="K17" s="129">
        <f t="shared" si="2"/>
        <v>10.1</v>
      </c>
      <c r="L17" s="8" t="s">
        <v>245</v>
      </c>
      <c r="M17" s="5" t="s">
        <v>82</v>
      </c>
      <c r="N17" s="5" t="s">
        <v>82</v>
      </c>
      <c r="O17" s="83"/>
      <c r="P17" s="20">
        <v>1</v>
      </c>
      <c r="Q17" s="143">
        <f t="shared" si="3"/>
        <v>100</v>
      </c>
      <c r="R17" s="21" t="s">
        <v>13</v>
      </c>
      <c r="S17" s="8" t="s">
        <v>246</v>
      </c>
      <c r="T17" s="7" t="s">
        <v>226</v>
      </c>
    </row>
    <row r="18" spans="1:20" ht="28">
      <c r="A18" s="67" t="s">
        <v>221</v>
      </c>
      <c r="B18" s="63" t="s">
        <v>252</v>
      </c>
      <c r="C18" s="5"/>
      <c r="D18" s="5" t="s">
        <v>82</v>
      </c>
      <c r="E18" s="132">
        <f t="shared" si="6"/>
        <v>0.11966253898552842</v>
      </c>
      <c r="F18" s="139">
        <f>$O$13-P18*($O$13-$O$5)</f>
        <v>1.163129137049951E-2</v>
      </c>
      <c r="G18" s="149"/>
      <c r="H18" s="82" t="str">
        <f t="shared" si="0"/>
        <v>8.7 percent up in Pleistocene Upper international stage</v>
      </c>
      <c r="I18" s="142" t="str">
        <f t="shared" si="1"/>
        <v>4.3 percent up in Greenlandian international stage</v>
      </c>
      <c r="J18" s="7">
        <v>8.7445532030110851E-2</v>
      </c>
      <c r="K18" s="129">
        <f t="shared" si="2"/>
        <v>8.6999999999999993</v>
      </c>
      <c r="L18" s="8" t="s">
        <v>245</v>
      </c>
      <c r="M18" s="5" t="s">
        <v>82</v>
      </c>
      <c r="N18" s="5" t="s">
        <v>82</v>
      </c>
      <c r="O18" s="83"/>
      <c r="P18" s="20">
        <v>4.3040763669811057E-2</v>
      </c>
      <c r="Q18" s="143">
        <f t="shared" si="3"/>
        <v>4.3</v>
      </c>
      <c r="R18" s="21" t="s">
        <v>18</v>
      </c>
      <c r="S18" s="8" t="s">
        <v>246</v>
      </c>
      <c r="T18" s="7" t="s">
        <v>226</v>
      </c>
    </row>
    <row r="19" spans="1:20" ht="28">
      <c r="A19" s="67" t="s">
        <v>221</v>
      </c>
      <c r="B19" s="63" t="s">
        <v>253</v>
      </c>
      <c r="C19" s="5"/>
      <c r="D19" s="5" t="s">
        <v>254</v>
      </c>
      <c r="E19" s="132">
        <f t="shared" si="6"/>
        <v>0.11966253898552842</v>
      </c>
      <c r="F19" s="139">
        <f>$O$13-P19*($O$13-$O$5)</f>
        <v>1.163129137049951E-2</v>
      </c>
      <c r="G19" s="149"/>
      <c r="H19" s="82" t="str">
        <f t="shared" si="0"/>
        <v>8.7 percent up in Pleistocene Upper international stage</v>
      </c>
      <c r="I19" s="142" t="str">
        <f t="shared" si="1"/>
        <v>4.3 percent up in Greenlandian international stage</v>
      </c>
      <c r="J19" s="7">
        <v>8.7445532030110851E-2</v>
      </c>
      <c r="K19" s="129">
        <f t="shared" si="2"/>
        <v>8.6999999999999993</v>
      </c>
      <c r="L19" s="8" t="s">
        <v>245</v>
      </c>
      <c r="M19" s="5" t="s">
        <v>82</v>
      </c>
      <c r="N19" s="5" t="s">
        <v>82</v>
      </c>
      <c r="O19" s="83"/>
      <c r="P19" s="20">
        <v>4.3040763669811057E-2</v>
      </c>
      <c r="Q19" s="143">
        <f t="shared" si="3"/>
        <v>4.3</v>
      </c>
      <c r="R19" s="21" t="s">
        <v>18</v>
      </c>
      <c r="S19" s="8" t="s">
        <v>246</v>
      </c>
      <c r="T19" s="7" t="s">
        <v>226</v>
      </c>
    </row>
    <row r="20" spans="1:20" ht="28">
      <c r="A20" s="67" t="s">
        <v>221</v>
      </c>
      <c r="B20" s="63" t="s">
        <v>255</v>
      </c>
      <c r="C20" s="5"/>
      <c r="D20" s="5" t="s">
        <v>256</v>
      </c>
      <c r="E20" s="132">
        <f t="shared" si="6"/>
        <v>0.11966253898552842</v>
      </c>
      <c r="F20" s="139">
        <f>$O$13-P20*($O$13-$O$5)</f>
        <v>1.163129137049951E-2</v>
      </c>
      <c r="G20" s="149"/>
      <c r="H20" s="82" t="str">
        <f t="shared" si="0"/>
        <v>8.7 percent up in Pleistocene Upper international stage</v>
      </c>
      <c r="I20" s="142" t="str">
        <f t="shared" si="1"/>
        <v>4.3 percent up in Greenlandian international stage</v>
      </c>
      <c r="J20" s="7">
        <v>8.7445532030110851E-2</v>
      </c>
      <c r="K20" s="129">
        <f t="shared" si="2"/>
        <v>8.6999999999999993</v>
      </c>
      <c r="L20" s="8" t="s">
        <v>245</v>
      </c>
      <c r="M20" s="5" t="s">
        <v>82</v>
      </c>
      <c r="N20" s="5" t="s">
        <v>82</v>
      </c>
      <c r="O20" s="83"/>
      <c r="P20" s="20">
        <v>4.3040763669811057E-2</v>
      </c>
      <c r="Q20" s="143">
        <f t="shared" si="3"/>
        <v>4.3</v>
      </c>
      <c r="R20" s="21" t="s">
        <v>18</v>
      </c>
      <c r="S20" s="8" t="s">
        <v>246</v>
      </c>
      <c r="T20" s="7" t="s">
        <v>226</v>
      </c>
    </row>
    <row r="21" spans="1:20" ht="28">
      <c r="A21" s="67" t="s">
        <v>221</v>
      </c>
      <c r="B21" s="63" t="s">
        <v>257</v>
      </c>
      <c r="C21" s="5"/>
      <c r="D21" s="5" t="s">
        <v>258</v>
      </c>
      <c r="E21" s="132">
        <f t="shared" si="6"/>
        <v>0.12793250779710569</v>
      </c>
      <c r="F21" s="139">
        <f t="shared" ref="F21:F29" si="7">$O$26-P21*($O$26-$O$13)</f>
        <v>1.2152944435024016E-2</v>
      </c>
      <c r="G21" s="149"/>
      <c r="H21" s="82" t="str">
        <f t="shared" si="0"/>
        <v>1.7 percent up in Pleistocene Upper international stage</v>
      </c>
      <c r="I21" s="142" t="str">
        <f t="shared" si="1"/>
        <v>99.7 percent up in Pleistocene Upper international stage</v>
      </c>
      <c r="J21" s="7">
        <v>1.7489106406022192E-2</v>
      </c>
      <c r="K21" s="129">
        <f t="shared" si="2"/>
        <v>1.7</v>
      </c>
      <c r="L21" s="8" t="s">
        <v>245</v>
      </c>
      <c r="M21" s="5" t="s">
        <v>82</v>
      </c>
      <c r="N21" s="5" t="s">
        <v>82</v>
      </c>
      <c r="O21" s="83"/>
      <c r="P21" s="20">
        <v>0.99687906514326308</v>
      </c>
      <c r="Q21" s="143">
        <f t="shared" si="3"/>
        <v>99.7</v>
      </c>
      <c r="R21" s="21" t="s">
        <v>245</v>
      </c>
      <c r="S21" s="8" t="s">
        <v>259</v>
      </c>
      <c r="T21" s="7">
        <v>0.979389958737241</v>
      </c>
    </row>
    <row r="22" spans="1:20" ht="28">
      <c r="A22" s="67" t="s">
        <v>221</v>
      </c>
      <c r="B22" s="63" t="s">
        <v>260</v>
      </c>
      <c r="C22" s="5"/>
      <c r="D22" s="5" t="s">
        <v>244</v>
      </c>
      <c r="E22" s="132">
        <f t="shared" si="6"/>
        <v>0.12896625389855285</v>
      </c>
      <c r="F22" s="139">
        <f t="shared" si="7"/>
        <v>7.7278948826194932E-2</v>
      </c>
      <c r="G22" s="149"/>
      <c r="H22" s="82" t="str">
        <f t="shared" si="0"/>
        <v>0.9 percent up in Pleistocene Upper international stage</v>
      </c>
      <c r="I22" s="142" t="str">
        <f t="shared" si="1"/>
        <v>44.6 percent up in Pleistocene Upper international stage</v>
      </c>
      <c r="J22" s="7">
        <v>8.7445532030111517E-3</v>
      </c>
      <c r="K22" s="129">
        <f t="shared" si="2"/>
        <v>0.9</v>
      </c>
      <c r="L22" s="8" t="s">
        <v>245</v>
      </c>
      <c r="M22" s="5" t="s">
        <v>82</v>
      </c>
      <c r="N22" s="5" t="s">
        <v>82</v>
      </c>
      <c r="O22" s="83"/>
      <c r="P22" s="20">
        <v>0.44597221335356518</v>
      </c>
      <c r="Q22" s="143">
        <f t="shared" si="3"/>
        <v>44.6</v>
      </c>
      <c r="R22" s="21" t="s">
        <v>245</v>
      </c>
      <c r="S22" s="8" t="s">
        <v>259</v>
      </c>
      <c r="T22" s="7">
        <v>0.43722766015055398</v>
      </c>
    </row>
    <row r="23" spans="1:20" ht="28">
      <c r="A23" s="67" t="s">
        <v>221</v>
      </c>
      <c r="B23" s="63" t="s">
        <v>261</v>
      </c>
      <c r="C23" s="5"/>
      <c r="D23" s="5" t="s">
        <v>258</v>
      </c>
      <c r="E23" s="132">
        <f t="shared" si="6"/>
        <v>0.13</v>
      </c>
      <c r="F23" s="139">
        <f t="shared" si="7"/>
        <v>0.12793250779710569</v>
      </c>
      <c r="G23" s="149"/>
      <c r="H23" s="82" t="str">
        <f t="shared" si="0"/>
        <v>0 percent up in Pleistocene Upper international stage</v>
      </c>
      <c r="I23" s="142" t="str">
        <f t="shared" si="1"/>
        <v>1.7 percent up in Pleistocene Upper international stage</v>
      </c>
      <c r="J23" s="7">
        <v>0</v>
      </c>
      <c r="K23" s="129">
        <f t="shared" si="2"/>
        <v>0</v>
      </c>
      <c r="L23" s="8" t="s">
        <v>245</v>
      </c>
      <c r="M23" s="5" t="s">
        <v>82</v>
      </c>
      <c r="N23" s="5" t="s">
        <v>82</v>
      </c>
      <c r="O23" s="83"/>
      <c r="P23" s="20">
        <v>1.7489106406022234E-2</v>
      </c>
      <c r="Q23" s="143">
        <f t="shared" si="3"/>
        <v>1.7</v>
      </c>
      <c r="R23" s="21" t="s">
        <v>245</v>
      </c>
      <c r="S23" s="8" t="s">
        <v>230</v>
      </c>
      <c r="T23" s="7" t="s">
        <v>226</v>
      </c>
    </row>
    <row r="24" spans="1:20" ht="28">
      <c r="A24" s="67" t="s">
        <v>221</v>
      </c>
      <c r="B24" s="65" t="s">
        <v>262</v>
      </c>
      <c r="C24" s="5"/>
      <c r="D24" s="5" t="s">
        <v>250</v>
      </c>
      <c r="E24" s="132">
        <f t="shared" si="6"/>
        <v>0.13</v>
      </c>
      <c r="F24" s="139">
        <f t="shared" si="7"/>
        <v>1.1784000000000003E-2</v>
      </c>
      <c r="G24" s="149"/>
      <c r="H24" s="82" t="str">
        <f t="shared" si="0"/>
        <v>0 percent up in Pleistocene Upper international stage</v>
      </c>
      <c r="I24" s="142" t="str">
        <f t="shared" si="1"/>
        <v>100 percent up in Pleistocene Upper international stage</v>
      </c>
      <c r="J24" s="7">
        <v>0</v>
      </c>
      <c r="K24" s="129">
        <f t="shared" si="2"/>
        <v>0</v>
      </c>
      <c r="L24" s="8" t="s">
        <v>245</v>
      </c>
      <c r="M24" s="5" t="s">
        <v>82</v>
      </c>
      <c r="N24" s="5" t="s">
        <v>82</v>
      </c>
      <c r="O24" s="83"/>
      <c r="P24" s="20">
        <v>1</v>
      </c>
      <c r="Q24" s="143">
        <f t="shared" si="3"/>
        <v>100</v>
      </c>
      <c r="R24" s="21" t="s">
        <v>245</v>
      </c>
      <c r="S24" s="8" t="s">
        <v>232</v>
      </c>
      <c r="T24" s="7" t="s">
        <v>226</v>
      </c>
    </row>
    <row r="25" spans="1:20" ht="28">
      <c r="A25" s="67" t="s">
        <v>221</v>
      </c>
      <c r="B25" s="65" t="s">
        <v>263</v>
      </c>
      <c r="C25" s="5"/>
      <c r="D25" s="5" t="s">
        <v>264</v>
      </c>
      <c r="E25" s="132">
        <f t="shared" si="6"/>
        <v>0.13</v>
      </c>
      <c r="F25" s="139">
        <f t="shared" si="7"/>
        <v>8.2530740155555754E-2</v>
      </c>
      <c r="G25" s="149"/>
      <c r="H25" s="82" t="str">
        <f t="shared" si="0"/>
        <v>0 percent up in Pleistocene Upper international stage</v>
      </c>
      <c r="I25" s="142" t="str">
        <f t="shared" si="1"/>
        <v>40.2 percent up in Pleistocene Upper international stage</v>
      </c>
      <c r="J25" s="7">
        <v>0</v>
      </c>
      <c r="K25" s="129">
        <f t="shared" si="2"/>
        <v>0</v>
      </c>
      <c r="L25" s="8" t="s">
        <v>245</v>
      </c>
      <c r="M25" s="5" t="s">
        <v>82</v>
      </c>
      <c r="N25" s="5" t="s">
        <v>82</v>
      </c>
      <c r="O25" s="83"/>
      <c r="P25" s="20">
        <v>0.40154682821652099</v>
      </c>
      <c r="Q25" s="143">
        <f t="shared" si="3"/>
        <v>40.200000000000003</v>
      </c>
      <c r="R25" s="21" t="s">
        <v>245</v>
      </c>
      <c r="S25" s="8" t="s">
        <v>230</v>
      </c>
      <c r="T25" s="7" t="s">
        <v>226</v>
      </c>
    </row>
    <row r="26" spans="1:20" ht="28">
      <c r="A26" s="67" t="s">
        <v>221</v>
      </c>
      <c r="B26" s="65" t="s">
        <v>245</v>
      </c>
      <c r="C26" s="134" t="s">
        <v>6</v>
      </c>
      <c r="D26" s="134" t="s">
        <v>222</v>
      </c>
      <c r="E26" s="132">
        <f t="shared" si="6"/>
        <v>0.13</v>
      </c>
      <c r="F26" s="139">
        <f t="shared" si="7"/>
        <v>1.1784000000000003E-2</v>
      </c>
      <c r="G26" s="149"/>
      <c r="H26" s="82" t="str">
        <f t="shared" si="0"/>
        <v>0 percent up in Pleistocene Upper international stage</v>
      </c>
      <c r="I26" s="142" t="str">
        <f t="shared" si="1"/>
        <v>100 percent up in Pleistocene Upper international stage</v>
      </c>
      <c r="J26" s="7">
        <v>0</v>
      </c>
      <c r="K26" s="129">
        <f t="shared" si="2"/>
        <v>0</v>
      </c>
      <c r="L26" s="8" t="s">
        <v>245</v>
      </c>
      <c r="M26" s="5" t="s">
        <v>224</v>
      </c>
      <c r="N26" s="5" t="s">
        <v>265</v>
      </c>
      <c r="O26" s="83">
        <f>Master_Chronostrat!I8</f>
        <v>0.13</v>
      </c>
      <c r="P26" s="20">
        <v>1</v>
      </c>
      <c r="Q26" s="143">
        <f t="shared" si="3"/>
        <v>100</v>
      </c>
      <c r="R26" s="21" t="s">
        <v>245</v>
      </c>
      <c r="S26" s="8" t="s">
        <v>224</v>
      </c>
      <c r="T26" s="7" t="s">
        <v>226</v>
      </c>
    </row>
    <row r="27" spans="1:20" ht="34">
      <c r="A27" s="67" t="s">
        <v>221</v>
      </c>
      <c r="B27" s="63" t="s">
        <v>266</v>
      </c>
      <c r="C27" s="5"/>
      <c r="D27" s="5" t="s">
        <v>256</v>
      </c>
      <c r="E27" s="132">
        <f t="shared" ref="E27:E58" si="8">$O$76-J27*($O$76-$O$26)</f>
        <v>0.13196335877862597</v>
      </c>
      <c r="F27" s="139">
        <f t="shared" si="7"/>
        <v>0.11966253898552842</v>
      </c>
      <c r="G27" s="149"/>
      <c r="H27" s="82" t="str">
        <f t="shared" si="0"/>
        <v>99.7 percent up in Chibanian international stage</v>
      </c>
      <c r="I27" s="142" t="str">
        <f t="shared" si="1"/>
        <v>8.7 percent up in Pleistocene Upper international stage</v>
      </c>
      <c r="J27" s="7">
        <v>0.99694656488549616</v>
      </c>
      <c r="K27" s="129">
        <f t="shared" si="2"/>
        <v>99.7</v>
      </c>
      <c r="L27" s="8" t="s">
        <v>20</v>
      </c>
      <c r="M27" s="5" t="s">
        <v>82</v>
      </c>
      <c r="N27" s="5" t="s">
        <v>82</v>
      </c>
      <c r="O27" s="83"/>
      <c r="P27" s="20">
        <v>8.7445532030110809E-2</v>
      </c>
      <c r="Q27" s="143">
        <f t="shared" si="3"/>
        <v>8.6999999999999993</v>
      </c>
      <c r="R27" s="21" t="s">
        <v>245</v>
      </c>
      <c r="S27" s="8" t="s">
        <v>246</v>
      </c>
      <c r="T27" s="7" t="s">
        <v>226</v>
      </c>
    </row>
    <row r="28" spans="1:20" ht="28">
      <c r="A28" s="67" t="s">
        <v>221</v>
      </c>
      <c r="B28" s="63" t="s">
        <v>267</v>
      </c>
      <c r="C28" s="5"/>
      <c r="D28" s="5" t="s">
        <v>254</v>
      </c>
      <c r="E28" s="132">
        <f t="shared" si="8"/>
        <v>0.13392671755725194</v>
      </c>
      <c r="F28" s="139">
        <f t="shared" si="7"/>
        <v>0.11966253898552842</v>
      </c>
      <c r="G28" s="149"/>
      <c r="H28" s="82" t="str">
        <f t="shared" si="0"/>
        <v>99.4 percent up in Chibanian international stage</v>
      </c>
      <c r="I28" s="142" t="str">
        <f t="shared" si="1"/>
        <v>8.7 percent up in Pleistocene Upper international stage</v>
      </c>
      <c r="J28" s="7">
        <v>0.99389312977099231</v>
      </c>
      <c r="K28" s="129">
        <f t="shared" si="2"/>
        <v>99.4</v>
      </c>
      <c r="L28" s="8" t="s">
        <v>20</v>
      </c>
      <c r="M28" s="5" t="s">
        <v>82</v>
      </c>
      <c r="N28" s="5" t="s">
        <v>82</v>
      </c>
      <c r="O28" s="83"/>
      <c r="P28" s="20">
        <v>8.7445532030110809E-2</v>
      </c>
      <c r="Q28" s="143">
        <f t="shared" si="3"/>
        <v>8.6999999999999993</v>
      </c>
      <c r="R28" s="21" t="s">
        <v>245</v>
      </c>
      <c r="S28" s="8" t="s">
        <v>246</v>
      </c>
      <c r="T28" s="7" t="s">
        <v>226</v>
      </c>
    </row>
    <row r="29" spans="1:20" ht="28">
      <c r="A29" s="67" t="s">
        <v>221</v>
      </c>
      <c r="B29" s="63" t="s">
        <v>268</v>
      </c>
      <c r="C29" s="5"/>
      <c r="D29" s="5" t="s">
        <v>229</v>
      </c>
      <c r="E29" s="132">
        <f t="shared" si="8"/>
        <v>0.13392671755725194</v>
      </c>
      <c r="F29" s="139">
        <f t="shared" si="7"/>
        <v>0.11966253898552842</v>
      </c>
      <c r="G29" s="149"/>
      <c r="H29" s="82" t="str">
        <f t="shared" si="0"/>
        <v>99.4 percent up in Chibanian international stage</v>
      </c>
      <c r="I29" s="142" t="str">
        <f t="shared" si="1"/>
        <v>8.7 percent up in Pleistocene Upper international stage</v>
      </c>
      <c r="J29" s="7">
        <v>0.99389312977099231</v>
      </c>
      <c r="K29" s="129">
        <f t="shared" si="2"/>
        <v>99.4</v>
      </c>
      <c r="L29" s="8" t="s">
        <v>20</v>
      </c>
      <c r="M29" s="5" t="s">
        <v>82</v>
      </c>
      <c r="N29" s="5" t="s">
        <v>82</v>
      </c>
      <c r="O29" s="83"/>
      <c r="P29" s="20">
        <v>8.7445532030110809E-2</v>
      </c>
      <c r="Q29" s="143">
        <f t="shared" si="3"/>
        <v>8.6999999999999993</v>
      </c>
      <c r="R29" s="21" t="s">
        <v>245</v>
      </c>
      <c r="S29" s="8" t="s">
        <v>246</v>
      </c>
      <c r="T29" s="7" t="s">
        <v>226</v>
      </c>
    </row>
    <row r="30" spans="1:20" ht="28">
      <c r="A30" s="67" t="s">
        <v>221</v>
      </c>
      <c r="B30" s="63" t="s">
        <v>269</v>
      </c>
      <c r="C30" s="5"/>
      <c r="D30" s="5" t="s">
        <v>270</v>
      </c>
      <c r="E30" s="132">
        <f t="shared" si="8"/>
        <v>0.15356030534351151</v>
      </c>
      <c r="F30" s="139">
        <f>$O$76-P30*($O$76-$O$26)</f>
        <v>0.13392671755725194</v>
      </c>
      <c r="G30" s="149"/>
      <c r="H30" s="82" t="str">
        <f t="shared" si="0"/>
        <v>96.3 percent up in Chibanian international stage</v>
      </c>
      <c r="I30" s="142" t="str">
        <f t="shared" si="1"/>
        <v>99.4 percent up in Chibanian international stage</v>
      </c>
      <c r="J30" s="7">
        <v>0.9633587786259542</v>
      </c>
      <c r="K30" s="129">
        <f t="shared" si="2"/>
        <v>96.3</v>
      </c>
      <c r="L30" s="8" t="s">
        <v>20</v>
      </c>
      <c r="M30" s="5" t="s">
        <v>82</v>
      </c>
      <c r="N30" s="5" t="s">
        <v>82</v>
      </c>
      <c r="O30" s="83"/>
      <c r="P30" s="20">
        <v>0.99389312977099231</v>
      </c>
      <c r="Q30" s="143">
        <f t="shared" si="3"/>
        <v>99.4</v>
      </c>
      <c r="R30" s="21" t="s">
        <v>20</v>
      </c>
      <c r="S30" s="8" t="s">
        <v>259</v>
      </c>
      <c r="T30" s="7">
        <v>3.0534351145038215E-2</v>
      </c>
    </row>
    <row r="31" spans="1:20" ht="28">
      <c r="A31" s="67" t="s">
        <v>221</v>
      </c>
      <c r="B31" s="63" t="s">
        <v>271</v>
      </c>
      <c r="C31" s="5"/>
      <c r="D31" s="5" t="s">
        <v>270</v>
      </c>
      <c r="E31" s="132">
        <f t="shared" si="8"/>
        <v>0.16337709923664123</v>
      </c>
      <c r="F31" s="139">
        <f>$O$76-P31*($O$76-$O$26)</f>
        <v>0.13</v>
      </c>
      <c r="G31" s="149"/>
      <c r="H31" s="82" t="str">
        <f t="shared" si="0"/>
        <v>94.8 percent up in Chibanian international stage</v>
      </c>
      <c r="I31" s="142" t="str">
        <f t="shared" si="1"/>
        <v>100 percent up in Chibanian international stage</v>
      </c>
      <c r="J31" s="7">
        <v>0.94809160305343509</v>
      </c>
      <c r="K31" s="129">
        <f t="shared" si="2"/>
        <v>94.8</v>
      </c>
      <c r="L31" s="8" t="s">
        <v>20</v>
      </c>
      <c r="M31" s="5" t="s">
        <v>82</v>
      </c>
      <c r="N31" s="5" t="s">
        <v>82</v>
      </c>
      <c r="O31" s="83"/>
      <c r="P31" s="20">
        <v>1</v>
      </c>
      <c r="Q31" s="143">
        <f t="shared" si="3"/>
        <v>100</v>
      </c>
      <c r="R31" s="21" t="s">
        <v>20</v>
      </c>
      <c r="S31" s="8" t="s">
        <v>272</v>
      </c>
      <c r="T31" s="7" t="s">
        <v>226</v>
      </c>
    </row>
    <row r="32" spans="1:20" ht="28">
      <c r="A32" s="67" t="s">
        <v>221</v>
      </c>
      <c r="B32" s="63" t="s">
        <v>273</v>
      </c>
      <c r="C32" s="5"/>
      <c r="D32" s="5" t="s">
        <v>244</v>
      </c>
      <c r="E32" s="132">
        <f t="shared" si="8"/>
        <v>0.17319389312977107</v>
      </c>
      <c r="F32" s="139">
        <f>$O$26-P32*($O$26-$O$13)</f>
        <v>0.12896625389855285</v>
      </c>
      <c r="G32" s="149"/>
      <c r="H32" s="82" t="str">
        <f t="shared" si="0"/>
        <v>93.3 percent up in Chibanian international stage</v>
      </c>
      <c r="I32" s="142" t="str">
        <f t="shared" si="1"/>
        <v>0.9 percent up in Pleistocene Upper international stage</v>
      </c>
      <c r="J32" s="7">
        <v>0.93282442748091599</v>
      </c>
      <c r="K32" s="129">
        <f t="shared" si="2"/>
        <v>93.3</v>
      </c>
      <c r="L32" s="8" t="s">
        <v>20</v>
      </c>
      <c r="M32" s="5" t="s">
        <v>82</v>
      </c>
      <c r="N32" s="5" t="s">
        <v>82</v>
      </c>
      <c r="O32" s="83"/>
      <c r="P32" s="20">
        <v>8.744553203011117E-3</v>
      </c>
      <c r="Q32" s="143">
        <f t="shared" si="3"/>
        <v>0.9</v>
      </c>
      <c r="R32" s="21" t="s">
        <v>245</v>
      </c>
      <c r="S32" s="8" t="s">
        <v>246</v>
      </c>
      <c r="T32" s="7" t="s">
        <v>226</v>
      </c>
    </row>
    <row r="33" spans="1:20" ht="28">
      <c r="A33" s="67" t="s">
        <v>221</v>
      </c>
      <c r="B33" s="63" t="s">
        <v>274</v>
      </c>
      <c r="C33" s="5"/>
      <c r="D33" s="5" t="s">
        <v>270</v>
      </c>
      <c r="E33" s="132">
        <f t="shared" si="8"/>
        <v>0.17319389312977107</v>
      </c>
      <c r="F33" s="139">
        <f t="shared" ref="F33:F43" si="9">$O$76-P33*($O$76-$O$26)</f>
        <v>0.15356030534351151</v>
      </c>
      <c r="G33" s="149"/>
      <c r="H33" s="82" t="str">
        <f t="shared" si="0"/>
        <v>93.3 percent up in Chibanian international stage</v>
      </c>
      <c r="I33" s="142" t="str">
        <f t="shared" si="1"/>
        <v>96.3 percent up in Chibanian international stage</v>
      </c>
      <c r="J33" s="7">
        <v>0.93282442748091599</v>
      </c>
      <c r="K33" s="129">
        <f t="shared" si="2"/>
        <v>93.3</v>
      </c>
      <c r="L33" s="8" t="s">
        <v>20</v>
      </c>
      <c r="M33" s="5" t="s">
        <v>82</v>
      </c>
      <c r="N33" s="5" t="s">
        <v>82</v>
      </c>
      <c r="O33" s="83"/>
      <c r="P33" s="20">
        <v>0.9633587786259542</v>
      </c>
      <c r="Q33" s="143">
        <f t="shared" si="3"/>
        <v>96.3</v>
      </c>
      <c r="R33" s="21" t="s">
        <v>20</v>
      </c>
      <c r="S33" s="8" t="s">
        <v>259</v>
      </c>
      <c r="T33" s="7">
        <v>3.0534351145038215E-2</v>
      </c>
    </row>
    <row r="34" spans="1:20" ht="28">
      <c r="A34" s="67" t="s">
        <v>221</v>
      </c>
      <c r="B34" s="63" t="s">
        <v>275</v>
      </c>
      <c r="C34" s="5"/>
      <c r="D34" s="5" t="s">
        <v>258</v>
      </c>
      <c r="E34" s="132">
        <f t="shared" si="8"/>
        <v>0.20264427480916036</v>
      </c>
      <c r="F34" s="139">
        <f t="shared" si="9"/>
        <v>0.16337709923664123</v>
      </c>
      <c r="G34" s="149"/>
      <c r="H34" s="82" t="str">
        <f t="shared" si="0"/>
        <v>88.7 percent up in Chibanian international stage</v>
      </c>
      <c r="I34" s="142" t="str">
        <f t="shared" si="1"/>
        <v>94.8 percent up in Chibanian international stage</v>
      </c>
      <c r="J34" s="7">
        <v>0.88702290076335866</v>
      </c>
      <c r="K34" s="129">
        <f t="shared" si="2"/>
        <v>88.7</v>
      </c>
      <c r="L34" s="8" t="s">
        <v>20</v>
      </c>
      <c r="M34" s="5" t="s">
        <v>82</v>
      </c>
      <c r="N34" s="5" t="s">
        <v>82</v>
      </c>
      <c r="O34" s="83"/>
      <c r="P34" s="20">
        <v>0.94809160305343509</v>
      </c>
      <c r="Q34" s="143">
        <f t="shared" si="3"/>
        <v>94.8</v>
      </c>
      <c r="R34" s="21" t="s">
        <v>20</v>
      </c>
      <c r="S34" s="8" t="s">
        <v>259</v>
      </c>
      <c r="T34" s="7">
        <v>6.1068702290076389E-2</v>
      </c>
    </row>
    <row r="35" spans="1:20" ht="28">
      <c r="A35" s="67" t="s">
        <v>221</v>
      </c>
      <c r="B35" s="63" t="s">
        <v>276</v>
      </c>
      <c r="C35" s="5"/>
      <c r="D35" s="5" t="s">
        <v>270</v>
      </c>
      <c r="E35" s="132">
        <f t="shared" si="8"/>
        <v>0.20264427480916036</v>
      </c>
      <c r="F35" s="139">
        <f t="shared" si="9"/>
        <v>0.16337709923664123</v>
      </c>
      <c r="G35" s="149"/>
      <c r="H35" s="82" t="str">
        <f t="shared" si="0"/>
        <v>88.7 percent up in Chibanian international stage</v>
      </c>
      <c r="I35" s="142" t="str">
        <f t="shared" si="1"/>
        <v>94.8 percent up in Chibanian international stage</v>
      </c>
      <c r="J35" s="7">
        <v>0.88702290076335866</v>
      </c>
      <c r="K35" s="129">
        <f t="shared" si="2"/>
        <v>88.7</v>
      </c>
      <c r="L35" s="8" t="s">
        <v>20</v>
      </c>
      <c r="M35" s="5" t="s">
        <v>82</v>
      </c>
      <c r="N35" s="5" t="s">
        <v>82</v>
      </c>
      <c r="O35" s="83"/>
      <c r="P35" s="20">
        <v>0.94809160305343509</v>
      </c>
      <c r="Q35" s="143">
        <f t="shared" si="3"/>
        <v>94.8</v>
      </c>
      <c r="R35" s="21" t="s">
        <v>20</v>
      </c>
      <c r="S35" s="8" t="s">
        <v>259</v>
      </c>
      <c r="T35" s="7">
        <v>6.1068702290076389E-2</v>
      </c>
    </row>
    <row r="36" spans="1:20" ht="28">
      <c r="A36" s="67" t="s">
        <v>221</v>
      </c>
      <c r="B36" s="63" t="s">
        <v>277</v>
      </c>
      <c r="C36" s="5"/>
      <c r="D36" s="5" t="s">
        <v>270</v>
      </c>
      <c r="E36" s="132">
        <f t="shared" si="8"/>
        <v>0.23994809160305341</v>
      </c>
      <c r="F36" s="139">
        <f t="shared" si="9"/>
        <v>0.17319389312977107</v>
      </c>
      <c r="G36" s="149"/>
      <c r="H36" s="82" t="str">
        <f t="shared" si="0"/>
        <v>82.9 percent up in Chibanian international stage</v>
      </c>
      <c r="I36" s="142" t="str">
        <f t="shared" si="1"/>
        <v>93.3 percent up in Chibanian international stage</v>
      </c>
      <c r="J36" s="7">
        <v>0.82900763358778629</v>
      </c>
      <c r="K36" s="129">
        <f t="shared" si="2"/>
        <v>82.9</v>
      </c>
      <c r="L36" s="8" t="s">
        <v>20</v>
      </c>
      <c r="M36" s="5" t="s">
        <v>82</v>
      </c>
      <c r="N36" s="5" t="s">
        <v>82</v>
      </c>
      <c r="O36" s="83"/>
      <c r="P36" s="20">
        <v>0.93282442748091599</v>
      </c>
      <c r="Q36" s="143">
        <f t="shared" si="3"/>
        <v>93.3</v>
      </c>
      <c r="R36" s="21" t="s">
        <v>20</v>
      </c>
      <c r="S36" s="8" t="s">
        <v>259</v>
      </c>
      <c r="T36" s="7">
        <v>0.10381679389312973</v>
      </c>
    </row>
    <row r="37" spans="1:20" ht="28">
      <c r="A37" s="67" t="s">
        <v>221</v>
      </c>
      <c r="B37" s="63" t="s">
        <v>278</v>
      </c>
      <c r="C37" s="5"/>
      <c r="D37" s="5" t="s">
        <v>256</v>
      </c>
      <c r="E37" s="132">
        <f t="shared" si="8"/>
        <v>0.23994809160305341</v>
      </c>
      <c r="F37" s="139">
        <f t="shared" si="9"/>
        <v>0.13196335877862597</v>
      </c>
      <c r="G37" s="149"/>
      <c r="H37" s="82" t="str">
        <f t="shared" si="0"/>
        <v>82.9 percent up in Chibanian international stage</v>
      </c>
      <c r="I37" s="142" t="str">
        <f t="shared" si="1"/>
        <v>99.7 percent up in Chibanian international stage</v>
      </c>
      <c r="J37" s="7">
        <v>0.82900763358778629</v>
      </c>
      <c r="K37" s="129">
        <f t="shared" si="2"/>
        <v>82.9</v>
      </c>
      <c r="L37" s="8" t="s">
        <v>20</v>
      </c>
      <c r="M37" s="5" t="s">
        <v>82</v>
      </c>
      <c r="N37" s="5" t="s">
        <v>82</v>
      </c>
      <c r="O37" s="83"/>
      <c r="P37" s="20">
        <v>0.99694656488549616</v>
      </c>
      <c r="Q37" s="143">
        <f t="shared" si="3"/>
        <v>99.7</v>
      </c>
      <c r="R37" s="21" t="s">
        <v>20</v>
      </c>
      <c r="S37" s="8" t="s">
        <v>259</v>
      </c>
      <c r="T37" s="7">
        <v>0.16793893129770987</v>
      </c>
    </row>
    <row r="38" spans="1:20" ht="28">
      <c r="A38" s="67" t="s">
        <v>221</v>
      </c>
      <c r="B38" s="63" t="s">
        <v>279</v>
      </c>
      <c r="C38" s="5"/>
      <c r="D38" s="5" t="s">
        <v>254</v>
      </c>
      <c r="E38" s="132">
        <f t="shared" si="8"/>
        <v>0.23994809160305341</v>
      </c>
      <c r="F38" s="139">
        <f t="shared" si="9"/>
        <v>0.13196335877862597</v>
      </c>
      <c r="G38" s="149"/>
      <c r="H38" s="82" t="str">
        <f t="shared" si="0"/>
        <v>82.9 percent up in Chibanian international stage</v>
      </c>
      <c r="I38" s="142" t="str">
        <f t="shared" si="1"/>
        <v>99.7 percent up in Chibanian international stage</v>
      </c>
      <c r="J38" s="7">
        <v>0.82900763358778629</v>
      </c>
      <c r="K38" s="129">
        <f t="shared" si="2"/>
        <v>82.9</v>
      </c>
      <c r="L38" s="8" t="s">
        <v>20</v>
      </c>
      <c r="M38" s="5" t="s">
        <v>82</v>
      </c>
      <c r="N38" s="5" t="s">
        <v>82</v>
      </c>
      <c r="O38" s="83"/>
      <c r="P38" s="20">
        <v>0.99694656488549616</v>
      </c>
      <c r="Q38" s="143">
        <f t="shared" si="3"/>
        <v>99.7</v>
      </c>
      <c r="R38" s="21" t="s">
        <v>20</v>
      </c>
      <c r="S38" s="8" t="s">
        <v>259</v>
      </c>
      <c r="T38" s="7">
        <v>0.16793893129770987</v>
      </c>
    </row>
    <row r="39" spans="1:20" ht="28">
      <c r="A39" s="67" t="s">
        <v>221</v>
      </c>
      <c r="B39" s="63" t="s">
        <v>280</v>
      </c>
      <c r="C39" s="5"/>
      <c r="D39" s="5" t="s">
        <v>229</v>
      </c>
      <c r="E39" s="132">
        <f t="shared" si="8"/>
        <v>0.23994809160305341</v>
      </c>
      <c r="F39" s="139">
        <f t="shared" si="9"/>
        <v>0.13196335877862597</v>
      </c>
      <c r="G39" s="149"/>
      <c r="H39" s="82" t="str">
        <f t="shared" si="0"/>
        <v>82.9 percent up in Chibanian international stage</v>
      </c>
      <c r="I39" s="142" t="str">
        <f t="shared" si="1"/>
        <v>99.7 percent up in Chibanian international stage</v>
      </c>
      <c r="J39" s="7">
        <v>0.82900763358778629</v>
      </c>
      <c r="K39" s="129">
        <f t="shared" si="2"/>
        <v>82.9</v>
      </c>
      <c r="L39" s="8" t="s">
        <v>20</v>
      </c>
      <c r="M39" s="5" t="s">
        <v>82</v>
      </c>
      <c r="N39" s="5" t="s">
        <v>82</v>
      </c>
      <c r="O39" s="83"/>
      <c r="P39" s="20">
        <v>0.99694656488549616</v>
      </c>
      <c r="Q39" s="143">
        <f t="shared" si="3"/>
        <v>99.7</v>
      </c>
      <c r="R39" s="21" t="s">
        <v>20</v>
      </c>
      <c r="S39" s="8" t="s">
        <v>259</v>
      </c>
      <c r="T39" s="7">
        <v>0.16793893129770987</v>
      </c>
    </row>
    <row r="40" spans="1:20" ht="28">
      <c r="A40" s="67" t="s">
        <v>221</v>
      </c>
      <c r="B40" s="63" t="s">
        <v>281</v>
      </c>
      <c r="C40" s="5"/>
      <c r="D40" s="5" t="s">
        <v>250</v>
      </c>
      <c r="E40" s="132">
        <f t="shared" si="8"/>
        <v>0.24191145038167938</v>
      </c>
      <c r="F40" s="139">
        <f t="shared" si="9"/>
        <v>0.13392671755725194</v>
      </c>
      <c r="G40" s="149"/>
      <c r="H40" s="82" t="str">
        <f t="shared" si="0"/>
        <v>82.6 percent up in Chibanian international stage</v>
      </c>
      <c r="I40" s="142" t="str">
        <f t="shared" si="1"/>
        <v>99.4 percent up in Chibanian international stage</v>
      </c>
      <c r="J40" s="7">
        <v>0.82595419847328244</v>
      </c>
      <c r="K40" s="129">
        <f t="shared" si="2"/>
        <v>82.6</v>
      </c>
      <c r="L40" s="8" t="s">
        <v>20</v>
      </c>
      <c r="M40" s="5" t="s">
        <v>82</v>
      </c>
      <c r="N40" s="5" t="s">
        <v>82</v>
      </c>
      <c r="O40" s="83"/>
      <c r="P40" s="20">
        <v>0.99389312977099231</v>
      </c>
      <c r="Q40" s="143">
        <f t="shared" si="3"/>
        <v>99.4</v>
      </c>
      <c r="R40" s="21" t="s">
        <v>20</v>
      </c>
      <c r="S40" s="8" t="s">
        <v>259</v>
      </c>
      <c r="T40" s="7">
        <v>0.16793893129771001</v>
      </c>
    </row>
    <row r="41" spans="1:20" ht="34">
      <c r="A41" s="67" t="s">
        <v>221</v>
      </c>
      <c r="B41" s="63" t="s">
        <v>282</v>
      </c>
      <c r="C41" s="5"/>
      <c r="D41" s="5" t="s">
        <v>283</v>
      </c>
      <c r="E41" s="132">
        <f t="shared" si="8"/>
        <v>0.24485648854961828</v>
      </c>
      <c r="F41" s="139">
        <f t="shared" si="9"/>
        <v>0.23994809160305341</v>
      </c>
      <c r="G41" s="149"/>
      <c r="H41" s="82" t="str">
        <f t="shared" si="0"/>
        <v>82.1 percent up in Chibanian international stage</v>
      </c>
      <c r="I41" s="142" t="str">
        <f t="shared" si="1"/>
        <v>82.9 percent up in Chibanian international stage</v>
      </c>
      <c r="J41" s="7">
        <v>0.82137404580152673</v>
      </c>
      <c r="K41" s="129">
        <f t="shared" si="2"/>
        <v>82.1</v>
      </c>
      <c r="L41" s="8" t="s">
        <v>20</v>
      </c>
      <c r="M41" s="5" t="s">
        <v>82</v>
      </c>
      <c r="N41" s="5" t="s">
        <v>82</v>
      </c>
      <c r="O41" s="83"/>
      <c r="P41" s="20">
        <v>0.82900763358778629</v>
      </c>
      <c r="Q41" s="143">
        <f t="shared" si="3"/>
        <v>82.9</v>
      </c>
      <c r="R41" s="21" t="s">
        <v>20</v>
      </c>
      <c r="S41" s="8" t="s">
        <v>259</v>
      </c>
      <c r="T41" s="7">
        <v>7.6335877862595434E-3</v>
      </c>
    </row>
    <row r="42" spans="1:20" ht="28">
      <c r="A42" s="67" t="s">
        <v>221</v>
      </c>
      <c r="B42" s="63" t="s">
        <v>284</v>
      </c>
      <c r="C42" s="5"/>
      <c r="D42" s="5" t="s">
        <v>244</v>
      </c>
      <c r="E42" s="132">
        <f t="shared" si="8"/>
        <v>0.26154503816793895</v>
      </c>
      <c r="F42" s="139">
        <f t="shared" si="9"/>
        <v>0.17319389312977107</v>
      </c>
      <c r="G42" s="149"/>
      <c r="H42" s="82" t="str">
        <f t="shared" si="0"/>
        <v>79.5 percent up in Chibanian international stage</v>
      </c>
      <c r="I42" s="142" t="str">
        <f t="shared" si="1"/>
        <v>93.3 percent up in Chibanian international stage</v>
      </c>
      <c r="J42" s="7">
        <v>0.79541984732824433</v>
      </c>
      <c r="K42" s="129">
        <f t="shared" si="2"/>
        <v>79.5</v>
      </c>
      <c r="L42" s="8" t="s">
        <v>20</v>
      </c>
      <c r="M42" s="5" t="s">
        <v>82</v>
      </c>
      <c r="N42" s="5" t="s">
        <v>82</v>
      </c>
      <c r="O42" s="83"/>
      <c r="P42" s="20">
        <v>0.93282442748091599</v>
      </c>
      <c r="Q42" s="143">
        <f t="shared" si="3"/>
        <v>93.3</v>
      </c>
      <c r="R42" s="21" t="s">
        <v>20</v>
      </c>
      <c r="S42" s="8" t="s">
        <v>259</v>
      </c>
      <c r="T42" s="7">
        <v>0.13740458015267182</v>
      </c>
    </row>
    <row r="43" spans="1:20" ht="28">
      <c r="A43" s="67" t="s">
        <v>221</v>
      </c>
      <c r="B43" s="63" t="s">
        <v>285</v>
      </c>
      <c r="C43" s="5"/>
      <c r="D43" s="5" t="s">
        <v>286</v>
      </c>
      <c r="E43" s="132">
        <f t="shared" si="8"/>
        <v>0.30081221374045808</v>
      </c>
      <c r="F43" s="139">
        <f t="shared" si="9"/>
        <v>0.1830106870229008</v>
      </c>
      <c r="G43" s="149"/>
      <c r="H43" s="82" t="str">
        <f t="shared" si="0"/>
        <v>73.4 percent up in Chibanian international stage</v>
      </c>
      <c r="I43" s="142" t="str">
        <f t="shared" si="1"/>
        <v>91.8 percent up in Chibanian international stage</v>
      </c>
      <c r="J43" s="7">
        <v>0.7343511450381679</v>
      </c>
      <c r="K43" s="129">
        <f t="shared" si="2"/>
        <v>73.400000000000006</v>
      </c>
      <c r="L43" s="8" t="s">
        <v>20</v>
      </c>
      <c r="M43" s="5" t="s">
        <v>82</v>
      </c>
      <c r="N43" s="5" t="s">
        <v>82</v>
      </c>
      <c r="O43" s="83"/>
      <c r="P43" s="20">
        <v>0.91755725190839688</v>
      </c>
      <c r="Q43" s="143">
        <f t="shared" si="3"/>
        <v>91.8</v>
      </c>
      <c r="R43" s="21" t="s">
        <v>20</v>
      </c>
      <c r="S43" s="8" t="s">
        <v>259</v>
      </c>
      <c r="T43" s="7">
        <v>0.18320610687022904</v>
      </c>
    </row>
    <row r="44" spans="1:20" ht="28">
      <c r="A44" s="67" t="s">
        <v>221</v>
      </c>
      <c r="B44" s="65" t="s">
        <v>287</v>
      </c>
      <c r="C44" s="5"/>
      <c r="D44" s="5" t="s">
        <v>244</v>
      </c>
      <c r="E44" s="132">
        <f t="shared" si="8"/>
        <v>0.30081221374045808</v>
      </c>
      <c r="F44" s="139">
        <f>$O$13-P44*($O$13-$O$5)</f>
        <v>1.1736955905026211E-2</v>
      </c>
      <c r="G44" s="149"/>
      <c r="H44" s="82" t="str">
        <f t="shared" si="0"/>
        <v>73.4 percent up in Chibanian international stage</v>
      </c>
      <c r="I44" s="142" t="str">
        <f t="shared" si="1"/>
        <v>1.3 percent up in Greenlandian international stage</v>
      </c>
      <c r="J44" s="7">
        <v>0.7343511450381679</v>
      </c>
      <c r="K44" s="129">
        <f t="shared" si="2"/>
        <v>73.400000000000006</v>
      </c>
      <c r="L44" s="8" t="s">
        <v>20</v>
      </c>
      <c r="M44" s="5" t="s">
        <v>82</v>
      </c>
      <c r="N44" s="5" t="s">
        <v>82</v>
      </c>
      <c r="O44" s="83"/>
      <c r="P44" s="20">
        <v>1.3259327782916943E-2</v>
      </c>
      <c r="Q44" s="143">
        <f t="shared" si="3"/>
        <v>1.3</v>
      </c>
      <c r="R44" s="21" t="s">
        <v>18</v>
      </c>
      <c r="S44" s="8" t="s">
        <v>246</v>
      </c>
      <c r="T44" s="7" t="s">
        <v>226</v>
      </c>
    </row>
    <row r="45" spans="1:20" ht="34">
      <c r="A45" s="67" t="s">
        <v>221</v>
      </c>
      <c r="B45" s="63" t="s">
        <v>288</v>
      </c>
      <c r="C45" s="5"/>
      <c r="D45" s="5" t="s">
        <v>82</v>
      </c>
      <c r="E45" s="132">
        <f t="shared" si="8"/>
        <v>0.33811603053435119</v>
      </c>
      <c r="F45" s="139">
        <f>$O$76-P45*($O$76-$O$26)</f>
        <v>0.32437251908396952</v>
      </c>
      <c r="G45" s="149"/>
      <c r="H45" s="82" t="str">
        <f t="shared" si="0"/>
        <v>67.6 percent up in Chibanian international stage</v>
      </c>
      <c r="I45" s="142" t="str">
        <f t="shared" si="1"/>
        <v>69.8 percent up in Chibanian international stage</v>
      </c>
      <c r="J45" s="7">
        <v>0.67633587786259541</v>
      </c>
      <c r="K45" s="129">
        <f t="shared" si="2"/>
        <v>67.599999999999994</v>
      </c>
      <c r="L45" s="8" t="s">
        <v>20</v>
      </c>
      <c r="M45" s="5" t="s">
        <v>82</v>
      </c>
      <c r="N45" s="5" t="s">
        <v>82</v>
      </c>
      <c r="O45" s="83"/>
      <c r="P45" s="20">
        <v>0.6977099236641221</v>
      </c>
      <c r="Q45" s="143">
        <f t="shared" si="3"/>
        <v>69.8</v>
      </c>
      <c r="R45" s="21" t="s">
        <v>20</v>
      </c>
      <c r="S45" s="8" t="s">
        <v>259</v>
      </c>
      <c r="T45" s="7">
        <v>2.1374045801526756E-2</v>
      </c>
    </row>
    <row r="46" spans="1:20" ht="28">
      <c r="A46" s="67" t="s">
        <v>221</v>
      </c>
      <c r="B46" s="63" t="s">
        <v>289</v>
      </c>
      <c r="C46" s="5"/>
      <c r="D46" s="5" t="s">
        <v>270</v>
      </c>
      <c r="E46" s="132">
        <f t="shared" si="8"/>
        <v>0.34007938931297715</v>
      </c>
      <c r="F46" s="139">
        <f>$O$76-P46*($O$76-$O$26)</f>
        <v>0.20264427480916036</v>
      </c>
      <c r="G46" s="149"/>
      <c r="H46" s="82" t="str">
        <f t="shared" si="0"/>
        <v>67.3 percent up in Chibanian international stage</v>
      </c>
      <c r="I46" s="142" t="str">
        <f t="shared" si="1"/>
        <v>88.7 percent up in Chibanian international stage</v>
      </c>
      <c r="J46" s="7">
        <v>0.67328244274809157</v>
      </c>
      <c r="K46" s="129">
        <f t="shared" si="2"/>
        <v>67.3</v>
      </c>
      <c r="L46" s="8" t="s">
        <v>20</v>
      </c>
      <c r="M46" s="5" t="s">
        <v>82</v>
      </c>
      <c r="N46" s="5" t="s">
        <v>82</v>
      </c>
      <c r="O46" s="83"/>
      <c r="P46" s="20">
        <v>0.88702290076335866</v>
      </c>
      <c r="Q46" s="143">
        <f t="shared" si="3"/>
        <v>88.7</v>
      </c>
      <c r="R46" s="21" t="s">
        <v>20</v>
      </c>
      <c r="S46" s="8" t="s">
        <v>259</v>
      </c>
      <c r="T46" s="7">
        <v>0.21374045801526717</v>
      </c>
    </row>
    <row r="47" spans="1:20" ht="28">
      <c r="A47" s="67" t="s">
        <v>221</v>
      </c>
      <c r="B47" s="63" t="s">
        <v>290</v>
      </c>
      <c r="C47" s="5"/>
      <c r="D47" s="5" t="s">
        <v>270</v>
      </c>
      <c r="E47" s="132">
        <f t="shared" si="8"/>
        <v>0.34007938931297715</v>
      </c>
      <c r="F47" s="139">
        <f>$O$76-P47*($O$76-$O$26)</f>
        <v>0.20264427480916036</v>
      </c>
      <c r="G47" s="149"/>
      <c r="H47" s="82" t="str">
        <f t="shared" si="0"/>
        <v>67.3 percent up in Chibanian international stage</v>
      </c>
      <c r="I47" s="142" t="str">
        <f t="shared" si="1"/>
        <v>88.7 percent up in Chibanian international stage</v>
      </c>
      <c r="J47" s="7">
        <v>0.67328244274809157</v>
      </c>
      <c r="K47" s="129">
        <f t="shared" si="2"/>
        <v>67.3</v>
      </c>
      <c r="L47" s="8" t="s">
        <v>20</v>
      </c>
      <c r="M47" s="5" t="s">
        <v>82</v>
      </c>
      <c r="N47" s="5" t="s">
        <v>82</v>
      </c>
      <c r="O47" s="83"/>
      <c r="P47" s="20">
        <v>0.88702290076335866</v>
      </c>
      <c r="Q47" s="143">
        <f t="shared" si="3"/>
        <v>88.7</v>
      </c>
      <c r="R47" s="21" t="s">
        <v>20</v>
      </c>
      <c r="S47" s="8" t="s">
        <v>259</v>
      </c>
      <c r="T47" s="7">
        <v>0.21374045801526717</v>
      </c>
    </row>
    <row r="48" spans="1:20" ht="28">
      <c r="A48" s="67" t="s">
        <v>221</v>
      </c>
      <c r="B48" s="65" t="s">
        <v>291</v>
      </c>
      <c r="C48" s="5"/>
      <c r="D48" s="5" t="s">
        <v>292</v>
      </c>
      <c r="E48" s="132">
        <f t="shared" si="8"/>
        <v>0.3698674687022902</v>
      </c>
      <c r="F48" s="139">
        <v>1.2E-2</v>
      </c>
      <c r="G48" s="149"/>
      <c r="H48" s="82" t="str">
        <f t="shared" si="0"/>
        <v>62.7 percent up in Chibanian international stage</v>
      </c>
      <c r="I48" s="142" t="str">
        <f t="shared" si="1"/>
        <v>100 percent up in Pleistocene Upper international stage</v>
      </c>
      <c r="J48" s="7">
        <v>0.62695572519083953</v>
      </c>
      <c r="K48" s="129">
        <f t="shared" si="2"/>
        <v>62.7</v>
      </c>
      <c r="L48" s="8" t="s">
        <v>20</v>
      </c>
      <c r="M48" s="5" t="s">
        <v>82</v>
      </c>
      <c r="N48" s="5" t="s">
        <v>82</v>
      </c>
      <c r="O48" s="83"/>
      <c r="P48" s="20">
        <v>1</v>
      </c>
      <c r="Q48" s="143">
        <f t="shared" si="3"/>
        <v>100</v>
      </c>
      <c r="R48" s="21" t="s">
        <v>245</v>
      </c>
      <c r="S48" s="8" t="s">
        <v>246</v>
      </c>
      <c r="T48" s="7" t="s">
        <v>226</v>
      </c>
    </row>
    <row r="49" spans="1:20" ht="28">
      <c r="A49" s="67" t="s">
        <v>221</v>
      </c>
      <c r="B49" s="63" t="s">
        <v>293</v>
      </c>
      <c r="C49" s="5"/>
      <c r="D49" s="5" t="s">
        <v>292</v>
      </c>
      <c r="E49" s="132">
        <f t="shared" si="8"/>
        <v>0.3698674687022902</v>
      </c>
      <c r="F49" s="139">
        <v>1.2E-2</v>
      </c>
      <c r="G49" s="149"/>
      <c r="H49" s="82" t="str">
        <f t="shared" si="0"/>
        <v>62.7 percent up in Chibanian international stage</v>
      </c>
      <c r="I49" s="142" t="str">
        <f t="shared" si="1"/>
        <v>100 percent up in Pleistocene Upper international stage</v>
      </c>
      <c r="J49" s="7">
        <v>0.62695572519083953</v>
      </c>
      <c r="K49" s="129">
        <f t="shared" si="2"/>
        <v>62.7</v>
      </c>
      <c r="L49" s="8" t="s">
        <v>20</v>
      </c>
      <c r="M49" s="5" t="s">
        <v>82</v>
      </c>
      <c r="N49" s="5" t="s">
        <v>82</v>
      </c>
      <c r="O49" s="83"/>
      <c r="P49" s="20">
        <v>1</v>
      </c>
      <c r="Q49" s="143">
        <f t="shared" si="3"/>
        <v>100</v>
      </c>
      <c r="R49" s="21" t="s">
        <v>245</v>
      </c>
      <c r="S49" s="8" t="s">
        <v>246</v>
      </c>
      <c r="T49" s="7" t="s">
        <v>226</v>
      </c>
    </row>
    <row r="50" spans="1:20" ht="28">
      <c r="A50" s="67" t="s">
        <v>221</v>
      </c>
      <c r="B50" s="63" t="s">
        <v>294</v>
      </c>
      <c r="C50" s="5"/>
      <c r="D50" s="5" t="s">
        <v>270</v>
      </c>
      <c r="E50" s="132">
        <f t="shared" si="8"/>
        <v>0.38916335877862601</v>
      </c>
      <c r="F50" s="139">
        <f t="shared" ref="F50:F57" si="10">$O$76-P50*($O$76-$O$26)</f>
        <v>0.34007938931297715</v>
      </c>
      <c r="G50" s="149"/>
      <c r="H50" s="82" t="str">
        <f t="shared" si="0"/>
        <v>59.7 percent up in Chibanian international stage</v>
      </c>
      <c r="I50" s="142" t="str">
        <f t="shared" si="1"/>
        <v>67.3 percent up in Chibanian international stage</v>
      </c>
      <c r="J50" s="7">
        <v>0.59694656488549613</v>
      </c>
      <c r="K50" s="129">
        <f t="shared" si="2"/>
        <v>59.7</v>
      </c>
      <c r="L50" s="8" t="s">
        <v>20</v>
      </c>
      <c r="M50" s="5" t="s">
        <v>82</v>
      </c>
      <c r="N50" s="5" t="s">
        <v>82</v>
      </c>
      <c r="O50" s="83"/>
      <c r="P50" s="20">
        <v>0.67328244274809157</v>
      </c>
      <c r="Q50" s="143">
        <f t="shared" si="3"/>
        <v>67.3</v>
      </c>
      <c r="R50" s="21" t="s">
        <v>20</v>
      </c>
      <c r="S50" s="8" t="s">
        <v>259</v>
      </c>
      <c r="T50" s="7">
        <v>7.6335877862595436E-2</v>
      </c>
    </row>
    <row r="51" spans="1:20" ht="28">
      <c r="A51" s="67" t="s">
        <v>221</v>
      </c>
      <c r="B51" s="63" t="s">
        <v>295</v>
      </c>
      <c r="C51" s="5"/>
      <c r="D51" s="5" t="s">
        <v>254</v>
      </c>
      <c r="E51" s="132">
        <f t="shared" si="8"/>
        <v>0.41665038167938934</v>
      </c>
      <c r="F51" s="139">
        <f t="shared" si="10"/>
        <v>0.38523664122137408</v>
      </c>
      <c r="G51" s="149"/>
      <c r="H51" s="82" t="str">
        <f t="shared" si="0"/>
        <v>55.4 percent up in Chibanian international stage</v>
      </c>
      <c r="I51" s="142" t="str">
        <f t="shared" si="1"/>
        <v>60.3 percent up in Chibanian international stage</v>
      </c>
      <c r="J51" s="7">
        <v>0.55419847328244276</v>
      </c>
      <c r="K51" s="129">
        <f t="shared" si="2"/>
        <v>55.4</v>
      </c>
      <c r="L51" s="8" t="s">
        <v>20</v>
      </c>
      <c r="M51" s="5" t="s">
        <v>82</v>
      </c>
      <c r="N51" s="5" t="s">
        <v>82</v>
      </c>
      <c r="O51" s="83"/>
      <c r="P51" s="20">
        <v>0.60305343511450382</v>
      </c>
      <c r="Q51" s="143">
        <f t="shared" si="3"/>
        <v>60.3</v>
      </c>
      <c r="R51" s="21" t="s">
        <v>20</v>
      </c>
      <c r="S51" s="8" t="s">
        <v>259</v>
      </c>
      <c r="T51" s="7">
        <v>4.8854961832061006E-2</v>
      </c>
    </row>
    <row r="52" spans="1:20" ht="28">
      <c r="A52" s="67" t="s">
        <v>221</v>
      </c>
      <c r="B52" s="63" t="s">
        <v>296</v>
      </c>
      <c r="C52" s="5"/>
      <c r="D52" s="5" t="s">
        <v>82</v>
      </c>
      <c r="E52" s="132">
        <f t="shared" si="8"/>
        <v>0.41861374045801519</v>
      </c>
      <c r="F52" s="139">
        <f t="shared" si="10"/>
        <v>0.37934656488549623</v>
      </c>
      <c r="G52" s="149"/>
      <c r="H52" s="82" t="str">
        <f t="shared" si="0"/>
        <v>55.1 percent up in Chibanian international stage</v>
      </c>
      <c r="I52" s="142" t="str">
        <f t="shared" si="1"/>
        <v>61.2 percent up in Chibanian international stage</v>
      </c>
      <c r="J52" s="7">
        <v>0.55114503816793903</v>
      </c>
      <c r="K52" s="129">
        <f t="shared" si="2"/>
        <v>55.1</v>
      </c>
      <c r="L52" s="8" t="s">
        <v>20</v>
      </c>
      <c r="M52" s="5" t="s">
        <v>82</v>
      </c>
      <c r="N52" s="5" t="s">
        <v>82</v>
      </c>
      <c r="O52" s="83"/>
      <c r="P52" s="20">
        <v>0.61221374045801524</v>
      </c>
      <c r="Q52" s="143">
        <f t="shared" si="3"/>
        <v>61.2</v>
      </c>
      <c r="R52" s="21" t="s">
        <v>20</v>
      </c>
      <c r="S52" s="8" t="s">
        <v>259</v>
      </c>
      <c r="T52" s="7">
        <v>6.1068702290076257E-2</v>
      </c>
    </row>
    <row r="53" spans="1:20" ht="28">
      <c r="A53" s="67" t="s">
        <v>221</v>
      </c>
      <c r="B53" s="63" t="s">
        <v>297</v>
      </c>
      <c r="C53" s="5"/>
      <c r="D53" s="5" t="s">
        <v>258</v>
      </c>
      <c r="E53" s="132">
        <f t="shared" si="8"/>
        <v>0.4480641221374046</v>
      </c>
      <c r="F53" s="139">
        <f t="shared" si="10"/>
        <v>0.40879694656488552</v>
      </c>
      <c r="G53" s="149"/>
      <c r="H53" s="82" t="str">
        <f t="shared" si="0"/>
        <v>50.5 percent up in Chibanian international stage</v>
      </c>
      <c r="I53" s="142" t="str">
        <f t="shared" si="1"/>
        <v>56.6 percent up in Chibanian international stage</v>
      </c>
      <c r="J53" s="7">
        <v>0.5053435114503817</v>
      </c>
      <c r="K53" s="129">
        <f t="shared" si="2"/>
        <v>50.5</v>
      </c>
      <c r="L53" s="8" t="s">
        <v>20</v>
      </c>
      <c r="M53" s="5" t="s">
        <v>82</v>
      </c>
      <c r="N53" s="5" t="s">
        <v>82</v>
      </c>
      <c r="O53" s="83"/>
      <c r="P53" s="20">
        <v>0.56641221374045803</v>
      </c>
      <c r="Q53" s="143">
        <f t="shared" si="3"/>
        <v>56.6</v>
      </c>
      <c r="R53" s="21" t="s">
        <v>20</v>
      </c>
      <c r="S53" s="8" t="s">
        <v>259</v>
      </c>
      <c r="T53" s="7">
        <v>6.1068702290076431E-2</v>
      </c>
    </row>
    <row r="54" spans="1:20" ht="28">
      <c r="A54" s="67" t="s">
        <v>221</v>
      </c>
      <c r="B54" s="63" t="s">
        <v>298</v>
      </c>
      <c r="C54" s="5"/>
      <c r="D54" s="5" t="s">
        <v>229</v>
      </c>
      <c r="E54" s="132">
        <f t="shared" si="8"/>
        <v>0.46278931297709924</v>
      </c>
      <c r="F54" s="139">
        <f t="shared" si="10"/>
        <v>0.41665038167938934</v>
      </c>
      <c r="G54" s="149"/>
      <c r="H54" s="82" t="str">
        <f t="shared" si="0"/>
        <v>48.2 percent up in Chibanian international stage</v>
      </c>
      <c r="I54" s="142" t="str">
        <f t="shared" si="1"/>
        <v>55.4 percent up in Chibanian international stage</v>
      </c>
      <c r="J54" s="7">
        <v>0.48244274809160304</v>
      </c>
      <c r="K54" s="129">
        <f t="shared" si="2"/>
        <v>48.2</v>
      </c>
      <c r="L54" s="8" t="s">
        <v>20</v>
      </c>
      <c r="M54" s="5" t="s">
        <v>82</v>
      </c>
      <c r="N54" s="5" t="s">
        <v>82</v>
      </c>
      <c r="O54" s="83"/>
      <c r="P54" s="20">
        <v>0.55419847328244276</v>
      </c>
      <c r="Q54" s="143">
        <f t="shared" si="3"/>
        <v>55.4</v>
      </c>
      <c r="R54" s="21" t="s">
        <v>20</v>
      </c>
      <c r="S54" s="8" t="s">
        <v>259</v>
      </c>
      <c r="T54" s="7">
        <v>7.1755725190839809E-2</v>
      </c>
    </row>
    <row r="55" spans="1:20" ht="28">
      <c r="A55" s="67" t="s">
        <v>221</v>
      </c>
      <c r="B55" s="63" t="s">
        <v>299</v>
      </c>
      <c r="C55" s="5"/>
      <c r="D55" s="5" t="s">
        <v>254</v>
      </c>
      <c r="E55" s="132">
        <f t="shared" si="8"/>
        <v>0.46278931297709924</v>
      </c>
      <c r="F55" s="139">
        <f t="shared" si="10"/>
        <v>0.41665038167938934</v>
      </c>
      <c r="G55" s="149"/>
      <c r="H55" s="82" t="str">
        <f t="shared" si="0"/>
        <v>48.2 percent up in Chibanian international stage</v>
      </c>
      <c r="I55" s="142" t="str">
        <f t="shared" si="1"/>
        <v>55.4 percent up in Chibanian international stage</v>
      </c>
      <c r="J55" s="7">
        <v>0.48244274809160304</v>
      </c>
      <c r="K55" s="129">
        <f t="shared" si="2"/>
        <v>48.2</v>
      </c>
      <c r="L55" s="8" t="s">
        <v>20</v>
      </c>
      <c r="M55" s="5" t="s">
        <v>82</v>
      </c>
      <c r="N55" s="5" t="s">
        <v>82</v>
      </c>
      <c r="O55" s="83"/>
      <c r="P55" s="20">
        <v>0.55419847328244276</v>
      </c>
      <c r="Q55" s="143">
        <f t="shared" si="3"/>
        <v>55.4</v>
      </c>
      <c r="R55" s="21" t="s">
        <v>20</v>
      </c>
      <c r="S55" s="8" t="s">
        <v>259</v>
      </c>
      <c r="T55" s="7">
        <v>7.1755725190839809E-2</v>
      </c>
    </row>
    <row r="56" spans="1:20" ht="28">
      <c r="A56" s="67" t="s">
        <v>221</v>
      </c>
      <c r="B56" s="63" t="s">
        <v>300</v>
      </c>
      <c r="C56" s="5"/>
      <c r="D56" s="5" t="s">
        <v>256</v>
      </c>
      <c r="E56" s="132">
        <f t="shared" si="8"/>
        <v>0.46278931297709924</v>
      </c>
      <c r="F56" s="139">
        <f t="shared" si="10"/>
        <v>0.23994809160305341</v>
      </c>
      <c r="G56" s="149"/>
      <c r="H56" s="82" t="str">
        <f t="shared" si="0"/>
        <v>48.2 percent up in Chibanian international stage</v>
      </c>
      <c r="I56" s="142" t="str">
        <f t="shared" si="1"/>
        <v>82.9 percent up in Chibanian international stage</v>
      </c>
      <c r="J56" s="7">
        <v>0.48244274809160304</v>
      </c>
      <c r="K56" s="129">
        <f t="shared" si="2"/>
        <v>48.2</v>
      </c>
      <c r="L56" s="8" t="s">
        <v>20</v>
      </c>
      <c r="M56" s="5" t="s">
        <v>82</v>
      </c>
      <c r="N56" s="5" t="s">
        <v>82</v>
      </c>
      <c r="O56" s="83"/>
      <c r="P56" s="20">
        <v>0.82900763358778629</v>
      </c>
      <c r="Q56" s="143">
        <f t="shared" si="3"/>
        <v>82.9</v>
      </c>
      <c r="R56" s="21" t="s">
        <v>20</v>
      </c>
      <c r="S56" s="8" t="s">
        <v>259</v>
      </c>
      <c r="T56" s="7">
        <v>0.34656488549618331</v>
      </c>
    </row>
    <row r="57" spans="1:20" ht="28">
      <c r="A57" s="67" t="s">
        <v>221</v>
      </c>
      <c r="B57" s="63" t="s">
        <v>301</v>
      </c>
      <c r="C57" s="5"/>
      <c r="D57" s="5" t="s">
        <v>244</v>
      </c>
      <c r="E57" s="132">
        <f t="shared" si="8"/>
        <v>0.47751450381679389</v>
      </c>
      <c r="F57" s="139">
        <f t="shared" si="10"/>
        <v>0.26154503816793895</v>
      </c>
      <c r="G57" s="149"/>
      <c r="H57" s="82" t="str">
        <f t="shared" si="0"/>
        <v>46 percent up in Chibanian international stage</v>
      </c>
      <c r="I57" s="142" t="str">
        <f t="shared" si="1"/>
        <v>79.5 percent up in Chibanian international stage</v>
      </c>
      <c r="J57" s="7">
        <v>0.45954198473282448</v>
      </c>
      <c r="K57" s="129">
        <f t="shared" si="2"/>
        <v>46</v>
      </c>
      <c r="L57" s="8" t="s">
        <v>20</v>
      </c>
      <c r="M57" s="5" t="s">
        <v>82</v>
      </c>
      <c r="N57" s="5" t="s">
        <v>82</v>
      </c>
      <c r="O57" s="83"/>
      <c r="P57" s="20">
        <v>0.79541984732824422</v>
      </c>
      <c r="Q57" s="143">
        <f t="shared" si="3"/>
        <v>79.5</v>
      </c>
      <c r="R57" s="21" t="s">
        <v>20</v>
      </c>
      <c r="S57" s="8" t="s">
        <v>259</v>
      </c>
      <c r="T57" s="7">
        <v>0.3358778625954198</v>
      </c>
    </row>
    <row r="58" spans="1:20" ht="28">
      <c r="A58" s="67" t="s">
        <v>221</v>
      </c>
      <c r="B58" s="65" t="s">
        <v>302</v>
      </c>
      <c r="C58" s="5"/>
      <c r="D58" s="5" t="s">
        <v>236</v>
      </c>
      <c r="E58" s="132">
        <f t="shared" si="8"/>
        <v>0.47751450381679389</v>
      </c>
      <c r="F58" s="139">
        <f>$O$13-P58*($O$13-$O$5)</f>
        <v>1.1736955905026211E-2</v>
      </c>
      <c r="G58" s="149"/>
      <c r="H58" s="82" t="str">
        <f t="shared" si="0"/>
        <v>46 percent up in Chibanian international stage</v>
      </c>
      <c r="I58" s="142" t="str">
        <f t="shared" si="1"/>
        <v>1.3 percent up in Greenlandian international stage</v>
      </c>
      <c r="J58" s="7">
        <v>0.45954198473282448</v>
      </c>
      <c r="K58" s="129">
        <f t="shared" si="2"/>
        <v>46</v>
      </c>
      <c r="L58" s="8" t="s">
        <v>20</v>
      </c>
      <c r="M58" s="5" t="s">
        <v>82</v>
      </c>
      <c r="N58" s="5" t="s">
        <v>82</v>
      </c>
      <c r="O58" s="83"/>
      <c r="P58" s="20">
        <v>1.3259327782916943E-2</v>
      </c>
      <c r="Q58" s="143">
        <f t="shared" si="3"/>
        <v>1.3</v>
      </c>
      <c r="R58" s="21" t="s">
        <v>18</v>
      </c>
      <c r="S58" s="8" t="s">
        <v>246</v>
      </c>
      <c r="T58" s="7" t="s">
        <v>226</v>
      </c>
    </row>
    <row r="59" spans="1:20" ht="28">
      <c r="A59" s="67" t="s">
        <v>221</v>
      </c>
      <c r="B59" s="63" t="s">
        <v>303</v>
      </c>
      <c r="C59" s="5"/>
      <c r="D59" s="5" t="s">
        <v>250</v>
      </c>
      <c r="E59" s="132">
        <f t="shared" ref="E59:E76" si="11">$O$76-J59*($O$76-$O$26)</f>
        <v>0.49714809160305345</v>
      </c>
      <c r="F59" s="139">
        <f t="shared" ref="F59:F80" si="12">$O$76-P59*($O$76-$O$26)</f>
        <v>0.30081221374045797</v>
      </c>
      <c r="G59" s="149"/>
      <c r="H59" s="82" t="str">
        <f t="shared" si="0"/>
        <v>42.9 percent up in Chibanian international stage</v>
      </c>
      <c r="I59" s="142" t="str">
        <f t="shared" si="1"/>
        <v>73.4 percent up in Chibanian international stage</v>
      </c>
      <c r="J59" s="7">
        <v>0.42900763358778626</v>
      </c>
      <c r="K59" s="129">
        <f t="shared" si="2"/>
        <v>42.9</v>
      </c>
      <c r="L59" s="8" t="s">
        <v>20</v>
      </c>
      <c r="M59" s="5" t="s">
        <v>82</v>
      </c>
      <c r="N59" s="5" t="s">
        <v>82</v>
      </c>
      <c r="O59" s="83"/>
      <c r="P59" s="20">
        <v>0.73435114503816801</v>
      </c>
      <c r="Q59" s="143">
        <f t="shared" si="3"/>
        <v>73.400000000000006</v>
      </c>
      <c r="R59" s="21" t="s">
        <v>20</v>
      </c>
      <c r="S59" s="8" t="s">
        <v>259</v>
      </c>
      <c r="T59" s="7">
        <v>0.30534351145038174</v>
      </c>
    </row>
    <row r="60" spans="1:20" ht="28">
      <c r="A60" s="67" t="s">
        <v>221</v>
      </c>
      <c r="B60" s="63" t="s">
        <v>304</v>
      </c>
      <c r="C60" s="5"/>
      <c r="D60" s="5" t="s">
        <v>270</v>
      </c>
      <c r="E60" s="132">
        <f t="shared" si="11"/>
        <v>0.49714809160305345</v>
      </c>
      <c r="F60" s="139">
        <f t="shared" si="12"/>
        <v>0.4480641221374046</v>
      </c>
      <c r="G60" s="149"/>
      <c r="H60" s="82" t="str">
        <f t="shared" si="0"/>
        <v>42.9 percent up in Chibanian international stage</v>
      </c>
      <c r="I60" s="142" t="str">
        <f t="shared" si="1"/>
        <v>50.5 percent up in Chibanian international stage</v>
      </c>
      <c r="J60" s="7">
        <v>0.42900763358778626</v>
      </c>
      <c r="K60" s="129">
        <f t="shared" si="2"/>
        <v>42.9</v>
      </c>
      <c r="L60" s="8" t="s">
        <v>20</v>
      </c>
      <c r="M60" s="5" t="s">
        <v>82</v>
      </c>
      <c r="N60" s="5" t="s">
        <v>82</v>
      </c>
      <c r="O60" s="83"/>
      <c r="P60" s="20">
        <v>0.5053435114503817</v>
      </c>
      <c r="Q60" s="143">
        <f t="shared" si="3"/>
        <v>50.5</v>
      </c>
      <c r="R60" s="21" t="s">
        <v>20</v>
      </c>
      <c r="S60" s="8" t="s">
        <v>259</v>
      </c>
      <c r="T60" s="7">
        <v>7.6335877862595436E-2</v>
      </c>
    </row>
    <row r="61" spans="1:20" ht="28">
      <c r="A61" s="67" t="s">
        <v>221</v>
      </c>
      <c r="B61" s="66" t="s">
        <v>305</v>
      </c>
      <c r="C61" s="5"/>
      <c r="D61" s="5" t="s">
        <v>82</v>
      </c>
      <c r="E61" s="132">
        <f t="shared" si="11"/>
        <v>0.51776335877862589</v>
      </c>
      <c r="F61" s="139">
        <f t="shared" si="12"/>
        <v>0.26154503816793895</v>
      </c>
      <c r="G61" s="149"/>
      <c r="H61" s="82" t="str">
        <f t="shared" si="0"/>
        <v>39.7 percent up in Chibanian international stage</v>
      </c>
      <c r="I61" s="142" t="str">
        <f t="shared" si="1"/>
        <v>79.5 percent up in Chibanian international stage</v>
      </c>
      <c r="J61" s="7">
        <v>0.39694656488549618</v>
      </c>
      <c r="K61" s="129">
        <f t="shared" si="2"/>
        <v>39.700000000000003</v>
      </c>
      <c r="L61" s="8" t="s">
        <v>20</v>
      </c>
      <c r="M61" s="5" t="s">
        <v>82</v>
      </c>
      <c r="N61" s="5" t="s">
        <v>82</v>
      </c>
      <c r="O61" s="83"/>
      <c r="P61" s="20">
        <v>0.79541984732824422</v>
      </c>
      <c r="Q61" s="143">
        <f t="shared" si="3"/>
        <v>79.5</v>
      </c>
      <c r="R61" s="21" t="s">
        <v>20</v>
      </c>
      <c r="S61" s="8" t="s">
        <v>259</v>
      </c>
      <c r="T61" s="7">
        <v>0.39847328244274804</v>
      </c>
    </row>
    <row r="62" spans="1:20" ht="28">
      <c r="A62" s="67" t="s">
        <v>221</v>
      </c>
      <c r="B62" s="63" t="s">
        <v>306</v>
      </c>
      <c r="C62" s="5"/>
      <c r="D62" s="5" t="s">
        <v>258</v>
      </c>
      <c r="E62" s="132">
        <f t="shared" si="11"/>
        <v>0.54623206106870237</v>
      </c>
      <c r="F62" s="139">
        <f t="shared" si="12"/>
        <v>0.4480641221374046</v>
      </c>
      <c r="G62" s="149"/>
      <c r="H62" s="82" t="str">
        <f t="shared" si="0"/>
        <v>35.3 percent up in Chibanian international stage</v>
      </c>
      <c r="I62" s="142" t="str">
        <f t="shared" si="1"/>
        <v>50.5 percent up in Chibanian international stage</v>
      </c>
      <c r="J62" s="7">
        <v>0.35267175572519083</v>
      </c>
      <c r="K62" s="129">
        <f t="shared" si="2"/>
        <v>35.299999999999997</v>
      </c>
      <c r="L62" s="8" t="s">
        <v>20</v>
      </c>
      <c r="M62" s="5" t="s">
        <v>82</v>
      </c>
      <c r="N62" s="5" t="s">
        <v>82</v>
      </c>
      <c r="O62" s="83"/>
      <c r="P62" s="20">
        <v>0.5053435114503817</v>
      </c>
      <c r="Q62" s="143">
        <f t="shared" si="3"/>
        <v>50.5</v>
      </c>
      <c r="R62" s="21" t="s">
        <v>20</v>
      </c>
      <c r="S62" s="8" t="s">
        <v>259</v>
      </c>
      <c r="T62" s="7">
        <v>0.15267175572519087</v>
      </c>
    </row>
    <row r="63" spans="1:20" ht="28">
      <c r="A63" s="67" t="s">
        <v>221</v>
      </c>
      <c r="B63" s="63" t="s">
        <v>307</v>
      </c>
      <c r="C63" s="5"/>
      <c r="D63" s="5" t="s">
        <v>244</v>
      </c>
      <c r="E63" s="132">
        <f t="shared" si="11"/>
        <v>0.59531603053435111</v>
      </c>
      <c r="F63" s="139">
        <f t="shared" si="12"/>
        <v>0.47751450381679389</v>
      </c>
      <c r="G63" s="149"/>
      <c r="H63" s="82" t="str">
        <f t="shared" si="0"/>
        <v>27.6 percent up in Chibanian international stage</v>
      </c>
      <c r="I63" s="142" t="str">
        <f t="shared" si="1"/>
        <v>46 percent up in Chibanian international stage</v>
      </c>
      <c r="J63" s="7">
        <v>0.2763358778625955</v>
      </c>
      <c r="K63" s="129">
        <f t="shared" si="2"/>
        <v>27.6</v>
      </c>
      <c r="L63" s="8" t="s">
        <v>20</v>
      </c>
      <c r="M63" s="5" t="s">
        <v>82</v>
      </c>
      <c r="N63" s="5" t="s">
        <v>82</v>
      </c>
      <c r="O63" s="83"/>
      <c r="P63" s="20">
        <v>0.45954198473282448</v>
      </c>
      <c r="Q63" s="143">
        <f t="shared" si="3"/>
        <v>46</v>
      </c>
      <c r="R63" s="21" t="s">
        <v>20</v>
      </c>
      <c r="S63" s="8" t="s">
        <v>259</v>
      </c>
      <c r="T63" s="7">
        <v>0.18320610687022904</v>
      </c>
    </row>
    <row r="64" spans="1:20" ht="28">
      <c r="A64" s="67" t="s">
        <v>221</v>
      </c>
      <c r="B64" s="63" t="s">
        <v>308</v>
      </c>
      <c r="C64" s="5"/>
      <c r="D64" s="5" t="s">
        <v>270</v>
      </c>
      <c r="E64" s="132">
        <f t="shared" si="11"/>
        <v>0.60513282442748095</v>
      </c>
      <c r="F64" s="139">
        <f t="shared" si="12"/>
        <v>0.54623206106870237</v>
      </c>
      <c r="G64" s="149"/>
      <c r="H64" s="82" t="str">
        <f t="shared" si="0"/>
        <v>26.1 percent up in Chibanian international stage</v>
      </c>
      <c r="I64" s="142" t="str">
        <f t="shared" si="1"/>
        <v>35.3 percent up in Chibanian international stage</v>
      </c>
      <c r="J64" s="7">
        <v>0.26106870229007639</v>
      </c>
      <c r="K64" s="129">
        <f t="shared" si="2"/>
        <v>26.1</v>
      </c>
      <c r="L64" s="8" t="s">
        <v>20</v>
      </c>
      <c r="M64" s="5" t="s">
        <v>82</v>
      </c>
      <c r="N64" s="5" t="s">
        <v>82</v>
      </c>
      <c r="O64" s="83"/>
      <c r="P64" s="20">
        <v>0.35267175572519077</v>
      </c>
      <c r="Q64" s="143">
        <f t="shared" si="3"/>
        <v>35.299999999999997</v>
      </c>
      <c r="R64" s="21" t="s">
        <v>20</v>
      </c>
      <c r="S64" s="8" t="s">
        <v>259</v>
      </c>
      <c r="T64" s="7">
        <v>9.1603053435114518E-2</v>
      </c>
    </row>
    <row r="65" spans="1:20" ht="28">
      <c r="A65" s="67" t="s">
        <v>221</v>
      </c>
      <c r="B65" s="63" t="s">
        <v>309</v>
      </c>
      <c r="C65" s="5"/>
      <c r="D65" s="5" t="s">
        <v>258</v>
      </c>
      <c r="E65" s="132">
        <f t="shared" si="11"/>
        <v>0.67385038167938938</v>
      </c>
      <c r="F65" s="139">
        <f t="shared" si="12"/>
        <v>0.54623206106870237</v>
      </c>
      <c r="G65" s="149"/>
      <c r="H65" s="82" t="str">
        <f t="shared" si="0"/>
        <v>15.4 percent up in Chibanian international stage</v>
      </c>
      <c r="I65" s="142" t="str">
        <f t="shared" si="1"/>
        <v>35.3 percent up in Chibanian international stage</v>
      </c>
      <c r="J65" s="7">
        <v>0.15419847328244274</v>
      </c>
      <c r="K65" s="129">
        <f t="shared" si="2"/>
        <v>15.4</v>
      </c>
      <c r="L65" s="8" t="s">
        <v>20</v>
      </c>
      <c r="M65" s="5" t="s">
        <v>82</v>
      </c>
      <c r="N65" s="5" t="s">
        <v>82</v>
      </c>
      <c r="O65" s="83"/>
      <c r="P65" s="20">
        <v>0.35267175572519077</v>
      </c>
      <c r="Q65" s="143">
        <f t="shared" si="3"/>
        <v>35.299999999999997</v>
      </c>
      <c r="R65" s="21" t="s">
        <v>20</v>
      </c>
      <c r="S65" s="8" t="s">
        <v>259</v>
      </c>
      <c r="T65" s="7">
        <v>0.19847328244274812</v>
      </c>
    </row>
    <row r="66" spans="1:20" ht="28">
      <c r="A66" s="67" t="s">
        <v>221</v>
      </c>
      <c r="B66" s="63" t="s">
        <v>310</v>
      </c>
      <c r="C66" s="5"/>
      <c r="D66" s="5" t="s">
        <v>258</v>
      </c>
      <c r="E66" s="132">
        <f t="shared" si="11"/>
        <v>0.7131175572519084</v>
      </c>
      <c r="F66" s="139">
        <f t="shared" si="12"/>
        <v>0.67385038167938938</v>
      </c>
      <c r="G66" s="149"/>
      <c r="H66" s="82" t="str">
        <f t="shared" si="0"/>
        <v>9.3 percent up in Chibanian international stage</v>
      </c>
      <c r="I66" s="142" t="str">
        <f t="shared" si="1"/>
        <v>15.4 percent up in Chibanian international stage</v>
      </c>
      <c r="J66" s="7">
        <v>9.3129770992366523E-2</v>
      </c>
      <c r="K66" s="129">
        <f t="shared" si="2"/>
        <v>9.3000000000000007</v>
      </c>
      <c r="L66" s="8" t="s">
        <v>20</v>
      </c>
      <c r="M66" s="5" t="s">
        <v>82</v>
      </c>
      <c r="N66" s="5" t="s">
        <v>82</v>
      </c>
      <c r="O66" s="83"/>
      <c r="P66" s="20">
        <v>0.15419847328244271</v>
      </c>
      <c r="Q66" s="143">
        <f t="shared" si="3"/>
        <v>15.4</v>
      </c>
      <c r="R66" s="21" t="s">
        <v>20</v>
      </c>
      <c r="S66" s="8" t="s">
        <v>259</v>
      </c>
      <c r="T66" s="7">
        <v>6.1068702290076174E-2</v>
      </c>
    </row>
    <row r="67" spans="1:20" ht="28">
      <c r="A67" s="67" t="s">
        <v>221</v>
      </c>
      <c r="B67" s="63" t="s">
        <v>311</v>
      </c>
      <c r="C67" s="5"/>
      <c r="D67" s="5" t="s">
        <v>270</v>
      </c>
      <c r="E67" s="132">
        <f t="shared" si="11"/>
        <v>0.7131175572519084</v>
      </c>
      <c r="F67" s="139">
        <f t="shared" si="12"/>
        <v>0.67385038167938938</v>
      </c>
      <c r="G67" s="149"/>
      <c r="H67" s="82" t="str">
        <f t="shared" si="0"/>
        <v>9.3 percent up in Chibanian international stage</v>
      </c>
      <c r="I67" s="142" t="str">
        <f t="shared" si="1"/>
        <v>15.4 percent up in Chibanian international stage</v>
      </c>
      <c r="J67" s="7">
        <v>9.3129770992366523E-2</v>
      </c>
      <c r="K67" s="129">
        <f t="shared" si="2"/>
        <v>9.3000000000000007</v>
      </c>
      <c r="L67" s="8" t="s">
        <v>20</v>
      </c>
      <c r="M67" s="5" t="s">
        <v>82</v>
      </c>
      <c r="N67" s="5" t="s">
        <v>82</v>
      </c>
      <c r="O67" s="83"/>
      <c r="P67" s="20">
        <v>0.15419847328244271</v>
      </c>
      <c r="Q67" s="143">
        <f t="shared" si="3"/>
        <v>15.4</v>
      </c>
      <c r="R67" s="21" t="s">
        <v>20</v>
      </c>
      <c r="S67" s="8" t="s">
        <v>259</v>
      </c>
      <c r="T67" s="7">
        <v>6.1068702290076174E-2</v>
      </c>
    </row>
    <row r="68" spans="1:20" ht="28">
      <c r="A68" s="67" t="s">
        <v>221</v>
      </c>
      <c r="B68" s="63" t="s">
        <v>312</v>
      </c>
      <c r="C68" s="5"/>
      <c r="D68" s="5" t="s">
        <v>292</v>
      </c>
      <c r="E68" s="132">
        <f t="shared" si="11"/>
        <v>0.72220594503816804</v>
      </c>
      <c r="F68" s="139">
        <f t="shared" si="12"/>
        <v>0.36986746870229026</v>
      </c>
      <c r="G68" s="149"/>
      <c r="H68" s="82" t="str">
        <f t="shared" si="0"/>
        <v>7.9 percent up in Chibanian international stage</v>
      </c>
      <c r="I68" s="142" t="str">
        <f t="shared" si="1"/>
        <v>62.7 percent up in Chibanian international stage</v>
      </c>
      <c r="J68" s="7">
        <v>7.8995419847328052E-2</v>
      </c>
      <c r="K68" s="129">
        <f t="shared" si="2"/>
        <v>7.9</v>
      </c>
      <c r="L68" s="8" t="s">
        <v>20</v>
      </c>
      <c r="M68" s="5" t="s">
        <v>82</v>
      </c>
      <c r="N68" s="5" t="s">
        <v>82</v>
      </c>
      <c r="O68" s="83"/>
      <c r="P68" s="20">
        <v>0.62695572519083942</v>
      </c>
      <c r="Q68" s="143">
        <f t="shared" si="3"/>
        <v>62.7</v>
      </c>
      <c r="R68" s="21" t="s">
        <v>20</v>
      </c>
      <c r="S68" s="8" t="s">
        <v>259</v>
      </c>
      <c r="T68" s="7">
        <v>0.54796030534351137</v>
      </c>
    </row>
    <row r="69" spans="1:20" ht="28">
      <c r="A69" s="67" t="s">
        <v>221</v>
      </c>
      <c r="B69" s="63" t="s">
        <v>313</v>
      </c>
      <c r="C69" s="5"/>
      <c r="D69" s="5" t="s">
        <v>292</v>
      </c>
      <c r="E69" s="132">
        <f t="shared" si="11"/>
        <v>0.72220594503816804</v>
      </c>
      <c r="F69" s="139">
        <f t="shared" si="12"/>
        <v>0.36986746870229026</v>
      </c>
      <c r="G69" s="149"/>
      <c r="H69" s="82" t="str">
        <f t="shared" ref="H69:H132" si="13">CONCATENATE(K69," percent up in ",L69," international stage")</f>
        <v>7.9 percent up in Chibanian international stage</v>
      </c>
      <c r="I69" s="142" t="str">
        <f t="shared" ref="I69:I132" si="14">CONCATENATE(Q69," percent up in ",R69," international stage")</f>
        <v>62.7 percent up in Chibanian international stage</v>
      </c>
      <c r="J69" s="7">
        <v>7.8995419847328052E-2</v>
      </c>
      <c r="K69" s="129">
        <f t="shared" ref="K69:K132" si="15">ROUND(J69*100,1)</f>
        <v>7.9</v>
      </c>
      <c r="L69" s="8" t="s">
        <v>20</v>
      </c>
      <c r="M69" s="5" t="s">
        <v>82</v>
      </c>
      <c r="N69" s="5" t="s">
        <v>82</v>
      </c>
      <c r="O69" s="83"/>
      <c r="P69" s="20">
        <v>0.62695572519083942</v>
      </c>
      <c r="Q69" s="143">
        <f t="shared" ref="Q69:Q132" si="16">ROUND(P69*100,1)</f>
        <v>62.7</v>
      </c>
      <c r="R69" s="21" t="s">
        <v>20</v>
      </c>
      <c r="S69" s="8" t="s">
        <v>259</v>
      </c>
      <c r="T69" s="7">
        <v>0.54796030534351137</v>
      </c>
    </row>
    <row r="70" spans="1:20" ht="28">
      <c r="A70" s="67" t="s">
        <v>221</v>
      </c>
      <c r="B70" s="63" t="s">
        <v>314</v>
      </c>
      <c r="C70" s="5"/>
      <c r="D70" s="5" t="s">
        <v>258</v>
      </c>
      <c r="E70" s="132">
        <f t="shared" si="11"/>
        <v>0.77201832061068709</v>
      </c>
      <c r="F70" s="139">
        <f t="shared" si="12"/>
        <v>0.7131175572519084</v>
      </c>
      <c r="G70" s="149"/>
      <c r="H70" s="82" t="str">
        <f t="shared" si="13"/>
        <v>0.2 percent up in Chibanian international stage</v>
      </c>
      <c r="I70" s="142" t="str">
        <f t="shared" si="14"/>
        <v>9.3 percent up in Chibanian international stage</v>
      </c>
      <c r="J70" s="7">
        <v>1.5267175572518665E-3</v>
      </c>
      <c r="K70" s="129">
        <f t="shared" si="15"/>
        <v>0.2</v>
      </c>
      <c r="L70" s="8" t="s">
        <v>20</v>
      </c>
      <c r="M70" s="5" t="s">
        <v>82</v>
      </c>
      <c r="N70" s="5" t="s">
        <v>82</v>
      </c>
      <c r="O70" s="83"/>
      <c r="P70" s="20">
        <v>9.3129770992366495E-2</v>
      </c>
      <c r="Q70" s="143">
        <f t="shared" si="16"/>
        <v>9.3000000000000007</v>
      </c>
      <c r="R70" s="21" t="s">
        <v>20</v>
      </c>
      <c r="S70" s="8" t="s">
        <v>259</v>
      </c>
      <c r="T70" s="7">
        <v>9.1603053435114698E-2</v>
      </c>
    </row>
    <row r="71" spans="1:20" ht="28">
      <c r="A71" s="67" t="s">
        <v>221</v>
      </c>
      <c r="B71" s="65" t="s">
        <v>315</v>
      </c>
      <c r="C71" s="5"/>
      <c r="D71" s="5" t="s">
        <v>82</v>
      </c>
      <c r="E71" s="132">
        <f t="shared" si="11"/>
        <v>0.77300000000000002</v>
      </c>
      <c r="F71" s="139">
        <f t="shared" si="12"/>
        <v>0.51776335877862589</v>
      </c>
      <c r="G71" s="149"/>
      <c r="H71" s="82" t="str">
        <f t="shared" si="13"/>
        <v>0 percent up in Chibanian international stage</v>
      </c>
      <c r="I71" s="142" t="str">
        <f t="shared" si="14"/>
        <v>39.7 percent up in Chibanian international stage</v>
      </c>
      <c r="J71" s="7">
        <v>0</v>
      </c>
      <c r="K71" s="129">
        <f t="shared" si="15"/>
        <v>0</v>
      </c>
      <c r="L71" s="8" t="s">
        <v>20</v>
      </c>
      <c r="M71" s="5" t="s">
        <v>82</v>
      </c>
      <c r="N71" s="5" t="s">
        <v>82</v>
      </c>
      <c r="O71" s="83"/>
      <c r="P71" s="20">
        <v>0.39694656488549618</v>
      </c>
      <c r="Q71" s="143">
        <f t="shared" si="16"/>
        <v>39.700000000000003</v>
      </c>
      <c r="R71" s="21" t="s">
        <v>20</v>
      </c>
      <c r="S71" s="8" t="s">
        <v>230</v>
      </c>
      <c r="T71" s="7" t="s">
        <v>226</v>
      </c>
    </row>
    <row r="72" spans="1:20" ht="28">
      <c r="A72" s="67" t="s">
        <v>221</v>
      </c>
      <c r="B72" s="63" t="s">
        <v>316</v>
      </c>
      <c r="C72" s="5"/>
      <c r="D72" s="5" t="s">
        <v>229</v>
      </c>
      <c r="E72" s="132">
        <f t="shared" si="11"/>
        <v>0.77300000000000002</v>
      </c>
      <c r="F72" s="139">
        <f t="shared" si="12"/>
        <v>0.13</v>
      </c>
      <c r="G72" s="149"/>
      <c r="H72" s="82" t="str">
        <f t="shared" si="13"/>
        <v>0 percent up in Chibanian international stage</v>
      </c>
      <c r="I72" s="142" t="str">
        <f t="shared" si="14"/>
        <v>100 percent up in Chibanian international stage</v>
      </c>
      <c r="J72" s="7">
        <v>0</v>
      </c>
      <c r="K72" s="129">
        <f t="shared" si="15"/>
        <v>0</v>
      </c>
      <c r="L72" s="8" t="s">
        <v>20</v>
      </c>
      <c r="M72" s="5" t="s">
        <v>82</v>
      </c>
      <c r="N72" s="5" t="s">
        <v>82</v>
      </c>
      <c r="O72" s="83"/>
      <c r="P72" s="20">
        <v>1</v>
      </c>
      <c r="Q72" s="143">
        <f t="shared" si="16"/>
        <v>100</v>
      </c>
      <c r="R72" s="21" t="s">
        <v>20</v>
      </c>
      <c r="S72" s="8" t="s">
        <v>232</v>
      </c>
      <c r="T72" s="7" t="s">
        <v>226</v>
      </c>
    </row>
    <row r="73" spans="1:20" ht="28">
      <c r="A73" s="67" t="s">
        <v>221</v>
      </c>
      <c r="B73" s="65" t="s">
        <v>317</v>
      </c>
      <c r="C73" s="5"/>
      <c r="D73" s="5" t="s">
        <v>250</v>
      </c>
      <c r="E73" s="132">
        <f t="shared" si="11"/>
        <v>0.77300000000000002</v>
      </c>
      <c r="F73" s="139">
        <f t="shared" si="12"/>
        <v>0.13</v>
      </c>
      <c r="G73" s="149"/>
      <c r="H73" s="82" t="str">
        <f t="shared" si="13"/>
        <v>0 percent up in Chibanian international stage</v>
      </c>
      <c r="I73" s="142" t="str">
        <f t="shared" si="14"/>
        <v>100 percent up in Chibanian international stage</v>
      </c>
      <c r="J73" s="7">
        <v>0</v>
      </c>
      <c r="K73" s="129">
        <f t="shared" si="15"/>
        <v>0</v>
      </c>
      <c r="L73" s="8" t="s">
        <v>20</v>
      </c>
      <c r="M73" s="5" t="s">
        <v>82</v>
      </c>
      <c r="N73" s="5" t="s">
        <v>82</v>
      </c>
      <c r="O73" s="83"/>
      <c r="P73" s="20">
        <v>1</v>
      </c>
      <c r="Q73" s="143">
        <f t="shared" si="16"/>
        <v>100</v>
      </c>
      <c r="R73" s="21" t="s">
        <v>20</v>
      </c>
      <c r="S73" s="8" t="s">
        <v>232</v>
      </c>
      <c r="T73" s="7" t="s">
        <v>226</v>
      </c>
    </row>
    <row r="74" spans="1:20" ht="28">
      <c r="A74" s="67" t="s">
        <v>221</v>
      </c>
      <c r="B74" s="64" t="s">
        <v>318</v>
      </c>
      <c r="C74" s="5"/>
      <c r="D74" s="5" t="s">
        <v>82</v>
      </c>
      <c r="E74" s="132">
        <f t="shared" si="11"/>
        <v>0.77300000000000002</v>
      </c>
      <c r="F74" s="139">
        <f t="shared" si="12"/>
        <v>0.13</v>
      </c>
      <c r="G74" s="149"/>
      <c r="H74" s="82" t="str">
        <f t="shared" si="13"/>
        <v>0 percent up in Chibanian international stage</v>
      </c>
      <c r="I74" s="142" t="str">
        <f t="shared" si="14"/>
        <v>100 percent up in Chibanian international stage</v>
      </c>
      <c r="J74" s="7">
        <v>0</v>
      </c>
      <c r="K74" s="129">
        <f t="shared" si="15"/>
        <v>0</v>
      </c>
      <c r="L74" s="8" t="s">
        <v>20</v>
      </c>
      <c r="M74" s="5" t="s">
        <v>82</v>
      </c>
      <c r="N74" s="5" t="s">
        <v>82</v>
      </c>
      <c r="O74" s="83"/>
      <c r="P74" s="20">
        <v>1</v>
      </c>
      <c r="Q74" s="143">
        <f t="shared" si="16"/>
        <v>100</v>
      </c>
      <c r="R74" s="21" t="s">
        <v>20</v>
      </c>
      <c r="S74" s="8" t="s">
        <v>232</v>
      </c>
      <c r="T74" s="7" t="s">
        <v>226</v>
      </c>
    </row>
    <row r="75" spans="1:20" ht="28">
      <c r="A75" s="67" t="s">
        <v>221</v>
      </c>
      <c r="B75" s="65" t="s">
        <v>319</v>
      </c>
      <c r="C75" s="134" t="s">
        <v>6</v>
      </c>
      <c r="D75" s="134" t="s">
        <v>222</v>
      </c>
      <c r="E75" s="132">
        <f t="shared" si="11"/>
        <v>0.77300000000000002</v>
      </c>
      <c r="F75" s="139">
        <f t="shared" si="12"/>
        <v>0.13</v>
      </c>
      <c r="G75" s="149"/>
      <c r="H75" s="82" t="str">
        <f t="shared" si="13"/>
        <v>0 percent up in Chibanian international stage</v>
      </c>
      <c r="I75" s="142" t="str">
        <f t="shared" si="14"/>
        <v>100 percent up in Chibanian international stage</v>
      </c>
      <c r="J75" s="7">
        <v>0</v>
      </c>
      <c r="K75" s="129">
        <f t="shared" si="15"/>
        <v>0</v>
      </c>
      <c r="L75" s="8" t="s">
        <v>20</v>
      </c>
      <c r="M75" s="5" t="s">
        <v>82</v>
      </c>
      <c r="N75" s="5" t="s">
        <v>82</v>
      </c>
      <c r="O75" s="83"/>
      <c r="P75" s="20">
        <v>1</v>
      </c>
      <c r="Q75" s="143">
        <f t="shared" si="16"/>
        <v>100</v>
      </c>
      <c r="R75" s="21" t="s">
        <v>20</v>
      </c>
      <c r="S75" s="8" t="s">
        <v>232</v>
      </c>
      <c r="T75" s="7" t="s">
        <v>226</v>
      </c>
    </row>
    <row r="76" spans="1:20" ht="28">
      <c r="A76" s="67" t="s">
        <v>221</v>
      </c>
      <c r="B76" s="63" t="s">
        <v>20</v>
      </c>
      <c r="C76" s="134" t="s">
        <v>7</v>
      </c>
      <c r="D76" s="134" t="s">
        <v>222</v>
      </c>
      <c r="E76" s="132">
        <f t="shared" si="11"/>
        <v>0.77300000000000002</v>
      </c>
      <c r="F76" s="139">
        <f t="shared" si="12"/>
        <v>0.13</v>
      </c>
      <c r="G76" s="149"/>
      <c r="H76" s="82" t="str">
        <f t="shared" si="13"/>
        <v>0 percent up in Chibanian international stage</v>
      </c>
      <c r="I76" s="142" t="str">
        <f t="shared" si="14"/>
        <v>100 percent up in Chibanian international stage</v>
      </c>
      <c r="J76" s="7">
        <v>0</v>
      </c>
      <c r="K76" s="129">
        <f t="shared" si="15"/>
        <v>0</v>
      </c>
      <c r="L76" s="8" t="s">
        <v>20</v>
      </c>
      <c r="M76" s="5" t="s">
        <v>224</v>
      </c>
      <c r="N76" s="5" t="s">
        <v>320</v>
      </c>
      <c r="O76" s="83">
        <f>Master_Chronostrat!I9</f>
        <v>0.77300000000000002</v>
      </c>
      <c r="P76" s="20">
        <v>1</v>
      </c>
      <c r="Q76" s="143">
        <f t="shared" si="16"/>
        <v>100</v>
      </c>
      <c r="R76" s="21" t="s">
        <v>20</v>
      </c>
      <c r="S76" s="8" t="s">
        <v>224</v>
      </c>
      <c r="T76" s="7" t="s">
        <v>226</v>
      </c>
    </row>
    <row r="77" spans="1:20" ht="28">
      <c r="A77" s="67" t="s">
        <v>221</v>
      </c>
      <c r="B77" s="63" t="s">
        <v>321</v>
      </c>
      <c r="C77" s="5"/>
      <c r="D77" s="5" t="s">
        <v>322</v>
      </c>
      <c r="E77" s="132">
        <f t="shared" ref="E77:E121" si="17">$O$121-J77*($O$121-$O$76)</f>
        <v>0.79214829268292708</v>
      </c>
      <c r="F77" s="139">
        <f t="shared" si="12"/>
        <v>0.30081221374045797</v>
      </c>
      <c r="G77" s="149"/>
      <c r="H77" s="82" t="str">
        <f t="shared" si="13"/>
        <v>98.1 percent up in Calabrian international stage</v>
      </c>
      <c r="I77" s="142" t="str">
        <f t="shared" si="14"/>
        <v>73.4 percent up in Chibanian international stage</v>
      </c>
      <c r="J77" s="7">
        <v>0.98146341463414632</v>
      </c>
      <c r="K77" s="129">
        <f t="shared" si="15"/>
        <v>98.1</v>
      </c>
      <c r="L77" s="8" t="s">
        <v>21</v>
      </c>
      <c r="M77" s="5" t="s">
        <v>82</v>
      </c>
      <c r="N77" s="5" t="s">
        <v>82</v>
      </c>
      <c r="O77" s="83"/>
      <c r="P77" s="20">
        <v>0.73435114503816801</v>
      </c>
      <c r="Q77" s="143">
        <f t="shared" si="16"/>
        <v>73.400000000000006</v>
      </c>
      <c r="R77" s="21" t="s">
        <v>20</v>
      </c>
      <c r="S77" s="8" t="s">
        <v>246</v>
      </c>
      <c r="T77" s="7" t="s">
        <v>226</v>
      </c>
    </row>
    <row r="78" spans="1:20" ht="28">
      <c r="A78" s="67" t="s">
        <v>221</v>
      </c>
      <c r="B78" s="63" t="s">
        <v>323</v>
      </c>
      <c r="C78" s="5"/>
      <c r="D78" s="5" t="s">
        <v>286</v>
      </c>
      <c r="E78" s="132">
        <f t="shared" si="17"/>
        <v>0.79214829268292708</v>
      </c>
      <c r="F78" s="139">
        <f t="shared" si="12"/>
        <v>0.49714809160305345</v>
      </c>
      <c r="G78" s="149"/>
      <c r="H78" s="82" t="str">
        <f t="shared" si="13"/>
        <v>98.1 percent up in Calabrian international stage</v>
      </c>
      <c r="I78" s="142" t="str">
        <f t="shared" si="14"/>
        <v>42.9 percent up in Chibanian international stage</v>
      </c>
      <c r="J78" s="7">
        <v>0.98146341463414632</v>
      </c>
      <c r="K78" s="129">
        <f t="shared" si="15"/>
        <v>98.1</v>
      </c>
      <c r="L78" s="8" t="s">
        <v>21</v>
      </c>
      <c r="M78" s="5" t="s">
        <v>82</v>
      </c>
      <c r="N78" s="5" t="s">
        <v>82</v>
      </c>
      <c r="O78" s="83"/>
      <c r="P78" s="20">
        <v>0.42900763358778626</v>
      </c>
      <c r="Q78" s="143">
        <f t="shared" si="16"/>
        <v>42.9</v>
      </c>
      <c r="R78" s="21" t="s">
        <v>20</v>
      </c>
      <c r="S78" s="8" t="s">
        <v>246</v>
      </c>
      <c r="T78" s="7" t="s">
        <v>226</v>
      </c>
    </row>
    <row r="79" spans="1:20" ht="28">
      <c r="A79" s="67" t="s">
        <v>221</v>
      </c>
      <c r="B79" s="63" t="s">
        <v>324</v>
      </c>
      <c r="C79" s="5"/>
      <c r="D79" s="5" t="s">
        <v>325</v>
      </c>
      <c r="E79" s="132">
        <f t="shared" si="17"/>
        <v>0.84253853658536593</v>
      </c>
      <c r="F79" s="139">
        <f t="shared" si="12"/>
        <v>0.46278931297709924</v>
      </c>
      <c r="G79" s="149"/>
      <c r="H79" s="82" t="str">
        <f t="shared" si="13"/>
        <v>93.3 percent up in Calabrian international stage</v>
      </c>
      <c r="I79" s="142" t="str">
        <f t="shared" si="14"/>
        <v>48.2 percent up in Chibanian international stage</v>
      </c>
      <c r="J79" s="7">
        <v>0.93268292682926834</v>
      </c>
      <c r="K79" s="129">
        <f t="shared" si="15"/>
        <v>93.3</v>
      </c>
      <c r="L79" s="8" t="s">
        <v>21</v>
      </c>
      <c r="M79" s="5" t="s">
        <v>82</v>
      </c>
      <c r="N79" s="5" t="s">
        <v>82</v>
      </c>
      <c r="O79" s="83"/>
      <c r="P79" s="20">
        <v>0.48244274809160304</v>
      </c>
      <c r="Q79" s="143">
        <f t="shared" si="16"/>
        <v>48.2</v>
      </c>
      <c r="R79" s="21" t="s">
        <v>20</v>
      </c>
      <c r="S79" s="8" t="s">
        <v>246</v>
      </c>
      <c r="T79" s="7" t="s">
        <v>226</v>
      </c>
    </row>
    <row r="80" spans="1:20" ht="28">
      <c r="A80" s="67" t="s">
        <v>221</v>
      </c>
      <c r="B80" s="63" t="s">
        <v>326</v>
      </c>
      <c r="C80" s="5"/>
      <c r="D80" s="5" t="s">
        <v>256</v>
      </c>
      <c r="E80" s="132">
        <f t="shared" si="17"/>
        <v>0.84253853658536593</v>
      </c>
      <c r="F80" s="139">
        <f t="shared" si="12"/>
        <v>0.46278931297709924</v>
      </c>
      <c r="G80" s="149"/>
      <c r="H80" s="82" t="str">
        <f t="shared" si="13"/>
        <v>93.3 percent up in Calabrian international stage</v>
      </c>
      <c r="I80" s="142" t="str">
        <f t="shared" si="14"/>
        <v>48.2 percent up in Chibanian international stage</v>
      </c>
      <c r="J80" s="7">
        <v>0.93268292682926834</v>
      </c>
      <c r="K80" s="129">
        <f t="shared" si="15"/>
        <v>93.3</v>
      </c>
      <c r="L80" s="8" t="s">
        <v>21</v>
      </c>
      <c r="M80" s="5" t="s">
        <v>82</v>
      </c>
      <c r="N80" s="5" t="s">
        <v>82</v>
      </c>
      <c r="O80" s="83"/>
      <c r="P80" s="20">
        <v>0.48244274809160304</v>
      </c>
      <c r="Q80" s="143">
        <f t="shared" si="16"/>
        <v>48.2</v>
      </c>
      <c r="R80" s="21" t="s">
        <v>20</v>
      </c>
      <c r="S80" s="8" t="s">
        <v>246</v>
      </c>
      <c r="T80" s="7" t="s">
        <v>226</v>
      </c>
    </row>
    <row r="81" spans="1:20" ht="28">
      <c r="A81" s="67" t="s">
        <v>221</v>
      </c>
      <c r="B81" s="63" t="s">
        <v>327</v>
      </c>
      <c r="C81" s="5"/>
      <c r="D81" s="5" t="s">
        <v>258</v>
      </c>
      <c r="E81" s="132">
        <f t="shared" si="17"/>
        <v>0.84253853658536593</v>
      </c>
      <c r="F81" s="139">
        <v>1.2E-2</v>
      </c>
      <c r="G81" s="149"/>
      <c r="H81" s="82" t="str">
        <f t="shared" si="13"/>
        <v>93.3 percent up in Calabrian international stage</v>
      </c>
      <c r="I81" s="142" t="str">
        <f t="shared" si="14"/>
        <v>99.7 percent up in Pleistocene Upper international stage</v>
      </c>
      <c r="J81" s="7">
        <v>0.93268292682926834</v>
      </c>
      <c r="K81" s="129">
        <f t="shared" si="15"/>
        <v>93.3</v>
      </c>
      <c r="L81" s="8" t="s">
        <v>21</v>
      </c>
      <c r="M81" s="5" t="s">
        <v>82</v>
      </c>
      <c r="N81" s="5" t="s">
        <v>82</v>
      </c>
      <c r="O81" s="83"/>
      <c r="P81" s="20">
        <v>0.99687906514326308</v>
      </c>
      <c r="Q81" s="143">
        <f t="shared" si="16"/>
        <v>99.7</v>
      </c>
      <c r="R81" s="21" t="s">
        <v>245</v>
      </c>
      <c r="S81" s="8" t="s">
        <v>246</v>
      </c>
      <c r="T81" s="7" t="s">
        <v>226</v>
      </c>
    </row>
    <row r="82" spans="1:20" ht="28">
      <c r="A82" s="67" t="s">
        <v>221</v>
      </c>
      <c r="B82" s="63" t="s">
        <v>328</v>
      </c>
      <c r="C82" s="5"/>
      <c r="D82" s="5" t="s">
        <v>258</v>
      </c>
      <c r="E82" s="132">
        <f t="shared" si="17"/>
        <v>0.84253853658536593</v>
      </c>
      <c r="F82" s="139">
        <f>$O$76-P82*($O$76-$O$26)</f>
        <v>0.77201832061068709</v>
      </c>
      <c r="G82" s="149"/>
      <c r="H82" s="82" t="str">
        <f t="shared" si="13"/>
        <v>93.3 percent up in Calabrian international stage</v>
      </c>
      <c r="I82" s="142" t="str">
        <f t="shared" si="14"/>
        <v>0.2 percent up in Chibanian international stage</v>
      </c>
      <c r="J82" s="7">
        <v>0.93268292682926834</v>
      </c>
      <c r="K82" s="129">
        <f t="shared" si="15"/>
        <v>93.3</v>
      </c>
      <c r="L82" s="8" t="s">
        <v>21</v>
      </c>
      <c r="M82" s="5" t="s">
        <v>82</v>
      </c>
      <c r="N82" s="5" t="s">
        <v>82</v>
      </c>
      <c r="O82" s="83"/>
      <c r="P82" s="20">
        <v>1.5267175572519097E-3</v>
      </c>
      <c r="Q82" s="143">
        <f t="shared" si="16"/>
        <v>0.2</v>
      </c>
      <c r="R82" s="21" t="s">
        <v>20</v>
      </c>
      <c r="S82" s="8" t="s">
        <v>246</v>
      </c>
      <c r="T82" s="7" t="s">
        <v>226</v>
      </c>
    </row>
    <row r="83" spans="1:20" ht="28">
      <c r="A83" s="67" t="s">
        <v>221</v>
      </c>
      <c r="B83" s="63" t="s">
        <v>329</v>
      </c>
      <c r="C83" s="5"/>
      <c r="D83" s="5" t="s">
        <v>270</v>
      </c>
      <c r="E83" s="132">
        <f t="shared" si="17"/>
        <v>0.84253853658536593</v>
      </c>
      <c r="F83" s="139">
        <f>$O$76-P83*($O$76-$O$26)</f>
        <v>0.77201832061068709</v>
      </c>
      <c r="G83" s="149"/>
      <c r="H83" s="82" t="str">
        <f t="shared" si="13"/>
        <v>93.3 percent up in Calabrian international stage</v>
      </c>
      <c r="I83" s="142" t="str">
        <f t="shared" si="14"/>
        <v>0.2 percent up in Chibanian international stage</v>
      </c>
      <c r="J83" s="7">
        <v>0.93268292682926834</v>
      </c>
      <c r="K83" s="129">
        <f t="shared" si="15"/>
        <v>93.3</v>
      </c>
      <c r="L83" s="8" t="s">
        <v>21</v>
      </c>
      <c r="M83" s="5" t="s">
        <v>82</v>
      </c>
      <c r="N83" s="5" t="s">
        <v>82</v>
      </c>
      <c r="O83" s="83"/>
      <c r="P83" s="20">
        <v>1.5267175572519097E-3</v>
      </c>
      <c r="Q83" s="143">
        <f t="shared" si="16"/>
        <v>0.2</v>
      </c>
      <c r="R83" s="21" t="s">
        <v>20</v>
      </c>
      <c r="S83" s="8" t="s">
        <v>246</v>
      </c>
      <c r="T83" s="7" t="s">
        <v>226</v>
      </c>
    </row>
    <row r="84" spans="1:20" ht="28">
      <c r="A84" s="67" t="s">
        <v>221</v>
      </c>
      <c r="B84" s="63" t="s">
        <v>330</v>
      </c>
      <c r="C84" s="5"/>
      <c r="D84" s="5" t="s">
        <v>270</v>
      </c>
      <c r="E84" s="132">
        <f t="shared" si="17"/>
        <v>0.92316292682926848</v>
      </c>
      <c r="F84" s="139">
        <f>$O$76-P84*($O$76-$O$26)</f>
        <v>0.17328487804878034</v>
      </c>
      <c r="G84" s="149"/>
      <c r="H84" s="82" t="str">
        <f t="shared" si="13"/>
        <v>85.5 percent up in Calabrian international stage</v>
      </c>
      <c r="I84" s="142" t="str">
        <f t="shared" si="14"/>
        <v>93.3 percent up in Calabrian international stage</v>
      </c>
      <c r="J84" s="7">
        <v>0.8546341463414634</v>
      </c>
      <c r="K84" s="129">
        <f t="shared" si="15"/>
        <v>85.5</v>
      </c>
      <c r="L84" s="8" t="s">
        <v>21</v>
      </c>
      <c r="M84" s="5" t="s">
        <v>82</v>
      </c>
      <c r="N84" s="5" t="s">
        <v>82</v>
      </c>
      <c r="O84" s="83"/>
      <c r="P84" s="20">
        <v>0.93268292682926845</v>
      </c>
      <c r="Q84" s="143">
        <f t="shared" si="16"/>
        <v>93.3</v>
      </c>
      <c r="R84" s="21" t="s">
        <v>21</v>
      </c>
      <c r="S84" s="8" t="s">
        <v>259</v>
      </c>
      <c r="T84" s="7">
        <v>7.804878048780492E-2</v>
      </c>
    </row>
    <row r="85" spans="1:20" ht="28">
      <c r="A85" s="67" t="s">
        <v>221</v>
      </c>
      <c r="B85" s="63" t="s">
        <v>331</v>
      </c>
      <c r="C85" s="5"/>
      <c r="D85" s="5" t="s">
        <v>244</v>
      </c>
      <c r="E85" s="132">
        <f t="shared" si="17"/>
        <v>0.92316292682926848</v>
      </c>
      <c r="F85" s="139">
        <f>$O$76-P85*($O$76-$O$26)</f>
        <v>0.59531603053435111</v>
      </c>
      <c r="G85" s="149"/>
      <c r="H85" s="82" t="str">
        <f t="shared" si="13"/>
        <v>85.5 percent up in Calabrian international stage</v>
      </c>
      <c r="I85" s="142" t="str">
        <f t="shared" si="14"/>
        <v>27.6 percent up in Chibanian international stage</v>
      </c>
      <c r="J85" s="7">
        <v>0.8546341463414634</v>
      </c>
      <c r="K85" s="129">
        <f t="shared" si="15"/>
        <v>85.5</v>
      </c>
      <c r="L85" s="8" t="s">
        <v>21</v>
      </c>
      <c r="M85" s="5" t="s">
        <v>82</v>
      </c>
      <c r="N85" s="5" t="s">
        <v>82</v>
      </c>
      <c r="O85" s="83"/>
      <c r="P85" s="20">
        <v>0.2763358778625955</v>
      </c>
      <c r="Q85" s="143">
        <f t="shared" si="16"/>
        <v>27.6</v>
      </c>
      <c r="R85" s="21" t="s">
        <v>20</v>
      </c>
      <c r="S85" s="8" t="s">
        <v>246</v>
      </c>
      <c r="T85" s="7" t="s">
        <v>226</v>
      </c>
    </row>
    <row r="86" spans="1:20" ht="28">
      <c r="A86" s="67" t="s">
        <v>221</v>
      </c>
      <c r="B86" s="63" t="s">
        <v>332</v>
      </c>
      <c r="C86" s="5"/>
      <c r="D86" s="5" t="s">
        <v>270</v>
      </c>
      <c r="E86" s="132">
        <f t="shared" si="17"/>
        <v>0.95339707317073175</v>
      </c>
      <c r="F86" s="139">
        <f>$O$121-P86*($O$121-$O$76)</f>
        <v>0.92316292682926837</v>
      </c>
      <c r="G86" s="149"/>
      <c r="H86" s="82" t="str">
        <f t="shared" si="13"/>
        <v>82.5 percent up in Calabrian international stage</v>
      </c>
      <c r="I86" s="142" t="str">
        <f t="shared" si="14"/>
        <v>85.5 percent up in Calabrian international stage</v>
      </c>
      <c r="J86" s="7">
        <v>0.82536585365853665</v>
      </c>
      <c r="K86" s="129">
        <f t="shared" si="15"/>
        <v>82.5</v>
      </c>
      <c r="L86" s="8" t="s">
        <v>21</v>
      </c>
      <c r="M86" s="5" t="s">
        <v>82</v>
      </c>
      <c r="N86" s="5" t="s">
        <v>82</v>
      </c>
      <c r="O86" s="83"/>
      <c r="P86" s="20">
        <v>0.85463414634146351</v>
      </c>
      <c r="Q86" s="143">
        <f t="shared" si="16"/>
        <v>85.5</v>
      </c>
      <c r="R86" s="21" t="s">
        <v>21</v>
      </c>
      <c r="S86" s="8" t="s">
        <v>259</v>
      </c>
      <c r="T86" s="7">
        <v>2.9268292682926723E-2</v>
      </c>
    </row>
    <row r="87" spans="1:20" ht="28">
      <c r="A87" s="67" t="s">
        <v>221</v>
      </c>
      <c r="B87" s="63" t="s">
        <v>333</v>
      </c>
      <c r="C87" s="5"/>
      <c r="D87" s="5" t="s">
        <v>283</v>
      </c>
      <c r="E87" s="132">
        <f t="shared" si="17"/>
        <v>1.0239434146341464</v>
      </c>
      <c r="F87" s="139">
        <f>$O$121-P87*($O$121-$O$76)</f>
        <v>0.95339707317073163</v>
      </c>
      <c r="G87" s="149"/>
      <c r="H87" s="82" t="str">
        <f t="shared" si="13"/>
        <v>75.7 percent up in Calabrian international stage</v>
      </c>
      <c r="I87" s="142" t="str">
        <f t="shared" si="14"/>
        <v>82.5 percent up in Calabrian international stage</v>
      </c>
      <c r="J87" s="7">
        <v>0.75707317073170732</v>
      </c>
      <c r="K87" s="129">
        <f t="shared" si="15"/>
        <v>75.7</v>
      </c>
      <c r="L87" s="8" t="s">
        <v>21</v>
      </c>
      <c r="M87" s="5" t="s">
        <v>82</v>
      </c>
      <c r="N87" s="5" t="s">
        <v>82</v>
      </c>
      <c r="O87" s="83"/>
      <c r="P87" s="20">
        <v>0.82536585365853676</v>
      </c>
      <c r="Q87" s="143">
        <f t="shared" si="16"/>
        <v>82.5</v>
      </c>
      <c r="R87" s="21" t="s">
        <v>21</v>
      </c>
      <c r="S87" s="8" t="s">
        <v>259</v>
      </c>
      <c r="T87" s="7">
        <v>6.8292682926829246E-2</v>
      </c>
    </row>
    <row r="88" spans="1:20" ht="28">
      <c r="A88" s="67" t="s">
        <v>221</v>
      </c>
      <c r="B88" s="63" t="s">
        <v>334</v>
      </c>
      <c r="C88" s="5"/>
      <c r="D88" s="5" t="s">
        <v>283</v>
      </c>
      <c r="E88" s="132">
        <f t="shared" si="17"/>
        <v>1.0239434146341464</v>
      </c>
      <c r="F88" s="139">
        <f>$O$121-P88*($O$121-$O$76)</f>
        <v>0.84253853658536582</v>
      </c>
      <c r="G88" s="149"/>
      <c r="H88" s="82" t="str">
        <f t="shared" si="13"/>
        <v>75.7 percent up in Calabrian international stage</v>
      </c>
      <c r="I88" s="142" t="str">
        <f t="shared" si="14"/>
        <v>93.3 percent up in Calabrian international stage</v>
      </c>
      <c r="J88" s="7">
        <v>0.75707317073170732</v>
      </c>
      <c r="K88" s="129">
        <f t="shared" si="15"/>
        <v>75.7</v>
      </c>
      <c r="L88" s="8" t="s">
        <v>21</v>
      </c>
      <c r="M88" s="5" t="s">
        <v>82</v>
      </c>
      <c r="N88" s="5" t="s">
        <v>82</v>
      </c>
      <c r="O88" s="83"/>
      <c r="P88" s="20">
        <v>0.93268292682926845</v>
      </c>
      <c r="Q88" s="143">
        <f t="shared" si="16"/>
        <v>93.3</v>
      </c>
      <c r="R88" s="21" t="s">
        <v>21</v>
      </c>
      <c r="S88" s="8" t="s">
        <v>259</v>
      </c>
      <c r="T88" s="7">
        <v>0.17560975609756088</v>
      </c>
    </row>
    <row r="89" spans="1:20" ht="28">
      <c r="A89" s="67" t="s">
        <v>221</v>
      </c>
      <c r="B89" s="63" t="s">
        <v>335</v>
      </c>
      <c r="C89" s="5"/>
      <c r="D89" s="5" t="s">
        <v>270</v>
      </c>
      <c r="E89" s="132">
        <f t="shared" si="17"/>
        <v>1.044099512195122</v>
      </c>
      <c r="F89" s="139">
        <f>$O$121-P89*($O$121-$O$76)</f>
        <v>0.95339707317073163</v>
      </c>
      <c r="G89" s="149"/>
      <c r="H89" s="82" t="str">
        <f t="shared" si="13"/>
        <v>73.8 percent up in Calabrian international stage</v>
      </c>
      <c r="I89" s="142" t="str">
        <f t="shared" si="14"/>
        <v>82.5 percent up in Calabrian international stage</v>
      </c>
      <c r="J89" s="7">
        <v>0.73756097560975609</v>
      </c>
      <c r="K89" s="129">
        <f t="shared" si="15"/>
        <v>73.8</v>
      </c>
      <c r="L89" s="8" t="s">
        <v>21</v>
      </c>
      <c r="M89" s="5" t="s">
        <v>82</v>
      </c>
      <c r="N89" s="5" t="s">
        <v>82</v>
      </c>
      <c r="O89" s="83"/>
      <c r="P89" s="20">
        <v>0.82536585365853676</v>
      </c>
      <c r="Q89" s="143">
        <f t="shared" si="16"/>
        <v>82.5</v>
      </c>
      <c r="R89" s="21" t="s">
        <v>21</v>
      </c>
      <c r="S89" s="8" t="s">
        <v>259</v>
      </c>
      <c r="T89" s="7">
        <v>8.7804878048780607E-2</v>
      </c>
    </row>
    <row r="90" spans="1:20" ht="28">
      <c r="A90" s="67" t="s">
        <v>221</v>
      </c>
      <c r="B90" s="63" t="s">
        <v>336</v>
      </c>
      <c r="C90" s="5"/>
      <c r="D90" s="5" t="s">
        <v>292</v>
      </c>
      <c r="E90" s="132">
        <f t="shared" si="17"/>
        <v>1.0825694400000003</v>
      </c>
      <c r="F90" s="139">
        <f>$O$76-P90*($O$76-$O$26)</f>
        <v>0.72220594503816815</v>
      </c>
      <c r="G90" s="149"/>
      <c r="H90" s="82" t="str">
        <f t="shared" si="13"/>
        <v>70 percent up in Calabrian international stage</v>
      </c>
      <c r="I90" s="142" t="str">
        <f t="shared" si="14"/>
        <v>7.9 percent up in Chibanian international stage</v>
      </c>
      <c r="J90" s="7">
        <v>0.70031999999999983</v>
      </c>
      <c r="K90" s="129">
        <f t="shared" si="15"/>
        <v>70</v>
      </c>
      <c r="L90" s="8" t="s">
        <v>21</v>
      </c>
      <c r="M90" s="5" t="s">
        <v>82</v>
      </c>
      <c r="N90" s="5" t="s">
        <v>82</v>
      </c>
      <c r="O90" s="83"/>
      <c r="P90" s="20">
        <v>7.8995419847327997E-2</v>
      </c>
      <c r="Q90" s="143">
        <f t="shared" si="16"/>
        <v>7.9</v>
      </c>
      <c r="R90" s="21" t="s">
        <v>20</v>
      </c>
      <c r="S90" s="8" t="s">
        <v>246</v>
      </c>
      <c r="T90" s="7" t="s">
        <v>226</v>
      </c>
    </row>
    <row r="91" spans="1:20" ht="28">
      <c r="A91" s="67" t="s">
        <v>221</v>
      </c>
      <c r="B91" s="63" t="s">
        <v>337</v>
      </c>
      <c r="C91" s="5"/>
      <c r="D91" s="5" t="s">
        <v>292</v>
      </c>
      <c r="E91" s="132">
        <f t="shared" si="17"/>
        <v>1.0825694400000003</v>
      </c>
      <c r="F91" s="139">
        <f>$O$76-P91*($O$76-$O$26)</f>
        <v>0.72220594503816815</v>
      </c>
      <c r="G91" s="149"/>
      <c r="H91" s="82" t="str">
        <f t="shared" si="13"/>
        <v>70 percent up in Calabrian international stage</v>
      </c>
      <c r="I91" s="142" t="str">
        <f t="shared" si="14"/>
        <v>7.9 percent up in Chibanian international stage</v>
      </c>
      <c r="J91" s="7">
        <v>0.70031999999999983</v>
      </c>
      <c r="K91" s="129">
        <f t="shared" si="15"/>
        <v>70</v>
      </c>
      <c r="L91" s="8" t="s">
        <v>21</v>
      </c>
      <c r="M91" s="5" t="s">
        <v>82</v>
      </c>
      <c r="N91" s="5" t="s">
        <v>82</v>
      </c>
      <c r="O91" s="83"/>
      <c r="P91" s="20">
        <v>7.8995419847327997E-2</v>
      </c>
      <c r="Q91" s="143">
        <f t="shared" si="16"/>
        <v>7.9</v>
      </c>
      <c r="R91" s="21" t="s">
        <v>20</v>
      </c>
      <c r="S91" s="8" t="s">
        <v>246</v>
      </c>
      <c r="T91" s="7" t="s">
        <v>226</v>
      </c>
    </row>
    <row r="92" spans="1:20" ht="28">
      <c r="A92" s="67" t="s">
        <v>221</v>
      </c>
      <c r="B92" s="63" t="s">
        <v>338</v>
      </c>
      <c r="C92" s="5"/>
      <c r="D92" s="5" t="s">
        <v>250</v>
      </c>
      <c r="E92" s="132">
        <f t="shared" si="17"/>
        <v>1.0944897560975613</v>
      </c>
      <c r="F92" s="139">
        <f>$O$121-P92*($O$121-$O$76)</f>
        <v>0.79214829268292686</v>
      </c>
      <c r="G92" s="149"/>
      <c r="H92" s="82" t="str">
        <f t="shared" si="13"/>
        <v>68.9 percent up in Calabrian international stage</v>
      </c>
      <c r="I92" s="142" t="str">
        <f t="shared" si="14"/>
        <v>98.1 percent up in Calabrian international stage</v>
      </c>
      <c r="J92" s="7">
        <v>0.68878048780487799</v>
      </c>
      <c r="K92" s="129">
        <f t="shared" si="15"/>
        <v>68.900000000000006</v>
      </c>
      <c r="L92" s="8" t="s">
        <v>21</v>
      </c>
      <c r="M92" s="5" t="s">
        <v>82</v>
      </c>
      <c r="N92" s="5" t="s">
        <v>82</v>
      </c>
      <c r="O92" s="83"/>
      <c r="P92" s="20">
        <v>0.98146341463414644</v>
      </c>
      <c r="Q92" s="143">
        <f t="shared" si="16"/>
        <v>98.1</v>
      </c>
      <c r="R92" s="21" t="s">
        <v>21</v>
      </c>
      <c r="S92" s="8" t="s">
        <v>259</v>
      </c>
      <c r="T92" s="7">
        <v>0.29268292682926833</v>
      </c>
    </row>
    <row r="93" spans="1:20" ht="28">
      <c r="A93" s="67" t="s">
        <v>221</v>
      </c>
      <c r="B93" s="65" t="s">
        <v>339</v>
      </c>
      <c r="C93" s="5"/>
      <c r="D93" s="5" t="s">
        <v>82</v>
      </c>
      <c r="E93" s="132">
        <f t="shared" si="17"/>
        <v>1.0944897560975613</v>
      </c>
      <c r="F93" s="139">
        <v>1.2E-2</v>
      </c>
      <c r="G93" s="149"/>
      <c r="H93" s="82" t="str">
        <f t="shared" si="13"/>
        <v>68.9 percent up in Calabrian international stage</v>
      </c>
      <c r="I93" s="142" t="str">
        <f t="shared" si="14"/>
        <v>100 percent up in Pleistocene Upper international stage</v>
      </c>
      <c r="J93" s="7">
        <v>0.68878048780487799</v>
      </c>
      <c r="K93" s="129">
        <f t="shared" si="15"/>
        <v>68.900000000000006</v>
      </c>
      <c r="L93" s="8" t="s">
        <v>21</v>
      </c>
      <c r="M93" s="5" t="s">
        <v>82</v>
      </c>
      <c r="N93" s="5" t="s">
        <v>82</v>
      </c>
      <c r="O93" s="83"/>
      <c r="P93" s="20">
        <v>1</v>
      </c>
      <c r="Q93" s="143">
        <f t="shared" si="16"/>
        <v>100</v>
      </c>
      <c r="R93" s="21" t="s">
        <v>245</v>
      </c>
      <c r="S93" s="8" t="s">
        <v>246</v>
      </c>
      <c r="T93" s="7" t="s">
        <v>226</v>
      </c>
    </row>
    <row r="94" spans="1:20" ht="28">
      <c r="A94" s="67" t="s">
        <v>221</v>
      </c>
      <c r="B94" s="65" t="s">
        <v>340</v>
      </c>
      <c r="C94" s="5"/>
      <c r="D94" s="5" t="s">
        <v>236</v>
      </c>
      <c r="E94" s="132">
        <f t="shared" si="17"/>
        <v>1.0944897560975613</v>
      </c>
      <c r="F94" s="139">
        <f>$O$76-P94*($O$76-$O$26)</f>
        <v>0.47751450381679389</v>
      </c>
      <c r="G94" s="149"/>
      <c r="H94" s="82" t="str">
        <f t="shared" si="13"/>
        <v>68.9 percent up in Calabrian international stage</v>
      </c>
      <c r="I94" s="142" t="str">
        <f t="shared" si="14"/>
        <v>46 percent up in Chibanian international stage</v>
      </c>
      <c r="J94" s="7">
        <v>0.68878048780487799</v>
      </c>
      <c r="K94" s="129">
        <f t="shared" si="15"/>
        <v>68.900000000000006</v>
      </c>
      <c r="L94" s="8" t="s">
        <v>21</v>
      </c>
      <c r="M94" s="5" t="s">
        <v>82</v>
      </c>
      <c r="N94" s="5" t="s">
        <v>82</v>
      </c>
      <c r="O94" s="83"/>
      <c r="P94" s="20">
        <v>0.45954198473282448</v>
      </c>
      <c r="Q94" s="143">
        <f t="shared" si="16"/>
        <v>46</v>
      </c>
      <c r="R94" s="21" t="s">
        <v>20</v>
      </c>
      <c r="S94" s="8" t="s">
        <v>246</v>
      </c>
      <c r="T94" s="7" t="s">
        <v>226</v>
      </c>
    </row>
    <row r="95" spans="1:20" ht="28">
      <c r="A95" s="67" t="s">
        <v>221</v>
      </c>
      <c r="B95" s="63" t="s">
        <v>341</v>
      </c>
      <c r="C95" s="5"/>
      <c r="D95" s="5" t="s">
        <v>270</v>
      </c>
      <c r="E95" s="132">
        <f t="shared" si="17"/>
        <v>1.1146458536585366</v>
      </c>
      <c r="F95" s="139">
        <f>$O$121-P95*($O$121-$O$76)</f>
        <v>1.044099512195122</v>
      </c>
      <c r="G95" s="149"/>
      <c r="H95" s="82" t="str">
        <f t="shared" si="13"/>
        <v>66.9 percent up in Calabrian international stage</v>
      </c>
      <c r="I95" s="142" t="str">
        <f t="shared" si="14"/>
        <v>73.8 percent up in Calabrian international stage</v>
      </c>
      <c r="J95" s="7">
        <v>0.66926829268292676</v>
      </c>
      <c r="K95" s="129">
        <f t="shared" si="15"/>
        <v>66.900000000000006</v>
      </c>
      <c r="L95" s="8" t="s">
        <v>21</v>
      </c>
      <c r="M95" s="5" t="s">
        <v>82</v>
      </c>
      <c r="N95" s="5" t="s">
        <v>82</v>
      </c>
      <c r="O95" s="83"/>
      <c r="P95" s="20">
        <v>0.7375609756097562</v>
      </c>
      <c r="Q95" s="143">
        <f t="shared" si="16"/>
        <v>73.8</v>
      </c>
      <c r="R95" s="21" t="s">
        <v>21</v>
      </c>
      <c r="S95" s="8" t="s">
        <v>259</v>
      </c>
      <c r="T95" s="7">
        <v>6.8292682926829454E-2</v>
      </c>
    </row>
    <row r="96" spans="1:20" ht="28">
      <c r="A96" s="67" t="s">
        <v>221</v>
      </c>
      <c r="B96" s="63" t="s">
        <v>342</v>
      </c>
      <c r="C96" s="5"/>
      <c r="D96" s="5" t="s">
        <v>270</v>
      </c>
      <c r="E96" s="132">
        <f t="shared" si="17"/>
        <v>1.1146458536585366</v>
      </c>
      <c r="F96" s="139">
        <f>$O$121-P96*($O$121-$O$76)</f>
        <v>0.84253853658536582</v>
      </c>
      <c r="G96" s="149"/>
      <c r="H96" s="82" t="str">
        <f t="shared" si="13"/>
        <v>66.9 percent up in Calabrian international stage</v>
      </c>
      <c r="I96" s="142" t="str">
        <f t="shared" si="14"/>
        <v>93.3 percent up in Calabrian international stage</v>
      </c>
      <c r="J96" s="7">
        <v>0.66926829268292676</v>
      </c>
      <c r="K96" s="129">
        <f t="shared" si="15"/>
        <v>66.900000000000006</v>
      </c>
      <c r="L96" s="8" t="s">
        <v>21</v>
      </c>
      <c r="M96" s="5" t="s">
        <v>82</v>
      </c>
      <c r="N96" s="5" t="s">
        <v>82</v>
      </c>
      <c r="O96" s="83"/>
      <c r="P96" s="20">
        <v>0.93268292682926845</v>
      </c>
      <c r="Q96" s="143">
        <f t="shared" si="16"/>
        <v>93.3</v>
      </c>
      <c r="R96" s="21" t="s">
        <v>21</v>
      </c>
      <c r="S96" s="8" t="s">
        <v>259</v>
      </c>
      <c r="T96" s="7">
        <v>0.2634146341463417</v>
      </c>
    </row>
    <row r="97" spans="1:20" ht="28">
      <c r="A97" s="67" t="s">
        <v>221</v>
      </c>
      <c r="B97" s="65" t="s">
        <v>343</v>
      </c>
      <c r="C97" s="5"/>
      <c r="D97" s="5" t="s">
        <v>264</v>
      </c>
      <c r="E97" s="132">
        <f t="shared" si="17"/>
        <v>1.117669268292683</v>
      </c>
      <c r="F97" s="139">
        <f>$O$121-P97*($O$121-$O$76)</f>
        <v>0.77300000000000013</v>
      </c>
      <c r="G97" s="149"/>
      <c r="H97" s="82" t="str">
        <f t="shared" si="13"/>
        <v>66.6 percent up in Calabrian international stage</v>
      </c>
      <c r="I97" s="142" t="str">
        <f t="shared" si="14"/>
        <v>100 percent up in Calabrian international stage</v>
      </c>
      <c r="J97" s="7">
        <v>0.66634146341463407</v>
      </c>
      <c r="K97" s="129">
        <f t="shared" si="15"/>
        <v>66.599999999999994</v>
      </c>
      <c r="L97" s="8" t="s">
        <v>21</v>
      </c>
      <c r="M97" s="5" t="s">
        <v>82</v>
      </c>
      <c r="N97" s="5" t="s">
        <v>82</v>
      </c>
      <c r="O97" s="83"/>
      <c r="P97" s="20">
        <v>1</v>
      </c>
      <c r="Q97" s="143">
        <f t="shared" si="16"/>
        <v>100</v>
      </c>
      <c r="R97" s="21" t="s">
        <v>21</v>
      </c>
      <c r="S97" s="8" t="s">
        <v>272</v>
      </c>
      <c r="T97" s="7" t="s">
        <v>226</v>
      </c>
    </row>
    <row r="98" spans="1:20" ht="28">
      <c r="A98" s="67" t="s">
        <v>221</v>
      </c>
      <c r="B98" s="63" t="s">
        <v>344</v>
      </c>
      <c r="C98" s="5"/>
      <c r="D98" s="5" t="s">
        <v>322</v>
      </c>
      <c r="E98" s="132">
        <f t="shared" si="17"/>
        <v>1.195270243902439</v>
      </c>
      <c r="F98" s="139">
        <f>$O$121-P98*($O$121-$O$76)</f>
        <v>0.79214829268292686</v>
      </c>
      <c r="G98" s="149"/>
      <c r="H98" s="82" t="str">
        <f t="shared" si="13"/>
        <v>59.1 percent up in Calabrian international stage</v>
      </c>
      <c r="I98" s="142" t="str">
        <f t="shared" si="14"/>
        <v>98.1 percent up in Calabrian international stage</v>
      </c>
      <c r="J98" s="7">
        <v>0.59121951219512203</v>
      </c>
      <c r="K98" s="129">
        <f t="shared" si="15"/>
        <v>59.1</v>
      </c>
      <c r="L98" s="8" t="s">
        <v>21</v>
      </c>
      <c r="M98" s="5" t="s">
        <v>82</v>
      </c>
      <c r="N98" s="5" t="s">
        <v>82</v>
      </c>
      <c r="O98" s="83"/>
      <c r="P98" s="20">
        <v>0.98146341463414644</v>
      </c>
      <c r="Q98" s="143">
        <f t="shared" si="16"/>
        <v>98.1</v>
      </c>
      <c r="R98" s="21" t="s">
        <v>21</v>
      </c>
      <c r="S98" s="8" t="s">
        <v>259</v>
      </c>
      <c r="T98" s="7">
        <v>0.39024390243902429</v>
      </c>
    </row>
    <row r="99" spans="1:20" ht="28">
      <c r="A99" s="67" t="s">
        <v>221</v>
      </c>
      <c r="B99" s="63" t="s">
        <v>345</v>
      </c>
      <c r="C99" s="5"/>
      <c r="D99" s="5" t="s">
        <v>248</v>
      </c>
      <c r="E99" s="132">
        <f t="shared" si="17"/>
        <v>1.195270243902439</v>
      </c>
      <c r="F99" s="139">
        <v>1.2E-2</v>
      </c>
      <c r="G99" s="149"/>
      <c r="H99" s="82" t="str">
        <f t="shared" si="13"/>
        <v>59.1 percent up in Calabrian international stage</v>
      </c>
      <c r="I99" s="142" t="str">
        <f t="shared" si="14"/>
        <v>22.7 percent up in Pleistocene Upper international stage</v>
      </c>
      <c r="J99" s="7">
        <v>0.59121951219512203</v>
      </c>
      <c r="K99" s="129">
        <f t="shared" si="15"/>
        <v>59.1</v>
      </c>
      <c r="L99" s="8" t="s">
        <v>21</v>
      </c>
      <c r="M99" s="5" t="s">
        <v>82</v>
      </c>
      <c r="N99" s="5" t="s">
        <v>82</v>
      </c>
      <c r="O99" s="83"/>
      <c r="P99" s="20">
        <v>0.22735838327828808</v>
      </c>
      <c r="Q99" s="143">
        <f t="shared" si="16"/>
        <v>22.7</v>
      </c>
      <c r="R99" s="21" t="s">
        <v>245</v>
      </c>
      <c r="S99" s="8" t="s">
        <v>246</v>
      </c>
      <c r="T99" s="7" t="s">
        <v>226</v>
      </c>
    </row>
    <row r="100" spans="1:20" ht="28">
      <c r="A100" s="67" t="s">
        <v>221</v>
      </c>
      <c r="B100" s="63" t="s">
        <v>346</v>
      </c>
      <c r="C100" s="5"/>
      <c r="D100" s="5" t="s">
        <v>286</v>
      </c>
      <c r="E100" s="132">
        <f t="shared" si="17"/>
        <v>1.195270243902439</v>
      </c>
      <c r="F100" s="139">
        <f t="shared" ref="F100:F106" si="18">$O$121-P100*($O$121-$O$76)</f>
        <v>0.79214829268292686</v>
      </c>
      <c r="G100" s="149"/>
      <c r="H100" s="82" t="str">
        <f t="shared" si="13"/>
        <v>59.1 percent up in Calabrian international stage</v>
      </c>
      <c r="I100" s="142" t="str">
        <f t="shared" si="14"/>
        <v>98.1 percent up in Calabrian international stage</v>
      </c>
      <c r="J100" s="7">
        <v>0.59121951219512203</v>
      </c>
      <c r="K100" s="129">
        <f t="shared" si="15"/>
        <v>59.1</v>
      </c>
      <c r="L100" s="8" t="s">
        <v>21</v>
      </c>
      <c r="M100" s="5" t="s">
        <v>82</v>
      </c>
      <c r="N100" s="5" t="s">
        <v>82</v>
      </c>
      <c r="O100" s="83"/>
      <c r="P100" s="20">
        <v>0.98146341463414644</v>
      </c>
      <c r="Q100" s="143">
        <f t="shared" si="16"/>
        <v>98.1</v>
      </c>
      <c r="R100" s="21" t="s">
        <v>21</v>
      </c>
      <c r="S100" s="8" t="s">
        <v>259</v>
      </c>
      <c r="T100" s="7">
        <v>0.39024390243902429</v>
      </c>
    </row>
    <row r="101" spans="1:20" ht="28">
      <c r="A101" s="67" t="s">
        <v>221</v>
      </c>
      <c r="B101" s="65" t="s">
        <v>347</v>
      </c>
      <c r="C101" s="5"/>
      <c r="D101" s="5" t="s">
        <v>82</v>
      </c>
      <c r="E101" s="132">
        <f t="shared" si="17"/>
        <v>1.2900039024390244</v>
      </c>
      <c r="F101" s="139">
        <f t="shared" si="18"/>
        <v>0.77300000000000013</v>
      </c>
      <c r="G101" s="149"/>
      <c r="H101" s="82" t="str">
        <f t="shared" si="13"/>
        <v>50 percent up in Calabrian international stage</v>
      </c>
      <c r="I101" s="142" t="str">
        <f t="shared" si="14"/>
        <v>100 percent up in Calabrian international stage</v>
      </c>
      <c r="J101" s="7">
        <v>0.49951219512195122</v>
      </c>
      <c r="K101" s="129">
        <f t="shared" si="15"/>
        <v>50</v>
      </c>
      <c r="L101" s="8" t="s">
        <v>21</v>
      </c>
      <c r="M101" s="5" t="s">
        <v>82</v>
      </c>
      <c r="N101" s="5" t="s">
        <v>82</v>
      </c>
      <c r="O101" s="83"/>
      <c r="P101" s="20">
        <v>1</v>
      </c>
      <c r="Q101" s="143">
        <f t="shared" si="16"/>
        <v>100</v>
      </c>
      <c r="R101" s="21" t="s">
        <v>21</v>
      </c>
      <c r="S101" s="8" t="s">
        <v>272</v>
      </c>
      <c r="T101" s="7" t="s">
        <v>226</v>
      </c>
    </row>
    <row r="102" spans="1:20" ht="28">
      <c r="A102" s="67" t="s">
        <v>221</v>
      </c>
      <c r="B102" s="63" t="s">
        <v>348</v>
      </c>
      <c r="C102" s="5"/>
      <c r="D102" s="5" t="s">
        <v>270</v>
      </c>
      <c r="E102" s="132">
        <f t="shared" si="17"/>
        <v>1.3766751219512194</v>
      </c>
      <c r="F102" s="139">
        <f t="shared" si="18"/>
        <v>1.1146458536585366</v>
      </c>
      <c r="G102" s="149"/>
      <c r="H102" s="82" t="str">
        <f t="shared" si="13"/>
        <v>41.6 percent up in Calabrian international stage</v>
      </c>
      <c r="I102" s="142" t="str">
        <f t="shared" si="14"/>
        <v>66.9 percent up in Calabrian international stage</v>
      </c>
      <c r="J102" s="7">
        <v>0.41560975609756101</v>
      </c>
      <c r="K102" s="129">
        <f t="shared" si="15"/>
        <v>41.6</v>
      </c>
      <c r="L102" s="8" t="s">
        <v>21</v>
      </c>
      <c r="M102" s="5" t="s">
        <v>82</v>
      </c>
      <c r="N102" s="5" t="s">
        <v>82</v>
      </c>
      <c r="O102" s="83"/>
      <c r="P102" s="20">
        <v>0.66926829268292687</v>
      </c>
      <c r="Q102" s="143">
        <f t="shared" si="16"/>
        <v>66.900000000000006</v>
      </c>
      <c r="R102" s="21" t="s">
        <v>21</v>
      </c>
      <c r="S102" s="8" t="s">
        <v>259</v>
      </c>
      <c r="T102" s="7">
        <v>0.25365853658536558</v>
      </c>
    </row>
    <row r="103" spans="1:20" ht="28">
      <c r="A103" s="67" t="s">
        <v>221</v>
      </c>
      <c r="B103" s="63" t="s">
        <v>349</v>
      </c>
      <c r="C103" s="5"/>
      <c r="D103" s="5" t="s">
        <v>292</v>
      </c>
      <c r="E103" s="132">
        <f t="shared" si="17"/>
        <v>1.4442847200000002</v>
      </c>
      <c r="F103" s="139">
        <f t="shared" si="18"/>
        <v>1.0825694400000003</v>
      </c>
      <c r="G103" s="149"/>
      <c r="H103" s="82" t="str">
        <f t="shared" si="13"/>
        <v>35 percent up in Calabrian international stage</v>
      </c>
      <c r="I103" s="142" t="str">
        <f t="shared" si="14"/>
        <v>70 percent up in Calabrian international stage</v>
      </c>
      <c r="J103" s="7">
        <v>0.35015999999999992</v>
      </c>
      <c r="K103" s="129">
        <f t="shared" si="15"/>
        <v>35</v>
      </c>
      <c r="L103" s="8" t="s">
        <v>21</v>
      </c>
      <c r="M103" s="5" t="s">
        <v>82</v>
      </c>
      <c r="N103" s="5" t="s">
        <v>82</v>
      </c>
      <c r="O103" s="83"/>
      <c r="P103" s="20">
        <v>0.70031999999999994</v>
      </c>
      <c r="Q103" s="143">
        <f t="shared" si="16"/>
        <v>70</v>
      </c>
      <c r="R103" s="21" t="s">
        <v>21</v>
      </c>
      <c r="S103" s="8" t="s">
        <v>259</v>
      </c>
      <c r="T103" s="7">
        <v>0.35015999999999992</v>
      </c>
    </row>
    <row r="104" spans="1:20" ht="28">
      <c r="A104" s="67" t="s">
        <v>221</v>
      </c>
      <c r="B104" s="63" t="s">
        <v>350</v>
      </c>
      <c r="C104" s="5"/>
      <c r="D104" s="5" t="s">
        <v>292</v>
      </c>
      <c r="E104" s="132">
        <f t="shared" si="17"/>
        <v>1.4442847200000002</v>
      </c>
      <c r="F104" s="139">
        <f t="shared" si="18"/>
        <v>1.0825694400000003</v>
      </c>
      <c r="G104" s="149"/>
      <c r="H104" s="82" t="str">
        <f t="shared" si="13"/>
        <v>35 percent up in Calabrian international stage</v>
      </c>
      <c r="I104" s="142" t="str">
        <f t="shared" si="14"/>
        <v>70 percent up in Calabrian international stage</v>
      </c>
      <c r="J104" s="7">
        <v>0.35015999999999992</v>
      </c>
      <c r="K104" s="129">
        <f t="shared" si="15"/>
        <v>35</v>
      </c>
      <c r="L104" s="8" t="s">
        <v>21</v>
      </c>
      <c r="M104" s="5" t="s">
        <v>82</v>
      </c>
      <c r="N104" s="5" t="s">
        <v>82</v>
      </c>
      <c r="O104" s="83"/>
      <c r="P104" s="20">
        <v>0.70031999999999994</v>
      </c>
      <c r="Q104" s="143">
        <f t="shared" si="16"/>
        <v>70</v>
      </c>
      <c r="R104" s="21" t="s">
        <v>21</v>
      </c>
      <c r="S104" s="8" t="s">
        <v>259</v>
      </c>
      <c r="T104" s="7">
        <v>0.35015999999999992</v>
      </c>
    </row>
    <row r="105" spans="1:20" ht="28">
      <c r="A105" s="67" t="s">
        <v>221</v>
      </c>
      <c r="B105" s="63" t="s">
        <v>351</v>
      </c>
      <c r="C105" s="5"/>
      <c r="D105" s="5" t="s">
        <v>283</v>
      </c>
      <c r="E105" s="132">
        <f t="shared" si="17"/>
        <v>1.4472214634146343</v>
      </c>
      <c r="F105" s="139">
        <f t="shared" si="18"/>
        <v>1.195270243902439</v>
      </c>
      <c r="G105" s="149"/>
      <c r="H105" s="82" t="str">
        <f t="shared" si="13"/>
        <v>34.7 percent up in Calabrian international stage</v>
      </c>
      <c r="I105" s="142" t="str">
        <f t="shared" si="14"/>
        <v>59.1 percent up in Calabrian international stage</v>
      </c>
      <c r="J105" s="7">
        <v>0.34731707317073168</v>
      </c>
      <c r="K105" s="129">
        <f t="shared" si="15"/>
        <v>34.700000000000003</v>
      </c>
      <c r="L105" s="8" t="s">
        <v>21</v>
      </c>
      <c r="M105" s="5" t="s">
        <v>82</v>
      </c>
      <c r="N105" s="5" t="s">
        <v>82</v>
      </c>
      <c r="O105" s="83"/>
      <c r="P105" s="20">
        <v>0.59121951219512214</v>
      </c>
      <c r="Q105" s="143">
        <f t="shared" si="16"/>
        <v>59.1</v>
      </c>
      <c r="R105" s="21" t="s">
        <v>21</v>
      </c>
      <c r="S105" s="8" t="s">
        <v>259</v>
      </c>
      <c r="T105" s="7">
        <v>0.24390243902439024</v>
      </c>
    </row>
    <row r="106" spans="1:20" ht="28">
      <c r="A106" s="67" t="s">
        <v>221</v>
      </c>
      <c r="B106" s="64" t="s">
        <v>352</v>
      </c>
      <c r="C106" s="5"/>
      <c r="D106" s="5" t="s">
        <v>250</v>
      </c>
      <c r="E106" s="132">
        <f t="shared" si="17"/>
        <v>1.4623385365853661</v>
      </c>
      <c r="F106" s="139">
        <f t="shared" si="18"/>
        <v>1.117669268292683</v>
      </c>
      <c r="G106" s="149"/>
      <c r="H106" s="82" t="str">
        <f t="shared" si="13"/>
        <v>33.3 percent up in Calabrian international stage</v>
      </c>
      <c r="I106" s="142" t="str">
        <f t="shared" si="14"/>
        <v>66.6 percent up in Calabrian international stage</v>
      </c>
      <c r="J106" s="7">
        <v>0.33268292682926814</v>
      </c>
      <c r="K106" s="129">
        <f t="shared" si="15"/>
        <v>33.299999999999997</v>
      </c>
      <c r="L106" s="8" t="s">
        <v>21</v>
      </c>
      <c r="M106" s="5" t="s">
        <v>82</v>
      </c>
      <c r="N106" s="5" t="s">
        <v>82</v>
      </c>
      <c r="O106" s="83"/>
      <c r="P106" s="20">
        <v>0.66634146341463429</v>
      </c>
      <c r="Q106" s="143">
        <f t="shared" si="16"/>
        <v>66.599999999999994</v>
      </c>
      <c r="R106" s="21" t="s">
        <v>21</v>
      </c>
      <c r="S106" s="8" t="s">
        <v>259</v>
      </c>
      <c r="T106" s="7">
        <v>0.33365853658536598</v>
      </c>
    </row>
    <row r="107" spans="1:20" ht="28">
      <c r="A107" s="67" t="s">
        <v>221</v>
      </c>
      <c r="B107" s="65" t="s">
        <v>353</v>
      </c>
      <c r="C107" s="5"/>
      <c r="D107" s="5" t="s">
        <v>354</v>
      </c>
      <c r="E107" s="132">
        <f t="shared" si="17"/>
        <v>1.4976117073170734</v>
      </c>
      <c r="F107" s="139">
        <f>$O$76-P107*($O$76-$O$26)</f>
        <v>0.74256793893129769</v>
      </c>
      <c r="G107" s="149"/>
      <c r="H107" s="82" t="str">
        <f t="shared" si="13"/>
        <v>29.9 percent up in Calabrian international stage</v>
      </c>
      <c r="I107" s="142" t="str">
        <f t="shared" si="14"/>
        <v>4.7 percent up in Chibanian international stage</v>
      </c>
      <c r="J107" s="7">
        <v>0.29853658536585359</v>
      </c>
      <c r="K107" s="129">
        <f t="shared" si="15"/>
        <v>29.9</v>
      </c>
      <c r="L107" s="8" t="s">
        <v>21</v>
      </c>
      <c r="M107" s="5" t="s">
        <v>82</v>
      </c>
      <c r="N107" s="5" t="s">
        <v>82</v>
      </c>
      <c r="O107" s="83"/>
      <c r="P107" s="20">
        <v>4.7328244274809202E-2</v>
      </c>
      <c r="Q107" s="143">
        <f t="shared" si="16"/>
        <v>4.7</v>
      </c>
      <c r="R107" s="21" t="s">
        <v>20</v>
      </c>
      <c r="S107" s="8" t="s">
        <v>246</v>
      </c>
      <c r="T107" s="7" t="s">
        <v>226</v>
      </c>
    </row>
    <row r="108" spans="1:20" ht="28">
      <c r="A108" s="67" t="s">
        <v>221</v>
      </c>
      <c r="B108" s="63" t="s">
        <v>355</v>
      </c>
      <c r="C108" s="5"/>
      <c r="D108" s="5" t="s">
        <v>258</v>
      </c>
      <c r="E108" s="132">
        <f t="shared" si="17"/>
        <v>1.5883141463414636</v>
      </c>
      <c r="F108" s="139">
        <f t="shared" ref="F108:F124" si="19">$O$121-P108*($O$121-$O$76)</f>
        <v>0.84253853658536582</v>
      </c>
      <c r="G108" s="149"/>
      <c r="H108" s="82" t="str">
        <f t="shared" si="13"/>
        <v>21.1 percent up in Calabrian international stage</v>
      </c>
      <c r="I108" s="142" t="str">
        <f t="shared" si="14"/>
        <v>93.3 percent up in Calabrian international stage</v>
      </c>
      <c r="J108" s="7">
        <v>0.21073170731707302</v>
      </c>
      <c r="K108" s="129">
        <f t="shared" si="15"/>
        <v>21.1</v>
      </c>
      <c r="L108" s="8" t="s">
        <v>21</v>
      </c>
      <c r="M108" s="5" t="s">
        <v>82</v>
      </c>
      <c r="N108" s="5" t="s">
        <v>82</v>
      </c>
      <c r="O108" s="83"/>
      <c r="P108" s="20">
        <v>0.93268292682926845</v>
      </c>
      <c r="Q108" s="143">
        <f t="shared" si="16"/>
        <v>93.3</v>
      </c>
      <c r="R108" s="21" t="s">
        <v>21</v>
      </c>
      <c r="S108" s="8" t="s">
        <v>259</v>
      </c>
      <c r="T108" s="7">
        <v>0.72195121951219521</v>
      </c>
    </row>
    <row r="109" spans="1:20" ht="28">
      <c r="A109" s="67" t="s">
        <v>221</v>
      </c>
      <c r="B109" s="63" t="s">
        <v>356</v>
      </c>
      <c r="C109" s="5"/>
      <c r="D109" s="5" t="s">
        <v>256</v>
      </c>
      <c r="E109" s="132">
        <f t="shared" si="17"/>
        <v>1.6991726829268294</v>
      </c>
      <c r="F109" s="139">
        <f t="shared" si="19"/>
        <v>1.3464409756097562</v>
      </c>
      <c r="G109" s="149"/>
      <c r="H109" s="82" t="str">
        <f t="shared" si="13"/>
        <v>10.3 percent up in Calabrian international stage</v>
      </c>
      <c r="I109" s="142" t="str">
        <f t="shared" si="14"/>
        <v>44.5 percent up in Calabrian international stage</v>
      </c>
      <c r="J109" s="7">
        <v>0.10341463414634144</v>
      </c>
      <c r="K109" s="129">
        <f t="shared" si="15"/>
        <v>10.3</v>
      </c>
      <c r="L109" s="8" t="s">
        <v>21</v>
      </c>
      <c r="M109" s="5" t="s">
        <v>82</v>
      </c>
      <c r="N109" s="5" t="s">
        <v>82</v>
      </c>
      <c r="O109" s="83"/>
      <c r="P109" s="20">
        <v>0.44487804878048781</v>
      </c>
      <c r="Q109" s="143">
        <f t="shared" si="16"/>
        <v>44.5</v>
      </c>
      <c r="R109" s="21" t="s">
        <v>21</v>
      </c>
      <c r="S109" s="8" t="s">
        <v>259</v>
      </c>
      <c r="T109" s="7">
        <v>0.3414634146341462</v>
      </c>
    </row>
    <row r="110" spans="1:20" ht="28">
      <c r="A110" s="67" t="s">
        <v>221</v>
      </c>
      <c r="B110" s="63" t="s">
        <v>357</v>
      </c>
      <c r="C110" s="5"/>
      <c r="D110" s="5" t="s">
        <v>258</v>
      </c>
      <c r="E110" s="132">
        <f t="shared" si="17"/>
        <v>1.7596409756097562</v>
      </c>
      <c r="F110" s="139">
        <f t="shared" si="19"/>
        <v>0.84253853658536582</v>
      </c>
      <c r="G110" s="149"/>
      <c r="H110" s="82" t="str">
        <f t="shared" si="13"/>
        <v>4.5 percent up in Calabrian international stage</v>
      </c>
      <c r="I110" s="142" t="str">
        <f t="shared" si="14"/>
        <v>93.3 percent up in Calabrian international stage</v>
      </c>
      <c r="J110" s="7">
        <v>4.4878048780487734E-2</v>
      </c>
      <c r="K110" s="129">
        <f t="shared" si="15"/>
        <v>4.5</v>
      </c>
      <c r="L110" s="8" t="s">
        <v>21</v>
      </c>
      <c r="M110" s="5" t="s">
        <v>82</v>
      </c>
      <c r="N110" s="5" t="s">
        <v>82</v>
      </c>
      <c r="O110" s="83"/>
      <c r="P110" s="20">
        <v>0.93268292682926845</v>
      </c>
      <c r="Q110" s="143">
        <f t="shared" si="16"/>
        <v>93.3</v>
      </c>
      <c r="R110" s="21" t="s">
        <v>21</v>
      </c>
      <c r="S110" s="8" t="s">
        <v>259</v>
      </c>
      <c r="T110" s="7">
        <v>0.8878048780487805</v>
      </c>
    </row>
    <row r="111" spans="1:20" ht="28">
      <c r="A111" s="67" t="s">
        <v>221</v>
      </c>
      <c r="B111" s="63" t="s">
        <v>358</v>
      </c>
      <c r="C111" s="5"/>
      <c r="D111" s="5" t="s">
        <v>258</v>
      </c>
      <c r="E111" s="132">
        <f t="shared" si="17"/>
        <v>1.7596409756097562</v>
      </c>
      <c r="F111" s="139">
        <f t="shared" si="19"/>
        <v>1.5883141463414634</v>
      </c>
      <c r="G111" s="149"/>
      <c r="H111" s="82" t="str">
        <f t="shared" si="13"/>
        <v>4.5 percent up in Calabrian international stage</v>
      </c>
      <c r="I111" s="142" t="str">
        <f t="shared" si="14"/>
        <v>21.1 percent up in Calabrian international stage</v>
      </c>
      <c r="J111" s="7">
        <v>4.4878048780487734E-2</v>
      </c>
      <c r="K111" s="129">
        <f t="shared" si="15"/>
        <v>4.5</v>
      </c>
      <c r="L111" s="8" t="s">
        <v>21</v>
      </c>
      <c r="M111" s="5" t="s">
        <v>82</v>
      </c>
      <c r="N111" s="5" t="s">
        <v>82</v>
      </c>
      <c r="O111" s="83"/>
      <c r="P111" s="20">
        <v>0.21073170731707316</v>
      </c>
      <c r="Q111" s="143">
        <f t="shared" si="16"/>
        <v>21.1</v>
      </c>
      <c r="R111" s="21" t="s">
        <v>21</v>
      </c>
      <c r="S111" s="8" t="s">
        <v>259</v>
      </c>
      <c r="T111" s="7">
        <v>0.16585365853658521</v>
      </c>
    </row>
    <row r="112" spans="1:20" ht="28">
      <c r="A112" s="67" t="s">
        <v>221</v>
      </c>
      <c r="B112" s="63" t="s">
        <v>359</v>
      </c>
      <c r="C112" s="5"/>
      <c r="D112" s="5" t="s">
        <v>229</v>
      </c>
      <c r="E112" s="132">
        <f t="shared" si="17"/>
        <v>1.7697190243902441</v>
      </c>
      <c r="F112" s="139">
        <f t="shared" si="19"/>
        <v>0.79214829268292686</v>
      </c>
      <c r="G112" s="149"/>
      <c r="H112" s="82" t="str">
        <f t="shared" si="13"/>
        <v>3.5 percent up in Calabrian international stage</v>
      </c>
      <c r="I112" s="142" t="str">
        <f t="shared" si="14"/>
        <v>98.1 percent up in Calabrian international stage</v>
      </c>
      <c r="J112" s="7">
        <v>3.5121951219512115E-2</v>
      </c>
      <c r="K112" s="129">
        <f t="shared" si="15"/>
        <v>3.5</v>
      </c>
      <c r="L112" s="8" t="s">
        <v>21</v>
      </c>
      <c r="M112" s="5" t="s">
        <v>82</v>
      </c>
      <c r="N112" s="5" t="s">
        <v>82</v>
      </c>
      <c r="O112" s="83"/>
      <c r="P112" s="20">
        <v>0.98146341463414644</v>
      </c>
      <c r="Q112" s="143">
        <f t="shared" si="16"/>
        <v>98.1</v>
      </c>
      <c r="R112" s="21" t="s">
        <v>21</v>
      </c>
      <c r="S112" s="8" t="s">
        <v>259</v>
      </c>
      <c r="T112" s="7">
        <v>0.94634146341463399</v>
      </c>
    </row>
    <row r="113" spans="1:20" ht="28">
      <c r="A113" s="67" t="s">
        <v>221</v>
      </c>
      <c r="B113" s="63" t="s">
        <v>360</v>
      </c>
      <c r="C113" s="5"/>
      <c r="D113" s="5" t="s">
        <v>283</v>
      </c>
      <c r="E113" s="132">
        <f t="shared" si="17"/>
        <v>1.7999531707317076</v>
      </c>
      <c r="F113" s="139">
        <f t="shared" si="19"/>
        <v>1.4472214634146341</v>
      </c>
      <c r="G113" s="149"/>
      <c r="H113" s="82" t="str">
        <f t="shared" si="13"/>
        <v>0.6 percent up in Calabrian international stage</v>
      </c>
      <c r="I113" s="142" t="str">
        <f t="shared" si="14"/>
        <v>34.7 percent up in Calabrian international stage</v>
      </c>
      <c r="J113" s="7">
        <v>5.853658536585149E-3</v>
      </c>
      <c r="K113" s="129">
        <f t="shared" si="15"/>
        <v>0.6</v>
      </c>
      <c r="L113" s="8" t="s">
        <v>21</v>
      </c>
      <c r="M113" s="5" t="s">
        <v>82</v>
      </c>
      <c r="N113" s="5" t="s">
        <v>82</v>
      </c>
      <c r="O113" s="83"/>
      <c r="P113" s="20">
        <v>0.34731707317073185</v>
      </c>
      <c r="Q113" s="143">
        <f t="shared" si="16"/>
        <v>34.700000000000003</v>
      </c>
      <c r="R113" s="21" t="s">
        <v>21</v>
      </c>
      <c r="S113" s="8" t="s">
        <v>259</v>
      </c>
      <c r="T113" s="7">
        <v>0.34146341463414642</v>
      </c>
    </row>
    <row r="114" spans="1:20" ht="28">
      <c r="A114" s="67" t="s">
        <v>221</v>
      </c>
      <c r="B114" s="63" t="s">
        <v>361</v>
      </c>
      <c r="C114" s="5"/>
      <c r="D114" s="5" t="s">
        <v>82</v>
      </c>
      <c r="E114" s="132">
        <f t="shared" si="17"/>
        <v>1.7999531707317076</v>
      </c>
      <c r="F114" s="139">
        <f t="shared" si="19"/>
        <v>1.2335129770992368</v>
      </c>
      <c r="G114" s="149"/>
      <c r="H114" s="82" t="str">
        <f t="shared" si="13"/>
        <v>0.6 percent up in Calabrian international stage</v>
      </c>
      <c r="I114" s="142" t="str">
        <f t="shared" si="14"/>
        <v>55.4 percent up in Chibanian international stage</v>
      </c>
      <c r="J114" s="7">
        <v>5.853658536585149E-3</v>
      </c>
      <c r="K114" s="129">
        <f t="shared" si="15"/>
        <v>0.6</v>
      </c>
      <c r="L114" s="8" t="s">
        <v>21</v>
      </c>
      <c r="M114" s="5" t="s">
        <v>82</v>
      </c>
      <c r="N114" s="5" t="s">
        <v>82</v>
      </c>
      <c r="O114" s="83"/>
      <c r="P114" s="20">
        <v>0.55419847328244276</v>
      </c>
      <c r="Q114" s="143">
        <f t="shared" si="16"/>
        <v>55.4</v>
      </c>
      <c r="R114" s="21" t="s">
        <v>20</v>
      </c>
      <c r="S114" s="8" t="s">
        <v>246</v>
      </c>
      <c r="T114" s="7" t="s">
        <v>226</v>
      </c>
    </row>
    <row r="115" spans="1:20" ht="28">
      <c r="A115" s="67" t="s">
        <v>221</v>
      </c>
      <c r="B115" s="63" t="s">
        <v>362</v>
      </c>
      <c r="C115" s="5"/>
      <c r="D115" s="5" t="s">
        <v>82</v>
      </c>
      <c r="E115" s="132">
        <f t="shared" si="17"/>
        <v>1.806</v>
      </c>
      <c r="F115" s="139">
        <f t="shared" si="19"/>
        <v>1.4442847200000002</v>
      </c>
      <c r="G115" s="149"/>
      <c r="H115" s="82" t="str">
        <f t="shared" si="13"/>
        <v>0 percent up in Calabrian international stage</v>
      </c>
      <c r="I115" s="142" t="str">
        <f t="shared" si="14"/>
        <v>35 percent up in Calabrian international stage</v>
      </c>
      <c r="J115" s="7">
        <v>0</v>
      </c>
      <c r="K115" s="129">
        <f t="shared" si="15"/>
        <v>0</v>
      </c>
      <c r="L115" s="8" t="s">
        <v>21</v>
      </c>
      <c r="M115" s="5" t="s">
        <v>82</v>
      </c>
      <c r="N115" s="5" t="s">
        <v>82</v>
      </c>
      <c r="O115" s="83"/>
      <c r="P115" s="20">
        <v>0.35015999999999997</v>
      </c>
      <c r="Q115" s="143">
        <f t="shared" si="16"/>
        <v>35</v>
      </c>
      <c r="R115" s="21" t="s">
        <v>21</v>
      </c>
      <c r="S115" s="8" t="s">
        <v>230</v>
      </c>
      <c r="T115" s="7" t="s">
        <v>226</v>
      </c>
    </row>
    <row r="116" spans="1:20" ht="28">
      <c r="A116" s="67" t="s">
        <v>221</v>
      </c>
      <c r="B116" s="63" t="s">
        <v>363</v>
      </c>
      <c r="C116" s="5"/>
      <c r="D116" s="5" t="s">
        <v>292</v>
      </c>
      <c r="E116" s="132">
        <f t="shared" si="17"/>
        <v>1.806</v>
      </c>
      <c r="F116" s="139">
        <f t="shared" si="19"/>
        <v>1.4442847200000002</v>
      </c>
      <c r="G116" s="149"/>
      <c r="H116" s="82" t="str">
        <f t="shared" si="13"/>
        <v>0 percent up in Calabrian international stage</v>
      </c>
      <c r="I116" s="142" t="str">
        <f t="shared" si="14"/>
        <v>35 percent up in Calabrian international stage</v>
      </c>
      <c r="J116" s="7">
        <v>0</v>
      </c>
      <c r="K116" s="129">
        <f t="shared" si="15"/>
        <v>0</v>
      </c>
      <c r="L116" s="8" t="s">
        <v>21</v>
      </c>
      <c r="M116" s="5" t="s">
        <v>82</v>
      </c>
      <c r="N116" s="5" t="s">
        <v>82</v>
      </c>
      <c r="O116" s="83"/>
      <c r="P116" s="20">
        <v>0.35015999999999997</v>
      </c>
      <c r="Q116" s="143">
        <f t="shared" si="16"/>
        <v>35</v>
      </c>
      <c r="R116" s="21" t="s">
        <v>21</v>
      </c>
      <c r="S116" s="8" t="s">
        <v>230</v>
      </c>
      <c r="T116" s="7" t="s">
        <v>226</v>
      </c>
    </row>
    <row r="117" spans="1:20" ht="28">
      <c r="A117" s="67" t="s">
        <v>221</v>
      </c>
      <c r="B117" s="65" t="s">
        <v>364</v>
      </c>
      <c r="C117" s="5"/>
      <c r="D117" s="5" t="s">
        <v>244</v>
      </c>
      <c r="E117" s="132">
        <f t="shared" si="17"/>
        <v>1.806</v>
      </c>
      <c r="F117" s="139">
        <f t="shared" si="19"/>
        <v>1.0474152671755725</v>
      </c>
      <c r="G117" s="149"/>
      <c r="H117" s="82" t="str">
        <f t="shared" si="13"/>
        <v>0 percent up in Calabrian international stage</v>
      </c>
      <c r="I117" s="142" t="str">
        <f t="shared" si="14"/>
        <v>73.4 percent up in Chibanian international stage</v>
      </c>
      <c r="J117" s="7">
        <v>0</v>
      </c>
      <c r="K117" s="129">
        <f t="shared" si="15"/>
        <v>0</v>
      </c>
      <c r="L117" s="8" t="s">
        <v>21</v>
      </c>
      <c r="M117" s="5" t="s">
        <v>82</v>
      </c>
      <c r="N117" s="5" t="s">
        <v>82</v>
      </c>
      <c r="O117" s="83"/>
      <c r="P117" s="20">
        <v>0.73435114503816801</v>
      </c>
      <c r="Q117" s="143">
        <f t="shared" si="16"/>
        <v>73.400000000000006</v>
      </c>
      <c r="R117" s="21" t="s">
        <v>20</v>
      </c>
      <c r="S117" s="8" t="s">
        <v>246</v>
      </c>
      <c r="T117" s="7" t="s">
        <v>226</v>
      </c>
    </row>
    <row r="118" spans="1:20" ht="28">
      <c r="A118" s="67" t="s">
        <v>221</v>
      </c>
      <c r="B118" s="65" t="s">
        <v>365</v>
      </c>
      <c r="C118" s="134" t="s">
        <v>6</v>
      </c>
      <c r="D118" s="134" t="s">
        <v>222</v>
      </c>
      <c r="E118" s="132">
        <f t="shared" si="17"/>
        <v>1.806</v>
      </c>
      <c r="F118" s="139">
        <f t="shared" si="19"/>
        <v>0.77300000000000013</v>
      </c>
      <c r="G118" s="149"/>
      <c r="H118" s="82" t="str">
        <f t="shared" si="13"/>
        <v>0 percent up in Calabrian international stage</v>
      </c>
      <c r="I118" s="142" t="str">
        <f t="shared" si="14"/>
        <v>100 percent up in Calabrian international stage</v>
      </c>
      <c r="J118" s="7">
        <v>0</v>
      </c>
      <c r="K118" s="129">
        <f t="shared" si="15"/>
        <v>0</v>
      </c>
      <c r="L118" s="8" t="s">
        <v>21</v>
      </c>
      <c r="M118" s="5" t="s">
        <v>82</v>
      </c>
      <c r="N118" s="5" t="s">
        <v>82</v>
      </c>
      <c r="O118" s="83"/>
      <c r="P118" s="20">
        <v>1</v>
      </c>
      <c r="Q118" s="143">
        <f t="shared" si="16"/>
        <v>100</v>
      </c>
      <c r="R118" s="21" t="s">
        <v>21</v>
      </c>
      <c r="S118" s="8" t="s">
        <v>232</v>
      </c>
      <c r="T118" s="7" t="s">
        <v>226</v>
      </c>
    </row>
    <row r="119" spans="1:20" ht="28">
      <c r="A119" s="67" t="s">
        <v>221</v>
      </c>
      <c r="B119" s="63" t="s">
        <v>366</v>
      </c>
      <c r="C119" s="5"/>
      <c r="D119" s="5" t="s">
        <v>250</v>
      </c>
      <c r="E119" s="132">
        <f t="shared" si="17"/>
        <v>1.806</v>
      </c>
      <c r="F119" s="139">
        <f t="shared" si="19"/>
        <v>1.4623385365853658</v>
      </c>
      <c r="G119" s="149"/>
      <c r="H119" s="82" t="str">
        <f t="shared" si="13"/>
        <v>0 percent up in Calabrian international stage</v>
      </c>
      <c r="I119" s="142" t="str">
        <f t="shared" si="14"/>
        <v>33.3 percent up in Calabrian international stage</v>
      </c>
      <c r="J119" s="7">
        <v>0</v>
      </c>
      <c r="K119" s="129">
        <f t="shared" si="15"/>
        <v>0</v>
      </c>
      <c r="L119" s="8" t="s">
        <v>21</v>
      </c>
      <c r="M119" s="5" t="s">
        <v>82</v>
      </c>
      <c r="N119" s="5" t="s">
        <v>82</v>
      </c>
      <c r="O119" s="83"/>
      <c r="P119" s="20">
        <v>0.33268292682926831</v>
      </c>
      <c r="Q119" s="143">
        <f t="shared" si="16"/>
        <v>33.299999999999997</v>
      </c>
      <c r="R119" s="21" t="s">
        <v>21</v>
      </c>
      <c r="S119" s="8" t="s">
        <v>230</v>
      </c>
      <c r="T119" s="7" t="s">
        <v>226</v>
      </c>
    </row>
    <row r="120" spans="1:20" ht="28">
      <c r="A120" s="67" t="s">
        <v>221</v>
      </c>
      <c r="B120" s="65" t="s">
        <v>367</v>
      </c>
      <c r="C120" s="5"/>
      <c r="D120" s="5" t="s">
        <v>368</v>
      </c>
      <c r="E120" s="132">
        <f t="shared" si="17"/>
        <v>1.806</v>
      </c>
      <c r="F120" s="139">
        <f t="shared" si="19"/>
        <v>0.99370926829268291</v>
      </c>
      <c r="G120" s="149"/>
      <c r="H120" s="82" t="str">
        <f t="shared" si="13"/>
        <v>0 percent up in Calabrian international stage</v>
      </c>
      <c r="I120" s="142" t="str">
        <f t="shared" si="14"/>
        <v>78.6 percent up in Calabrian international stage</v>
      </c>
      <c r="J120" s="7">
        <v>0</v>
      </c>
      <c r="K120" s="129">
        <f t="shared" si="15"/>
        <v>0</v>
      </c>
      <c r="L120" s="8" t="s">
        <v>21</v>
      </c>
      <c r="M120" s="5" t="s">
        <v>82</v>
      </c>
      <c r="N120" s="5" t="s">
        <v>82</v>
      </c>
      <c r="O120" s="83"/>
      <c r="P120" s="20">
        <v>0.78634146341463429</v>
      </c>
      <c r="Q120" s="143">
        <f t="shared" si="16"/>
        <v>78.599999999999994</v>
      </c>
      <c r="R120" s="21" t="s">
        <v>21</v>
      </c>
      <c r="S120" s="8" t="s">
        <v>230</v>
      </c>
      <c r="T120" s="7" t="s">
        <v>226</v>
      </c>
    </row>
    <row r="121" spans="1:20" ht="28">
      <c r="A121" s="67" t="s">
        <v>221</v>
      </c>
      <c r="B121" s="65" t="s">
        <v>21</v>
      </c>
      <c r="C121" s="134" t="s">
        <v>7</v>
      </c>
      <c r="D121" s="134" t="s">
        <v>222</v>
      </c>
      <c r="E121" s="132">
        <f t="shared" si="17"/>
        <v>1.806</v>
      </c>
      <c r="F121" s="139">
        <f t="shared" si="19"/>
        <v>0.77300000000000013</v>
      </c>
      <c r="G121" s="149"/>
      <c r="H121" s="82" t="str">
        <f t="shared" si="13"/>
        <v>0 percent up in Calabrian international stage</v>
      </c>
      <c r="I121" s="142" t="str">
        <f t="shared" si="14"/>
        <v>100 percent up in Calabrian international stage</v>
      </c>
      <c r="J121" s="7">
        <v>0</v>
      </c>
      <c r="K121" s="129">
        <f t="shared" si="15"/>
        <v>0</v>
      </c>
      <c r="L121" s="8" t="s">
        <v>21</v>
      </c>
      <c r="M121" s="5" t="s">
        <v>224</v>
      </c>
      <c r="N121" s="5" t="s">
        <v>369</v>
      </c>
      <c r="O121" s="83">
        <f>Master_Chronostrat!I10</f>
        <v>1.806</v>
      </c>
      <c r="P121" s="20">
        <v>1</v>
      </c>
      <c r="Q121" s="143">
        <f t="shared" si="16"/>
        <v>100</v>
      </c>
      <c r="R121" s="21" t="s">
        <v>21</v>
      </c>
      <c r="S121" s="8" t="s">
        <v>224</v>
      </c>
      <c r="T121" s="7" t="s">
        <v>226</v>
      </c>
    </row>
    <row r="122" spans="1:20" ht="28">
      <c r="A122" s="67" t="s">
        <v>221</v>
      </c>
      <c r="B122" s="63" t="s">
        <v>370</v>
      </c>
      <c r="C122" s="5"/>
      <c r="D122" s="5" t="s">
        <v>229</v>
      </c>
      <c r="E122" s="132">
        <f t="shared" ref="E122:E155" si="20">$O$155-J122*($O$155-$O$121)</f>
        <v>1.8693452685421996</v>
      </c>
      <c r="F122" s="139">
        <f t="shared" si="19"/>
        <v>1.7697190243902439</v>
      </c>
      <c r="G122" s="149"/>
      <c r="H122" s="82" t="str">
        <f t="shared" si="13"/>
        <v>91.8 percent up in Gelasian international stage</v>
      </c>
      <c r="I122" s="142" t="str">
        <f t="shared" si="14"/>
        <v>3.5 percent up in Calabrian international stage</v>
      </c>
      <c r="J122" s="7">
        <v>0.91815856777493599</v>
      </c>
      <c r="K122" s="129">
        <f t="shared" si="15"/>
        <v>91.8</v>
      </c>
      <c r="L122" s="8" t="s">
        <v>24</v>
      </c>
      <c r="M122" s="5" t="s">
        <v>82</v>
      </c>
      <c r="N122" s="5" t="s">
        <v>82</v>
      </c>
      <c r="O122" s="83"/>
      <c r="P122" s="20">
        <v>3.5121951219512226E-2</v>
      </c>
      <c r="Q122" s="143">
        <f t="shared" si="16"/>
        <v>3.5</v>
      </c>
      <c r="R122" s="21" t="s">
        <v>21</v>
      </c>
      <c r="S122" s="8" t="s">
        <v>246</v>
      </c>
      <c r="T122" s="7" t="s">
        <v>226</v>
      </c>
    </row>
    <row r="123" spans="1:20" ht="28">
      <c r="A123" s="67" t="s">
        <v>221</v>
      </c>
      <c r="B123" s="65" t="s">
        <v>371</v>
      </c>
      <c r="C123" s="5"/>
      <c r="D123" s="5" t="s">
        <v>354</v>
      </c>
      <c r="E123" s="132">
        <f t="shared" si="20"/>
        <v>1.8990383631713554</v>
      </c>
      <c r="F123" s="139">
        <f t="shared" si="19"/>
        <v>1.4976117073170732</v>
      </c>
      <c r="G123" s="149"/>
      <c r="H123" s="82" t="str">
        <f t="shared" si="13"/>
        <v>88 percent up in Gelasian international stage</v>
      </c>
      <c r="I123" s="142" t="str">
        <f t="shared" si="14"/>
        <v>29.9 percent up in Calabrian international stage</v>
      </c>
      <c r="J123" s="7">
        <v>0.87979539641943749</v>
      </c>
      <c r="K123" s="129">
        <f t="shared" si="15"/>
        <v>88</v>
      </c>
      <c r="L123" s="8" t="s">
        <v>24</v>
      </c>
      <c r="M123" s="5" t="s">
        <v>82</v>
      </c>
      <c r="N123" s="5" t="s">
        <v>82</v>
      </c>
      <c r="O123" s="83"/>
      <c r="P123" s="20">
        <v>0.29853658536585376</v>
      </c>
      <c r="Q123" s="143">
        <f t="shared" si="16"/>
        <v>29.9</v>
      </c>
      <c r="R123" s="21" t="s">
        <v>21</v>
      </c>
      <c r="S123" s="8" t="s">
        <v>246</v>
      </c>
      <c r="T123" s="7" t="s">
        <v>226</v>
      </c>
    </row>
    <row r="124" spans="1:20" ht="28">
      <c r="A124" s="67" t="s">
        <v>221</v>
      </c>
      <c r="B124" s="63" t="s">
        <v>372</v>
      </c>
      <c r="C124" s="5"/>
      <c r="D124" s="5" t="s">
        <v>286</v>
      </c>
      <c r="E124" s="132">
        <f t="shared" si="20"/>
        <v>1.8990383631713554</v>
      </c>
      <c r="F124" s="139">
        <f t="shared" si="19"/>
        <v>1.195270243902439</v>
      </c>
      <c r="G124" s="149"/>
      <c r="H124" s="82" t="str">
        <f t="shared" si="13"/>
        <v>88 percent up in Gelasian international stage</v>
      </c>
      <c r="I124" s="142" t="str">
        <f t="shared" si="14"/>
        <v>59.1 percent up in Calabrian international stage</v>
      </c>
      <c r="J124" s="7">
        <v>0.87979539641943749</v>
      </c>
      <c r="K124" s="129">
        <f t="shared" si="15"/>
        <v>88</v>
      </c>
      <c r="L124" s="8" t="s">
        <v>24</v>
      </c>
      <c r="M124" s="5" t="s">
        <v>82</v>
      </c>
      <c r="N124" s="5" t="s">
        <v>82</v>
      </c>
      <c r="O124" s="83"/>
      <c r="P124" s="20">
        <v>0.59121951219512214</v>
      </c>
      <c r="Q124" s="143">
        <f t="shared" si="16"/>
        <v>59.1</v>
      </c>
      <c r="R124" s="21" t="s">
        <v>21</v>
      </c>
      <c r="S124" s="8" t="s">
        <v>246</v>
      </c>
      <c r="T124" s="7" t="s">
        <v>226</v>
      </c>
    </row>
    <row r="125" spans="1:20" ht="28">
      <c r="A125" s="67" t="s">
        <v>221</v>
      </c>
      <c r="B125" s="65" t="s">
        <v>373</v>
      </c>
      <c r="C125" s="5"/>
      <c r="D125" s="5" t="s">
        <v>234</v>
      </c>
      <c r="E125" s="132">
        <f t="shared" si="20"/>
        <v>1.8990383631713554</v>
      </c>
      <c r="F125" s="139">
        <f>$O$13-P125*($O$13-$O$5)</f>
        <v>1.176977736663583E-2</v>
      </c>
      <c r="G125" s="149"/>
      <c r="H125" s="82" t="str">
        <f t="shared" si="13"/>
        <v>88 percent up in Gelasian international stage</v>
      </c>
      <c r="I125" s="142" t="str">
        <f t="shared" si="14"/>
        <v>0.4 percent up in Greenlandian international stage</v>
      </c>
      <c r="J125" s="7">
        <v>0.87979539641943749</v>
      </c>
      <c r="K125" s="129">
        <f t="shared" si="15"/>
        <v>88</v>
      </c>
      <c r="L125" s="8" t="s">
        <v>24</v>
      </c>
      <c r="M125" s="5" t="s">
        <v>82</v>
      </c>
      <c r="N125" s="5" t="s">
        <v>82</v>
      </c>
      <c r="O125" s="83"/>
      <c r="P125" s="20">
        <v>4.0086339808821647E-3</v>
      </c>
      <c r="Q125" s="143">
        <f t="shared" si="16"/>
        <v>0.4</v>
      </c>
      <c r="R125" s="21" t="s">
        <v>18</v>
      </c>
      <c r="S125" s="8" t="s">
        <v>246</v>
      </c>
      <c r="T125" s="7" t="s">
        <v>226</v>
      </c>
    </row>
    <row r="126" spans="1:20" ht="28">
      <c r="A126" s="67" t="s">
        <v>221</v>
      </c>
      <c r="B126" s="65" t="s">
        <v>374</v>
      </c>
      <c r="C126" s="5"/>
      <c r="D126" s="5" t="s">
        <v>236</v>
      </c>
      <c r="E126" s="132">
        <f t="shared" si="20"/>
        <v>1.9584245524296675</v>
      </c>
      <c r="F126" s="139">
        <f>$O$121-P126*($O$121-$O$76)</f>
        <v>1.0944897560975611</v>
      </c>
      <c r="G126" s="149"/>
      <c r="H126" s="82" t="str">
        <f t="shared" si="13"/>
        <v>80.3 percent up in Gelasian international stage</v>
      </c>
      <c r="I126" s="142" t="str">
        <f t="shared" si="14"/>
        <v>68.9 percent up in Calabrian international stage</v>
      </c>
      <c r="J126" s="7">
        <v>0.80306905370843995</v>
      </c>
      <c r="K126" s="129">
        <f t="shared" si="15"/>
        <v>80.3</v>
      </c>
      <c r="L126" s="8" t="s">
        <v>24</v>
      </c>
      <c r="M126" s="5" t="s">
        <v>82</v>
      </c>
      <c r="N126" s="5" t="s">
        <v>82</v>
      </c>
      <c r="O126" s="83"/>
      <c r="P126" s="20">
        <v>0.68878048780487811</v>
      </c>
      <c r="Q126" s="143">
        <f t="shared" si="16"/>
        <v>68.900000000000006</v>
      </c>
      <c r="R126" s="21" t="s">
        <v>21</v>
      </c>
      <c r="S126" s="8" t="s">
        <v>246</v>
      </c>
      <c r="T126" s="7" t="s">
        <v>226</v>
      </c>
    </row>
    <row r="127" spans="1:20" ht="28">
      <c r="A127" s="67" t="s">
        <v>221</v>
      </c>
      <c r="B127" s="63" t="s">
        <v>375</v>
      </c>
      <c r="C127" s="5"/>
      <c r="D127" s="5" t="s">
        <v>229</v>
      </c>
      <c r="E127" s="132">
        <f t="shared" si="20"/>
        <v>1.9980153452685423</v>
      </c>
      <c r="F127" s="139">
        <f>$O$155-P127*($O$155-$O$121)</f>
        <v>1.8693452685421996</v>
      </c>
      <c r="G127" s="149"/>
      <c r="H127" s="82" t="str">
        <f t="shared" si="13"/>
        <v>75.2 percent up in Gelasian international stage</v>
      </c>
      <c r="I127" s="142" t="str">
        <f t="shared" si="14"/>
        <v>91.8 percent up in Gelasian international stage</v>
      </c>
      <c r="J127" s="7">
        <v>0.751918158567775</v>
      </c>
      <c r="K127" s="129">
        <f t="shared" si="15"/>
        <v>75.2</v>
      </c>
      <c r="L127" s="8" t="s">
        <v>24</v>
      </c>
      <c r="M127" s="5" t="s">
        <v>82</v>
      </c>
      <c r="N127" s="5" t="s">
        <v>82</v>
      </c>
      <c r="O127" s="83"/>
      <c r="P127" s="20">
        <v>0.91815856777493599</v>
      </c>
      <c r="Q127" s="143">
        <f t="shared" si="16"/>
        <v>91.8</v>
      </c>
      <c r="R127" s="21" t="s">
        <v>24</v>
      </c>
      <c r="S127" s="8" t="s">
        <v>259</v>
      </c>
      <c r="T127" s="7">
        <v>0.16624040920716107</v>
      </c>
    </row>
    <row r="128" spans="1:20" ht="28">
      <c r="A128" s="67" t="s">
        <v>221</v>
      </c>
      <c r="B128" s="63" t="s">
        <v>376</v>
      </c>
      <c r="C128" s="5"/>
      <c r="D128" s="5" t="s">
        <v>229</v>
      </c>
      <c r="E128" s="132">
        <f t="shared" si="20"/>
        <v>1.9980153452685423</v>
      </c>
      <c r="F128" s="139">
        <f>$O$155-P128*($O$155-$O$121)</f>
        <v>1.8693452685421996</v>
      </c>
      <c r="G128" s="149"/>
      <c r="H128" s="82" t="str">
        <f t="shared" si="13"/>
        <v>75.2 percent up in Gelasian international stage</v>
      </c>
      <c r="I128" s="142" t="str">
        <f t="shared" si="14"/>
        <v>91.8 percent up in Gelasian international stage</v>
      </c>
      <c r="J128" s="7">
        <v>0.751918158567775</v>
      </c>
      <c r="K128" s="129">
        <f t="shared" si="15"/>
        <v>75.2</v>
      </c>
      <c r="L128" s="8" t="s">
        <v>24</v>
      </c>
      <c r="M128" s="5" t="s">
        <v>82</v>
      </c>
      <c r="N128" s="5" t="s">
        <v>82</v>
      </c>
      <c r="O128" s="83"/>
      <c r="P128" s="20">
        <v>0.91815856777493599</v>
      </c>
      <c r="Q128" s="143">
        <f t="shared" si="16"/>
        <v>91.8</v>
      </c>
      <c r="R128" s="21" t="s">
        <v>24</v>
      </c>
      <c r="S128" s="8" t="s">
        <v>259</v>
      </c>
      <c r="T128" s="7">
        <v>0.16624040920716107</v>
      </c>
    </row>
    <row r="129" spans="1:20" ht="28">
      <c r="A129" s="67" t="s">
        <v>221</v>
      </c>
      <c r="B129" s="63" t="s">
        <v>377</v>
      </c>
      <c r="C129" s="5"/>
      <c r="D129" s="5" t="s">
        <v>229</v>
      </c>
      <c r="E129" s="132">
        <f t="shared" si="20"/>
        <v>2.1167877237851664</v>
      </c>
      <c r="F129" s="139">
        <f>$O$155-P129*($O$155-$O$121)</f>
        <v>1.9980153452685423</v>
      </c>
      <c r="G129" s="149"/>
      <c r="H129" s="82" t="str">
        <f t="shared" si="13"/>
        <v>59.8 percent up in Gelasian international stage</v>
      </c>
      <c r="I129" s="142" t="str">
        <f t="shared" si="14"/>
        <v>75.2 percent up in Gelasian international stage</v>
      </c>
      <c r="J129" s="7">
        <v>0.59846547314577991</v>
      </c>
      <c r="K129" s="129">
        <f t="shared" si="15"/>
        <v>59.8</v>
      </c>
      <c r="L129" s="8" t="s">
        <v>24</v>
      </c>
      <c r="M129" s="5" t="s">
        <v>82</v>
      </c>
      <c r="N129" s="5" t="s">
        <v>82</v>
      </c>
      <c r="O129" s="83"/>
      <c r="P129" s="20">
        <v>0.751918158567775</v>
      </c>
      <c r="Q129" s="143">
        <f t="shared" si="16"/>
        <v>75.2</v>
      </c>
      <c r="R129" s="21" t="s">
        <v>24</v>
      </c>
      <c r="S129" s="8" t="s">
        <v>259</v>
      </c>
      <c r="T129" s="7">
        <v>0.15345268542199503</v>
      </c>
    </row>
    <row r="130" spans="1:20" ht="28">
      <c r="A130" s="67" t="s">
        <v>221</v>
      </c>
      <c r="B130" s="63" t="s">
        <v>378</v>
      </c>
      <c r="C130" s="5"/>
      <c r="D130" s="5" t="s">
        <v>229</v>
      </c>
      <c r="E130" s="132">
        <f t="shared" si="20"/>
        <v>2.1167877237851664</v>
      </c>
      <c r="F130" s="139">
        <f>$O$155-P130*($O$155-$O$121)</f>
        <v>1.9980153452685423</v>
      </c>
      <c r="G130" s="149"/>
      <c r="H130" s="82" t="str">
        <f t="shared" si="13"/>
        <v>59.8 percent up in Gelasian international stage</v>
      </c>
      <c r="I130" s="142" t="str">
        <f t="shared" si="14"/>
        <v>75.2 percent up in Gelasian international stage</v>
      </c>
      <c r="J130" s="7">
        <v>0.59846547314577991</v>
      </c>
      <c r="K130" s="129">
        <f t="shared" si="15"/>
        <v>59.8</v>
      </c>
      <c r="L130" s="8" t="s">
        <v>24</v>
      </c>
      <c r="M130" s="5" t="s">
        <v>82</v>
      </c>
      <c r="N130" s="5" t="s">
        <v>82</v>
      </c>
      <c r="O130" s="83"/>
      <c r="P130" s="20">
        <v>0.751918158567775</v>
      </c>
      <c r="Q130" s="143">
        <f t="shared" si="16"/>
        <v>75.2</v>
      </c>
      <c r="R130" s="21" t="s">
        <v>24</v>
      </c>
      <c r="S130" s="8" t="s">
        <v>259</v>
      </c>
      <c r="T130" s="7">
        <v>0.15345268542199503</v>
      </c>
    </row>
    <row r="131" spans="1:20" ht="28">
      <c r="A131" s="67" t="s">
        <v>221</v>
      </c>
      <c r="B131" s="63" t="s">
        <v>379</v>
      </c>
      <c r="C131" s="5"/>
      <c r="D131" s="5" t="s">
        <v>258</v>
      </c>
      <c r="E131" s="132">
        <f t="shared" si="20"/>
        <v>2.156378516624041</v>
      </c>
      <c r="F131" s="139">
        <f>$O$121-P131*($O$121-$O$76)</f>
        <v>1.7596409756097562</v>
      </c>
      <c r="G131" s="149"/>
      <c r="H131" s="82" t="str">
        <f t="shared" si="13"/>
        <v>54.7 percent up in Gelasian international stage</v>
      </c>
      <c r="I131" s="142" t="str">
        <f t="shared" si="14"/>
        <v>4.5 percent up in Calabrian international stage</v>
      </c>
      <c r="J131" s="7">
        <v>0.54731457800511496</v>
      </c>
      <c r="K131" s="129">
        <f t="shared" si="15"/>
        <v>54.7</v>
      </c>
      <c r="L131" s="8" t="s">
        <v>24</v>
      </c>
      <c r="M131" s="5" t="s">
        <v>82</v>
      </c>
      <c r="N131" s="5" t="s">
        <v>82</v>
      </c>
      <c r="O131" s="83"/>
      <c r="P131" s="20">
        <v>4.4878048780487852E-2</v>
      </c>
      <c r="Q131" s="143">
        <f t="shared" si="16"/>
        <v>4.5</v>
      </c>
      <c r="R131" s="21" t="s">
        <v>21</v>
      </c>
      <c r="S131" s="8" t="s">
        <v>246</v>
      </c>
      <c r="T131" s="7" t="s">
        <v>226</v>
      </c>
    </row>
    <row r="132" spans="1:20" ht="28">
      <c r="A132" s="67" t="s">
        <v>221</v>
      </c>
      <c r="B132" s="63" t="s">
        <v>380</v>
      </c>
      <c r="C132" s="5"/>
      <c r="D132" s="5" t="s">
        <v>236</v>
      </c>
      <c r="E132" s="132">
        <f t="shared" si="20"/>
        <v>2.1959693094629156</v>
      </c>
      <c r="F132" s="139">
        <f>$O$121-P132*($O$121-$O$76)</f>
        <v>1.7999531707317076</v>
      </c>
      <c r="G132" s="149"/>
      <c r="H132" s="82" t="str">
        <f t="shared" si="13"/>
        <v>49.6 percent up in Gelasian international stage</v>
      </c>
      <c r="I132" s="142" t="str">
        <f t="shared" si="14"/>
        <v>0.6 percent up in Calabrian international stage</v>
      </c>
      <c r="J132" s="7">
        <v>0.49616368286445001</v>
      </c>
      <c r="K132" s="129">
        <f t="shared" si="15"/>
        <v>49.6</v>
      </c>
      <c r="L132" s="8" t="s">
        <v>24</v>
      </c>
      <c r="M132" s="5" t="s">
        <v>82</v>
      </c>
      <c r="N132" s="5" t="s">
        <v>82</v>
      </c>
      <c r="O132" s="83"/>
      <c r="P132" s="20">
        <v>5.8536585365851551E-3</v>
      </c>
      <c r="Q132" s="143">
        <f t="shared" si="16"/>
        <v>0.6</v>
      </c>
      <c r="R132" s="21" t="s">
        <v>21</v>
      </c>
      <c r="S132" s="8" t="s">
        <v>246</v>
      </c>
      <c r="T132" s="7" t="s">
        <v>226</v>
      </c>
    </row>
    <row r="133" spans="1:20" ht="28">
      <c r="A133" s="67" t="s">
        <v>221</v>
      </c>
      <c r="B133" s="65" t="s">
        <v>381</v>
      </c>
      <c r="C133" s="5"/>
      <c r="D133" s="5" t="s">
        <v>234</v>
      </c>
      <c r="E133" s="132">
        <f t="shared" si="20"/>
        <v>2.1959693094629156</v>
      </c>
      <c r="F133" s="139">
        <f>$O$155-P133*($O$155-$O$121)</f>
        <v>1.8990383631713554</v>
      </c>
      <c r="G133" s="149"/>
      <c r="H133" s="82" t="str">
        <f t="shared" ref="H133:H196" si="21">CONCATENATE(K133," percent up in ",L133," international stage")</f>
        <v>49.6 percent up in Gelasian international stage</v>
      </c>
      <c r="I133" s="142" t="str">
        <f t="shared" ref="I133:I196" si="22">CONCATENATE(Q133," percent up in ",R133," international stage")</f>
        <v>88 percent up in Gelasian international stage</v>
      </c>
      <c r="J133" s="7">
        <v>0.49616368286445001</v>
      </c>
      <c r="K133" s="129">
        <f t="shared" ref="K133:K196" si="23">ROUND(J133*100,1)</f>
        <v>49.6</v>
      </c>
      <c r="L133" s="8" t="s">
        <v>24</v>
      </c>
      <c r="M133" s="5" t="s">
        <v>82</v>
      </c>
      <c r="N133" s="5" t="s">
        <v>82</v>
      </c>
      <c r="O133" s="83"/>
      <c r="P133" s="20">
        <v>0.87979539641943749</v>
      </c>
      <c r="Q133" s="143">
        <f t="shared" ref="Q133:Q196" si="24">ROUND(P133*100,1)</f>
        <v>88</v>
      </c>
      <c r="R133" s="21" t="s">
        <v>24</v>
      </c>
      <c r="S133" s="8" t="s">
        <v>259</v>
      </c>
      <c r="T133" s="7">
        <v>0.38363171355498726</v>
      </c>
    </row>
    <row r="134" spans="1:20" ht="28">
      <c r="A134" s="67" t="s">
        <v>221</v>
      </c>
      <c r="B134" s="63" t="s">
        <v>382</v>
      </c>
      <c r="C134" s="5"/>
      <c r="D134" s="5" t="s">
        <v>229</v>
      </c>
      <c r="E134" s="132">
        <f t="shared" si="20"/>
        <v>2.2454578005115091</v>
      </c>
      <c r="F134" s="139">
        <f>$O$155-P134*($O$155-$O$121)</f>
        <v>2.1167877237851664</v>
      </c>
      <c r="G134" s="149"/>
      <c r="H134" s="82" t="str">
        <f t="shared" si="21"/>
        <v>43.2 percent up in Gelasian international stage</v>
      </c>
      <c r="I134" s="142" t="str">
        <f t="shared" si="22"/>
        <v>59.8 percent up in Gelasian international stage</v>
      </c>
      <c r="J134" s="7">
        <v>0.43222506393861904</v>
      </c>
      <c r="K134" s="129">
        <f t="shared" si="23"/>
        <v>43.2</v>
      </c>
      <c r="L134" s="8" t="s">
        <v>24</v>
      </c>
      <c r="M134" s="5" t="s">
        <v>82</v>
      </c>
      <c r="N134" s="5" t="s">
        <v>82</v>
      </c>
      <c r="O134" s="83"/>
      <c r="P134" s="20">
        <v>0.59846547314578002</v>
      </c>
      <c r="Q134" s="143">
        <f t="shared" si="24"/>
        <v>59.8</v>
      </c>
      <c r="R134" s="21" t="s">
        <v>24</v>
      </c>
      <c r="S134" s="8" t="s">
        <v>259</v>
      </c>
      <c r="T134" s="7">
        <v>0.16624040920716107</v>
      </c>
    </row>
    <row r="135" spans="1:20" ht="28">
      <c r="A135" s="67" t="s">
        <v>221</v>
      </c>
      <c r="B135" s="63" t="s">
        <v>383</v>
      </c>
      <c r="C135" s="5"/>
      <c r="D135" s="5" t="s">
        <v>256</v>
      </c>
      <c r="E135" s="132">
        <f t="shared" si="20"/>
        <v>2.3444347826086958</v>
      </c>
      <c r="F135" s="139">
        <f>$O$4-P135*($O$4-$O$3)</f>
        <v>0</v>
      </c>
      <c r="G135" s="149"/>
      <c r="H135" s="82" t="str">
        <f t="shared" si="21"/>
        <v>30.4 percent up in Gelasian international stage</v>
      </c>
      <c r="I135" s="142" t="str">
        <f t="shared" si="22"/>
        <v>100 percent up in Meghalayan international stage</v>
      </c>
      <c r="J135" s="7">
        <v>0.30434782608695654</v>
      </c>
      <c r="K135" s="129">
        <f t="shared" si="23"/>
        <v>30.4</v>
      </c>
      <c r="L135" s="8" t="s">
        <v>24</v>
      </c>
      <c r="M135" s="5" t="s">
        <v>82</v>
      </c>
      <c r="N135" s="5" t="s">
        <v>82</v>
      </c>
      <c r="O135" s="83"/>
      <c r="P135" s="20">
        <v>1</v>
      </c>
      <c r="Q135" s="143">
        <f t="shared" si="24"/>
        <v>100</v>
      </c>
      <c r="R135" s="21" t="s">
        <v>13</v>
      </c>
      <c r="S135" s="8" t="s">
        <v>246</v>
      </c>
      <c r="T135" s="7" t="s">
        <v>226</v>
      </c>
    </row>
    <row r="136" spans="1:20" ht="28">
      <c r="A136" s="67" t="s">
        <v>221</v>
      </c>
      <c r="B136" s="63" t="s">
        <v>384</v>
      </c>
      <c r="C136" s="5"/>
      <c r="D136" s="5" t="s">
        <v>385</v>
      </c>
      <c r="E136" s="132">
        <f t="shared" si="20"/>
        <v>2.3939232736572889</v>
      </c>
      <c r="F136" s="139">
        <f>$O$155-P136*($O$155-$O$121)</f>
        <v>1.9980153452685423</v>
      </c>
      <c r="G136" s="149"/>
      <c r="H136" s="82" t="str">
        <f t="shared" si="21"/>
        <v>24 percent up in Gelasian international stage</v>
      </c>
      <c r="I136" s="142" t="str">
        <f t="shared" si="22"/>
        <v>75.2 percent up in Gelasian international stage</v>
      </c>
      <c r="J136" s="7">
        <v>0.24040920716112557</v>
      </c>
      <c r="K136" s="129">
        <f t="shared" si="23"/>
        <v>24</v>
      </c>
      <c r="L136" s="8" t="s">
        <v>24</v>
      </c>
      <c r="M136" s="5" t="s">
        <v>82</v>
      </c>
      <c r="N136" s="5" t="s">
        <v>82</v>
      </c>
      <c r="O136" s="83"/>
      <c r="P136" s="20">
        <v>0.751918158567775</v>
      </c>
      <c r="Q136" s="143">
        <f t="shared" si="24"/>
        <v>75.2</v>
      </c>
      <c r="R136" s="21" t="s">
        <v>24</v>
      </c>
      <c r="S136" s="8" t="s">
        <v>259</v>
      </c>
      <c r="T136" s="7">
        <v>0.51150895140664931</v>
      </c>
    </row>
    <row r="137" spans="1:20" ht="28">
      <c r="A137" s="67" t="s">
        <v>221</v>
      </c>
      <c r="B137" s="63" t="s">
        <v>386</v>
      </c>
      <c r="C137" s="5"/>
      <c r="D137" s="5" t="s">
        <v>248</v>
      </c>
      <c r="E137" s="132">
        <f t="shared" si="20"/>
        <v>2.3939232736572889</v>
      </c>
      <c r="F137" s="139">
        <f>$O$121-P137*($O$121-$O$76)</f>
        <v>1.195270243902439</v>
      </c>
      <c r="G137" s="149"/>
      <c r="H137" s="82" t="str">
        <f t="shared" si="21"/>
        <v>24 percent up in Gelasian international stage</v>
      </c>
      <c r="I137" s="142" t="str">
        <f t="shared" si="22"/>
        <v>59.1 percent up in Calabrian international stage</v>
      </c>
      <c r="J137" s="7">
        <v>0.24040920716112557</v>
      </c>
      <c r="K137" s="129">
        <f t="shared" si="23"/>
        <v>24</v>
      </c>
      <c r="L137" s="8" t="s">
        <v>24</v>
      </c>
      <c r="M137" s="5" t="s">
        <v>82</v>
      </c>
      <c r="N137" s="5" t="s">
        <v>82</v>
      </c>
      <c r="O137" s="83"/>
      <c r="P137" s="20">
        <v>0.59121951219512214</v>
      </c>
      <c r="Q137" s="143">
        <f t="shared" si="24"/>
        <v>59.1</v>
      </c>
      <c r="R137" s="21" t="s">
        <v>21</v>
      </c>
      <c r="S137" s="8" t="s">
        <v>246</v>
      </c>
      <c r="T137" s="7" t="s">
        <v>226</v>
      </c>
    </row>
    <row r="138" spans="1:20" ht="28">
      <c r="A138" s="67" t="s">
        <v>221</v>
      </c>
      <c r="B138" s="63" t="s">
        <v>387</v>
      </c>
      <c r="C138" s="5"/>
      <c r="D138" s="5" t="s">
        <v>292</v>
      </c>
      <c r="E138" s="132">
        <f t="shared" si="20"/>
        <v>2.3968925831202048</v>
      </c>
      <c r="F138" s="139">
        <f>$O$155-P138*($O$155-$O$121)</f>
        <v>1.806</v>
      </c>
      <c r="G138" s="149"/>
      <c r="H138" s="82" t="str">
        <f t="shared" si="21"/>
        <v>23.7 percent up in Gelasian international stage</v>
      </c>
      <c r="I138" s="142" t="str">
        <f t="shared" si="22"/>
        <v>100 percent up in Gelasian international stage</v>
      </c>
      <c r="J138" s="7">
        <v>0.23657289002557547</v>
      </c>
      <c r="K138" s="129">
        <f t="shared" si="23"/>
        <v>23.7</v>
      </c>
      <c r="L138" s="8" t="s">
        <v>24</v>
      </c>
      <c r="M138" s="5" t="s">
        <v>82</v>
      </c>
      <c r="N138" s="5" t="s">
        <v>82</v>
      </c>
      <c r="O138" s="83"/>
      <c r="P138" s="20">
        <v>1</v>
      </c>
      <c r="Q138" s="143">
        <f t="shared" si="24"/>
        <v>100</v>
      </c>
      <c r="R138" s="21" t="s">
        <v>24</v>
      </c>
      <c r="S138" s="8" t="s">
        <v>272</v>
      </c>
      <c r="T138" s="7" t="s">
        <v>226</v>
      </c>
    </row>
    <row r="139" spans="1:20" ht="28">
      <c r="A139" s="67" t="s">
        <v>221</v>
      </c>
      <c r="B139" s="63" t="s">
        <v>388</v>
      </c>
      <c r="C139" s="5"/>
      <c r="D139" s="5" t="s">
        <v>256</v>
      </c>
      <c r="E139" s="132">
        <f t="shared" si="20"/>
        <v>2.4929002557544759</v>
      </c>
      <c r="F139" s="139">
        <f>$O$155-P139*($O$155-$O$121)</f>
        <v>2.3444347826086958</v>
      </c>
      <c r="G139" s="149"/>
      <c r="H139" s="82" t="str">
        <f t="shared" si="21"/>
        <v>11.3 percent up in Gelasian international stage</v>
      </c>
      <c r="I139" s="142" t="str">
        <f t="shared" si="22"/>
        <v>30.4 percent up in Gelasian international stage</v>
      </c>
      <c r="J139" s="7">
        <v>0.11253196930946296</v>
      </c>
      <c r="K139" s="129">
        <f t="shared" si="23"/>
        <v>11.3</v>
      </c>
      <c r="L139" s="8" t="s">
        <v>24</v>
      </c>
      <c r="M139" s="5" t="s">
        <v>82</v>
      </c>
      <c r="N139" s="5" t="s">
        <v>82</v>
      </c>
      <c r="O139" s="83"/>
      <c r="P139" s="20">
        <v>0.30434782608695649</v>
      </c>
      <c r="Q139" s="143">
        <f t="shared" si="24"/>
        <v>30.4</v>
      </c>
      <c r="R139" s="21" t="s">
        <v>24</v>
      </c>
      <c r="S139" s="8" t="s">
        <v>259</v>
      </c>
      <c r="T139" s="7">
        <v>0.19181585677749319</v>
      </c>
    </row>
    <row r="140" spans="1:20" ht="28">
      <c r="A140" s="67" t="s">
        <v>221</v>
      </c>
      <c r="B140" s="63" t="s">
        <v>389</v>
      </c>
      <c r="C140" s="5"/>
      <c r="D140" s="5" t="s">
        <v>390</v>
      </c>
      <c r="E140" s="132">
        <f t="shared" si="20"/>
        <v>2.4929002557544759</v>
      </c>
      <c r="F140" s="139">
        <f>$O$155-P140*($O$155-$O$121)</f>
        <v>1.9980153452685423</v>
      </c>
      <c r="G140" s="149"/>
      <c r="H140" s="82" t="str">
        <f t="shared" si="21"/>
        <v>11.3 percent up in Gelasian international stage</v>
      </c>
      <c r="I140" s="142" t="str">
        <f t="shared" si="22"/>
        <v>75.2 percent up in Gelasian international stage</v>
      </c>
      <c r="J140" s="7">
        <v>0.11253196930946296</v>
      </c>
      <c r="K140" s="129">
        <f t="shared" si="23"/>
        <v>11.3</v>
      </c>
      <c r="L140" s="8" t="s">
        <v>24</v>
      </c>
      <c r="M140" s="5" t="s">
        <v>82</v>
      </c>
      <c r="N140" s="5" t="s">
        <v>82</v>
      </c>
      <c r="O140" s="83"/>
      <c r="P140" s="20">
        <v>0.751918158567775</v>
      </c>
      <c r="Q140" s="143">
        <f t="shared" si="24"/>
        <v>75.2</v>
      </c>
      <c r="R140" s="21" t="s">
        <v>24</v>
      </c>
      <c r="S140" s="8" t="s">
        <v>259</v>
      </c>
      <c r="T140" s="7">
        <v>0.63938618925831159</v>
      </c>
    </row>
    <row r="141" spans="1:20" ht="28">
      <c r="A141" s="67" t="s">
        <v>221</v>
      </c>
      <c r="B141" s="63" t="s">
        <v>391</v>
      </c>
      <c r="C141" s="5"/>
      <c r="D141" s="5" t="s">
        <v>82</v>
      </c>
      <c r="E141" s="132">
        <f t="shared" si="20"/>
        <v>2.4929002557544759</v>
      </c>
      <c r="F141" s="139">
        <f>$O$155-P141*($O$155-$O$121)</f>
        <v>1.9980153452685423</v>
      </c>
      <c r="G141" s="149"/>
      <c r="H141" s="82" t="str">
        <f t="shared" si="21"/>
        <v>11.3 percent up in Gelasian international stage</v>
      </c>
      <c r="I141" s="142" t="str">
        <f t="shared" si="22"/>
        <v>75.2 percent up in Gelasian international stage</v>
      </c>
      <c r="J141" s="7">
        <v>0.11253196930946296</v>
      </c>
      <c r="K141" s="129">
        <f t="shared" si="23"/>
        <v>11.3</v>
      </c>
      <c r="L141" s="8" t="s">
        <v>24</v>
      </c>
      <c r="M141" s="5" t="s">
        <v>82</v>
      </c>
      <c r="N141" s="5" t="s">
        <v>82</v>
      </c>
      <c r="O141" s="83"/>
      <c r="P141" s="20">
        <v>0.751918158567775</v>
      </c>
      <c r="Q141" s="143">
        <f t="shared" si="24"/>
        <v>75.2</v>
      </c>
      <c r="R141" s="21" t="s">
        <v>24</v>
      </c>
      <c r="S141" s="8" t="s">
        <v>259</v>
      </c>
      <c r="T141" s="7">
        <v>0.63938618925831159</v>
      </c>
    </row>
    <row r="142" spans="1:20" ht="28">
      <c r="A142" s="67" t="s">
        <v>221</v>
      </c>
      <c r="B142" s="63" t="s">
        <v>392</v>
      </c>
      <c r="C142" s="5"/>
      <c r="D142" s="5" t="s">
        <v>286</v>
      </c>
      <c r="E142" s="132">
        <f t="shared" si="20"/>
        <v>2.4929002557544759</v>
      </c>
      <c r="F142" s="139">
        <f>$O$121-P142*($O$121-$O$76)</f>
        <v>1.6991726829268292</v>
      </c>
      <c r="G142" s="149"/>
      <c r="H142" s="82" t="str">
        <f t="shared" si="21"/>
        <v>11.3 percent up in Gelasian international stage</v>
      </c>
      <c r="I142" s="142" t="str">
        <f t="shared" si="22"/>
        <v>10.3 percent up in Calabrian international stage</v>
      </c>
      <c r="J142" s="7">
        <v>0.11253196930946296</v>
      </c>
      <c r="K142" s="129">
        <f t="shared" si="23"/>
        <v>11.3</v>
      </c>
      <c r="L142" s="8" t="s">
        <v>24</v>
      </c>
      <c r="M142" s="5" t="s">
        <v>82</v>
      </c>
      <c r="N142" s="5" t="s">
        <v>82</v>
      </c>
      <c r="O142" s="83"/>
      <c r="P142" s="20">
        <v>0.10341463414634157</v>
      </c>
      <c r="Q142" s="143">
        <f t="shared" si="24"/>
        <v>10.3</v>
      </c>
      <c r="R142" s="21" t="s">
        <v>21</v>
      </c>
      <c r="S142" s="8" t="s">
        <v>246</v>
      </c>
      <c r="T142" s="7" t="s">
        <v>226</v>
      </c>
    </row>
    <row r="143" spans="1:20" ht="28">
      <c r="A143" s="67" t="s">
        <v>221</v>
      </c>
      <c r="B143" s="63" t="s">
        <v>393</v>
      </c>
      <c r="C143" s="5"/>
      <c r="D143" s="5" t="s">
        <v>229</v>
      </c>
      <c r="E143" s="132">
        <f t="shared" si="20"/>
        <v>2.512695652173913</v>
      </c>
      <c r="F143" s="139">
        <f t="shared" ref="F143:F150" si="25">$O$155-P143*($O$155-$O$121)</f>
        <v>2.2454578005115091</v>
      </c>
      <c r="G143" s="149"/>
      <c r="H143" s="82" t="str">
        <f t="shared" si="21"/>
        <v>8.7 percent up in Gelasian international stage</v>
      </c>
      <c r="I143" s="142" t="str">
        <f t="shared" si="22"/>
        <v>43.2 percent up in Gelasian international stage</v>
      </c>
      <c r="J143" s="7">
        <v>8.6956521739130488E-2</v>
      </c>
      <c r="K143" s="129">
        <f t="shared" si="23"/>
        <v>8.6999999999999993</v>
      </c>
      <c r="L143" s="8" t="s">
        <v>24</v>
      </c>
      <c r="M143" s="5" t="s">
        <v>82</v>
      </c>
      <c r="N143" s="5" t="s">
        <v>82</v>
      </c>
      <c r="O143" s="83"/>
      <c r="P143" s="20">
        <v>0.43222506393861904</v>
      </c>
      <c r="Q143" s="143">
        <f t="shared" si="24"/>
        <v>43.2</v>
      </c>
      <c r="R143" s="21" t="s">
        <v>24</v>
      </c>
      <c r="S143" s="8" t="s">
        <v>259</v>
      </c>
      <c r="T143" s="7">
        <v>0.34526854219948822</v>
      </c>
    </row>
    <row r="144" spans="1:20" ht="28">
      <c r="A144" s="67" t="s">
        <v>221</v>
      </c>
      <c r="B144" s="63" t="s">
        <v>394</v>
      </c>
      <c r="C144" s="5"/>
      <c r="D144" s="5" t="s">
        <v>229</v>
      </c>
      <c r="E144" s="132">
        <f t="shared" si="20"/>
        <v>2.512695652173913</v>
      </c>
      <c r="F144" s="139">
        <f t="shared" si="25"/>
        <v>2.1959693094629156</v>
      </c>
      <c r="G144" s="149"/>
      <c r="H144" s="82" t="str">
        <f t="shared" si="21"/>
        <v>8.7 percent up in Gelasian international stage</v>
      </c>
      <c r="I144" s="142" t="str">
        <f t="shared" si="22"/>
        <v>49.6 percent up in Gelasian international stage</v>
      </c>
      <c r="J144" s="7">
        <v>8.6956521739130488E-2</v>
      </c>
      <c r="K144" s="129">
        <f t="shared" si="23"/>
        <v>8.6999999999999993</v>
      </c>
      <c r="L144" s="8" t="s">
        <v>24</v>
      </c>
      <c r="M144" s="5" t="s">
        <v>82</v>
      </c>
      <c r="N144" s="5" t="s">
        <v>82</v>
      </c>
      <c r="O144" s="83"/>
      <c r="P144" s="20">
        <v>0.49616368286445001</v>
      </c>
      <c r="Q144" s="143">
        <f t="shared" si="24"/>
        <v>49.6</v>
      </c>
      <c r="R144" s="21" t="s">
        <v>24</v>
      </c>
      <c r="S144" s="8" t="s">
        <v>259</v>
      </c>
      <c r="T144" s="7">
        <v>0.40920716112531963</v>
      </c>
    </row>
    <row r="145" spans="1:20" ht="28">
      <c r="A145" s="67" t="s">
        <v>221</v>
      </c>
      <c r="B145" s="63" t="s">
        <v>395</v>
      </c>
      <c r="C145" s="5"/>
      <c r="D145" s="5" t="s">
        <v>229</v>
      </c>
      <c r="E145" s="132">
        <f t="shared" si="20"/>
        <v>2.512695652173913</v>
      </c>
      <c r="F145" s="139">
        <f t="shared" si="25"/>
        <v>2.1959693094629156</v>
      </c>
      <c r="G145" s="149"/>
      <c r="H145" s="82" t="str">
        <f t="shared" si="21"/>
        <v>8.7 percent up in Gelasian international stage</v>
      </c>
      <c r="I145" s="142" t="str">
        <f t="shared" si="22"/>
        <v>49.6 percent up in Gelasian international stage</v>
      </c>
      <c r="J145" s="7">
        <v>8.6956521739130488E-2</v>
      </c>
      <c r="K145" s="129">
        <f t="shared" si="23"/>
        <v>8.6999999999999993</v>
      </c>
      <c r="L145" s="8" t="s">
        <v>24</v>
      </c>
      <c r="M145" s="5" t="s">
        <v>82</v>
      </c>
      <c r="N145" s="5" t="s">
        <v>82</v>
      </c>
      <c r="O145" s="83"/>
      <c r="P145" s="20">
        <v>0.49616368286445001</v>
      </c>
      <c r="Q145" s="143">
        <f t="shared" si="24"/>
        <v>49.6</v>
      </c>
      <c r="R145" s="21" t="s">
        <v>24</v>
      </c>
      <c r="S145" s="8" t="s">
        <v>259</v>
      </c>
      <c r="T145" s="7">
        <v>0.40920716112531963</v>
      </c>
    </row>
    <row r="146" spans="1:20" ht="28">
      <c r="A146" s="67" t="s">
        <v>221</v>
      </c>
      <c r="B146" s="63" t="s">
        <v>396</v>
      </c>
      <c r="C146" s="5"/>
      <c r="D146" s="5" t="s">
        <v>270</v>
      </c>
      <c r="E146" s="132">
        <f t="shared" si="20"/>
        <v>2.5522864450127876</v>
      </c>
      <c r="F146" s="139">
        <f t="shared" si="25"/>
        <v>2.4236163682864453</v>
      </c>
      <c r="G146" s="149"/>
      <c r="H146" s="82" t="str">
        <f t="shared" si="21"/>
        <v>3.6 percent up in Gelasian international stage</v>
      </c>
      <c r="I146" s="142" t="str">
        <f t="shared" si="22"/>
        <v>20.2 percent up in Gelasian international stage</v>
      </c>
      <c r="J146" s="7">
        <v>3.5805626598465534E-2</v>
      </c>
      <c r="K146" s="129">
        <f t="shared" si="23"/>
        <v>3.6</v>
      </c>
      <c r="L146" s="8" t="s">
        <v>24</v>
      </c>
      <c r="M146" s="5" t="s">
        <v>82</v>
      </c>
      <c r="N146" s="5" t="s">
        <v>82</v>
      </c>
      <c r="O146" s="83"/>
      <c r="P146" s="20">
        <v>0.20204603580562649</v>
      </c>
      <c r="Q146" s="143">
        <f t="shared" si="24"/>
        <v>20.2</v>
      </c>
      <c r="R146" s="21" t="s">
        <v>24</v>
      </c>
      <c r="S146" s="8" t="s">
        <v>259</v>
      </c>
      <c r="T146" s="7">
        <v>0.16624040920716049</v>
      </c>
    </row>
    <row r="147" spans="1:20" ht="28">
      <c r="A147" s="67" t="s">
        <v>221</v>
      </c>
      <c r="B147" s="63" t="s">
        <v>397</v>
      </c>
      <c r="C147" s="5"/>
      <c r="D147" s="5" t="s">
        <v>283</v>
      </c>
      <c r="E147" s="132">
        <f t="shared" si="20"/>
        <v>2.58</v>
      </c>
      <c r="F147" s="139">
        <f t="shared" si="25"/>
        <v>2.3939232736572889</v>
      </c>
      <c r="G147" s="149"/>
      <c r="H147" s="82" t="str">
        <f t="shared" si="21"/>
        <v>0 percent up in Gelasian international stage</v>
      </c>
      <c r="I147" s="142" t="str">
        <f t="shared" si="22"/>
        <v>24 percent up in Gelasian international stage</v>
      </c>
      <c r="J147" s="7">
        <v>0</v>
      </c>
      <c r="K147" s="129">
        <f t="shared" si="23"/>
        <v>0</v>
      </c>
      <c r="L147" s="8" t="s">
        <v>24</v>
      </c>
      <c r="M147" s="5" t="s">
        <v>82</v>
      </c>
      <c r="N147" s="5" t="s">
        <v>82</v>
      </c>
      <c r="O147" s="83"/>
      <c r="P147" s="20">
        <v>0.24040920716112552</v>
      </c>
      <c r="Q147" s="143">
        <f t="shared" si="24"/>
        <v>24</v>
      </c>
      <c r="R147" s="21" t="s">
        <v>24</v>
      </c>
      <c r="S147" s="8" t="s">
        <v>230</v>
      </c>
      <c r="T147" s="7" t="s">
        <v>226</v>
      </c>
    </row>
    <row r="148" spans="1:20" ht="28">
      <c r="A148" s="67" t="s">
        <v>221</v>
      </c>
      <c r="B148" s="63" t="s">
        <v>398</v>
      </c>
      <c r="C148" s="5"/>
      <c r="D148" s="5" t="s">
        <v>250</v>
      </c>
      <c r="E148" s="132">
        <f t="shared" si="20"/>
        <v>2.58</v>
      </c>
      <c r="F148" s="139">
        <f t="shared" si="25"/>
        <v>2.3939232736572889</v>
      </c>
      <c r="G148" s="149"/>
      <c r="H148" s="82" t="str">
        <f t="shared" si="21"/>
        <v>0 percent up in Gelasian international stage</v>
      </c>
      <c r="I148" s="142" t="str">
        <f t="shared" si="22"/>
        <v>24 percent up in Gelasian international stage</v>
      </c>
      <c r="J148" s="7">
        <v>0</v>
      </c>
      <c r="K148" s="129">
        <f t="shared" si="23"/>
        <v>0</v>
      </c>
      <c r="L148" s="8" t="s">
        <v>24</v>
      </c>
      <c r="M148" s="5" t="s">
        <v>82</v>
      </c>
      <c r="N148" s="5" t="s">
        <v>82</v>
      </c>
      <c r="O148" s="83"/>
      <c r="P148" s="20">
        <v>0.24040920716112552</v>
      </c>
      <c r="Q148" s="143">
        <f t="shared" si="24"/>
        <v>24</v>
      </c>
      <c r="R148" s="21" t="s">
        <v>24</v>
      </c>
      <c r="S148" s="8" t="s">
        <v>230</v>
      </c>
      <c r="T148" s="7" t="s">
        <v>226</v>
      </c>
    </row>
    <row r="149" spans="1:20" ht="28">
      <c r="A149" s="67" t="s">
        <v>221</v>
      </c>
      <c r="B149" s="63" t="s">
        <v>399</v>
      </c>
      <c r="C149" s="5"/>
      <c r="D149" s="5" t="s">
        <v>270</v>
      </c>
      <c r="E149" s="132">
        <f t="shared" si="20"/>
        <v>2.58</v>
      </c>
      <c r="F149" s="139">
        <f t="shared" si="25"/>
        <v>2.3939232736572889</v>
      </c>
      <c r="G149" s="149"/>
      <c r="H149" s="82" t="str">
        <f t="shared" si="21"/>
        <v>0 percent up in Gelasian international stage</v>
      </c>
      <c r="I149" s="142" t="str">
        <f t="shared" si="22"/>
        <v>24 percent up in Gelasian international stage</v>
      </c>
      <c r="J149" s="7">
        <v>0</v>
      </c>
      <c r="K149" s="129">
        <f t="shared" si="23"/>
        <v>0</v>
      </c>
      <c r="L149" s="8" t="s">
        <v>24</v>
      </c>
      <c r="M149" s="5" t="s">
        <v>82</v>
      </c>
      <c r="N149" s="5" t="s">
        <v>82</v>
      </c>
      <c r="O149" s="83"/>
      <c r="P149" s="20">
        <v>0.24040920716112552</v>
      </c>
      <c r="Q149" s="143">
        <f t="shared" si="24"/>
        <v>24</v>
      </c>
      <c r="R149" s="21" t="s">
        <v>24</v>
      </c>
      <c r="S149" s="8" t="s">
        <v>230</v>
      </c>
      <c r="T149" s="7" t="s">
        <v>226</v>
      </c>
    </row>
    <row r="150" spans="1:20" ht="28">
      <c r="A150" s="67" t="s">
        <v>221</v>
      </c>
      <c r="B150" s="63" t="s">
        <v>400</v>
      </c>
      <c r="C150" s="5"/>
      <c r="D150" s="5" t="s">
        <v>283</v>
      </c>
      <c r="E150" s="132">
        <f t="shared" si="20"/>
        <v>2.58</v>
      </c>
      <c r="F150" s="139">
        <f t="shared" si="25"/>
        <v>2.3939232736572889</v>
      </c>
      <c r="G150" s="149"/>
      <c r="H150" s="82" t="str">
        <f t="shared" si="21"/>
        <v>0 percent up in Gelasian international stage</v>
      </c>
      <c r="I150" s="142" t="str">
        <f t="shared" si="22"/>
        <v>24 percent up in Gelasian international stage</v>
      </c>
      <c r="J150" s="7">
        <v>0</v>
      </c>
      <c r="K150" s="129">
        <f t="shared" si="23"/>
        <v>0</v>
      </c>
      <c r="L150" s="8" t="s">
        <v>24</v>
      </c>
      <c r="M150" s="5" t="s">
        <v>82</v>
      </c>
      <c r="N150" s="5" t="s">
        <v>82</v>
      </c>
      <c r="O150" s="83"/>
      <c r="P150" s="20">
        <v>0.24040920716112552</v>
      </c>
      <c r="Q150" s="143">
        <f t="shared" si="24"/>
        <v>24</v>
      </c>
      <c r="R150" s="21" t="s">
        <v>24</v>
      </c>
      <c r="S150" s="8" t="s">
        <v>230</v>
      </c>
      <c r="T150" s="7" t="s">
        <v>226</v>
      </c>
    </row>
    <row r="151" spans="1:20" ht="28">
      <c r="A151" s="67" t="s">
        <v>221</v>
      </c>
      <c r="B151" s="63" t="s">
        <v>401</v>
      </c>
      <c r="C151" s="5"/>
      <c r="D151" s="5" t="s">
        <v>283</v>
      </c>
      <c r="E151" s="132">
        <f t="shared" si="20"/>
        <v>2.58</v>
      </c>
      <c r="F151" s="139">
        <f>$O$121-P151*($O$121-$O$76)</f>
        <v>0.77300000000000013</v>
      </c>
      <c r="G151" s="149"/>
      <c r="H151" s="82" t="str">
        <f t="shared" si="21"/>
        <v>0 percent up in Gelasian international stage</v>
      </c>
      <c r="I151" s="142" t="str">
        <f t="shared" si="22"/>
        <v>100 percent up in Calabrian international stage</v>
      </c>
      <c r="J151" s="7">
        <v>0</v>
      </c>
      <c r="K151" s="129">
        <f t="shared" si="23"/>
        <v>0</v>
      </c>
      <c r="L151" s="8" t="s">
        <v>24</v>
      </c>
      <c r="M151" s="5" t="s">
        <v>82</v>
      </c>
      <c r="N151" s="5" t="s">
        <v>82</v>
      </c>
      <c r="O151" s="83"/>
      <c r="P151" s="20">
        <v>1</v>
      </c>
      <c r="Q151" s="143">
        <f t="shared" si="24"/>
        <v>100</v>
      </c>
      <c r="R151" s="21" t="s">
        <v>21</v>
      </c>
      <c r="S151" s="8" t="s">
        <v>232</v>
      </c>
      <c r="T151" s="7" t="s">
        <v>226</v>
      </c>
    </row>
    <row r="152" spans="1:20" ht="28">
      <c r="A152" s="67" t="s">
        <v>221</v>
      </c>
      <c r="B152" s="65" t="s">
        <v>402</v>
      </c>
      <c r="C152" s="5"/>
      <c r="D152" s="5" t="s">
        <v>229</v>
      </c>
      <c r="E152" s="132">
        <f t="shared" si="20"/>
        <v>2.58</v>
      </c>
      <c r="F152" s="139">
        <f>$O$155-P152*($O$155-$O$121)</f>
        <v>1.806</v>
      </c>
      <c r="G152" s="149"/>
      <c r="H152" s="82" t="str">
        <f t="shared" si="21"/>
        <v>0 percent up in Gelasian international stage</v>
      </c>
      <c r="I152" s="142" t="str">
        <f t="shared" si="22"/>
        <v>100 percent up in Gelasian international stage</v>
      </c>
      <c r="J152" s="7">
        <v>0</v>
      </c>
      <c r="K152" s="129">
        <f t="shared" si="23"/>
        <v>0</v>
      </c>
      <c r="L152" s="8" t="s">
        <v>24</v>
      </c>
      <c r="M152" s="5" t="s">
        <v>82</v>
      </c>
      <c r="N152" s="5" t="s">
        <v>82</v>
      </c>
      <c r="O152" s="83"/>
      <c r="P152" s="20">
        <v>1</v>
      </c>
      <c r="Q152" s="143">
        <f t="shared" si="24"/>
        <v>100</v>
      </c>
      <c r="R152" s="21" t="s">
        <v>24</v>
      </c>
      <c r="S152" s="8" t="s">
        <v>232</v>
      </c>
      <c r="T152" s="7" t="s">
        <v>226</v>
      </c>
    </row>
    <row r="153" spans="1:20" ht="28">
      <c r="A153" s="67" t="s">
        <v>221</v>
      </c>
      <c r="B153" s="65" t="s">
        <v>24</v>
      </c>
      <c r="C153" s="134" t="s">
        <v>7</v>
      </c>
      <c r="D153" s="134" t="s">
        <v>222</v>
      </c>
      <c r="E153" s="132">
        <f t="shared" si="20"/>
        <v>2.58</v>
      </c>
      <c r="F153" s="139">
        <f>$O$155-P153*($O$155-$O$121)</f>
        <v>1.806</v>
      </c>
      <c r="G153" s="149"/>
      <c r="H153" s="82" t="str">
        <f t="shared" si="21"/>
        <v>0 percent up in Gelasian international stage</v>
      </c>
      <c r="I153" s="142" t="str">
        <f t="shared" si="22"/>
        <v>100 percent up in Gelasian international stage</v>
      </c>
      <c r="J153" s="7">
        <v>0</v>
      </c>
      <c r="K153" s="129">
        <f t="shared" si="23"/>
        <v>0</v>
      </c>
      <c r="L153" s="8" t="s">
        <v>24</v>
      </c>
      <c r="M153" s="5" t="s">
        <v>224</v>
      </c>
      <c r="N153" s="5" t="s">
        <v>403</v>
      </c>
      <c r="O153" s="84">
        <f>Master_Chronostrat!I11</f>
        <v>2.58</v>
      </c>
      <c r="P153" s="20">
        <v>1</v>
      </c>
      <c r="Q153" s="143">
        <f t="shared" si="24"/>
        <v>100</v>
      </c>
      <c r="R153" s="21" t="s">
        <v>24</v>
      </c>
      <c r="S153" s="8" t="s">
        <v>224</v>
      </c>
      <c r="T153" s="7" t="s">
        <v>226</v>
      </c>
    </row>
    <row r="154" spans="1:20" ht="28">
      <c r="A154" s="67" t="s">
        <v>221</v>
      </c>
      <c r="B154" s="65" t="s">
        <v>23</v>
      </c>
      <c r="C154" s="134" t="s">
        <v>5</v>
      </c>
      <c r="D154" s="134" t="s">
        <v>222</v>
      </c>
      <c r="E154" s="132">
        <f t="shared" si="20"/>
        <v>2.58</v>
      </c>
      <c r="F154" s="139">
        <v>1.2E-2</v>
      </c>
      <c r="G154" s="149"/>
      <c r="H154" s="82" t="str">
        <f t="shared" si="21"/>
        <v>0 percent up in Gelasian international stage</v>
      </c>
      <c r="I154" s="142" t="str">
        <f t="shared" si="22"/>
        <v>100 percent up in Pleistocene Upper international stage</v>
      </c>
      <c r="J154" s="7">
        <v>0</v>
      </c>
      <c r="K154" s="129">
        <f t="shared" si="23"/>
        <v>0</v>
      </c>
      <c r="L154" s="8" t="s">
        <v>24</v>
      </c>
      <c r="M154" s="5" t="s">
        <v>224</v>
      </c>
      <c r="N154" s="5" t="s">
        <v>404</v>
      </c>
      <c r="O154" s="84">
        <f>Master_Chronostrat!I11</f>
        <v>2.58</v>
      </c>
      <c r="P154" s="20">
        <v>1</v>
      </c>
      <c r="Q154" s="143">
        <f t="shared" si="24"/>
        <v>100</v>
      </c>
      <c r="R154" s="21" t="s">
        <v>245</v>
      </c>
      <c r="S154" s="8" t="s">
        <v>239</v>
      </c>
      <c r="T154" s="7" t="s">
        <v>226</v>
      </c>
    </row>
    <row r="155" spans="1:20" ht="28">
      <c r="A155" s="67" t="s">
        <v>221</v>
      </c>
      <c r="B155" s="65" t="s">
        <v>22</v>
      </c>
      <c r="C155" s="134" t="s">
        <v>405</v>
      </c>
      <c r="D155" s="134" t="s">
        <v>222</v>
      </c>
      <c r="E155" s="132">
        <f t="shared" si="20"/>
        <v>2.58</v>
      </c>
      <c r="F155" s="139">
        <f>$O$4-P155*($O$4-$O$3)</f>
        <v>0</v>
      </c>
      <c r="G155" s="149"/>
      <c r="H155" s="82" t="str">
        <f t="shared" si="21"/>
        <v>0 percent up in Gelasian international stage</v>
      </c>
      <c r="I155" s="142" t="str">
        <f t="shared" si="22"/>
        <v>100 percent up in Meghalayan international stage</v>
      </c>
      <c r="J155" s="7">
        <v>0</v>
      </c>
      <c r="K155" s="129">
        <f t="shared" si="23"/>
        <v>0</v>
      </c>
      <c r="L155" s="8" t="s">
        <v>24</v>
      </c>
      <c r="M155" s="5" t="s">
        <v>224</v>
      </c>
      <c r="N155" s="5" t="s">
        <v>406</v>
      </c>
      <c r="O155" s="84">
        <f>Master_Chronostrat!I11</f>
        <v>2.58</v>
      </c>
      <c r="P155" s="20">
        <v>1</v>
      </c>
      <c r="Q155" s="143">
        <f t="shared" si="24"/>
        <v>100</v>
      </c>
      <c r="R155" s="21" t="s">
        <v>13</v>
      </c>
      <c r="S155" s="8" t="s">
        <v>239</v>
      </c>
      <c r="T155" s="7" t="s">
        <v>226</v>
      </c>
    </row>
    <row r="156" spans="1:20" ht="28">
      <c r="A156" s="74" t="s">
        <v>407</v>
      </c>
      <c r="B156" s="68" t="s">
        <v>408</v>
      </c>
      <c r="C156" s="5"/>
      <c r="D156" s="5" t="s">
        <v>236</v>
      </c>
      <c r="E156" s="132">
        <f t="shared" ref="E156:E178" si="26">$O$178-J156*($O$178-$O$155)</f>
        <v>2.5920948616600792</v>
      </c>
      <c r="F156" s="139">
        <f>$O$155-P156*($O$155-$O$121)</f>
        <v>1.9584245524296673</v>
      </c>
      <c r="G156" s="149"/>
      <c r="H156" s="82" t="str">
        <f t="shared" si="21"/>
        <v>98.8 percent up in Piacenzian international stage</v>
      </c>
      <c r="I156" s="142" t="str">
        <f t="shared" si="22"/>
        <v>80.3 percent up in Gelasian international stage</v>
      </c>
      <c r="J156" s="7">
        <v>0.98814229249011853</v>
      </c>
      <c r="K156" s="129">
        <f t="shared" si="23"/>
        <v>98.8</v>
      </c>
      <c r="L156" s="8" t="s">
        <v>25</v>
      </c>
      <c r="M156" s="5" t="s">
        <v>82</v>
      </c>
      <c r="N156" s="5" t="s">
        <v>82</v>
      </c>
      <c r="O156" s="83"/>
      <c r="P156" s="20">
        <v>0.80306905370844006</v>
      </c>
      <c r="Q156" s="143">
        <f t="shared" si="24"/>
        <v>80.3</v>
      </c>
      <c r="R156" s="21" t="s">
        <v>24</v>
      </c>
      <c r="S156" s="8" t="s">
        <v>246</v>
      </c>
      <c r="T156" s="7" t="s">
        <v>226</v>
      </c>
    </row>
    <row r="157" spans="1:20" ht="28">
      <c r="A157" s="74" t="s">
        <v>407</v>
      </c>
      <c r="B157" s="69" t="s">
        <v>409</v>
      </c>
      <c r="C157" s="5"/>
      <c r="D157" s="5" t="s">
        <v>258</v>
      </c>
      <c r="E157" s="132">
        <f t="shared" si="26"/>
        <v>2.6021739130434782</v>
      </c>
      <c r="F157" s="139">
        <f>$O$155-P157*($O$155-$O$121)</f>
        <v>2.156378516624041</v>
      </c>
      <c r="G157" s="149"/>
      <c r="H157" s="82" t="str">
        <f t="shared" si="21"/>
        <v>97.8 percent up in Piacenzian international stage</v>
      </c>
      <c r="I157" s="142" t="str">
        <f t="shared" si="22"/>
        <v>54.7 percent up in Gelasian international stage</v>
      </c>
      <c r="J157" s="7">
        <v>0.97826086956521763</v>
      </c>
      <c r="K157" s="129">
        <f t="shared" si="23"/>
        <v>97.8</v>
      </c>
      <c r="L157" s="8" t="s">
        <v>25</v>
      </c>
      <c r="M157" s="5" t="s">
        <v>82</v>
      </c>
      <c r="N157" s="5" t="s">
        <v>82</v>
      </c>
      <c r="O157" s="83"/>
      <c r="P157" s="20">
        <v>0.54731457800511496</v>
      </c>
      <c r="Q157" s="143">
        <f t="shared" si="24"/>
        <v>54.7</v>
      </c>
      <c r="R157" s="21" t="s">
        <v>24</v>
      </c>
      <c r="S157" s="8" t="s">
        <v>246</v>
      </c>
      <c r="T157" s="7" t="s">
        <v>226</v>
      </c>
    </row>
    <row r="158" spans="1:20" ht="28">
      <c r="A158" s="74" t="s">
        <v>407</v>
      </c>
      <c r="B158" s="69" t="s">
        <v>410</v>
      </c>
      <c r="C158" s="5"/>
      <c r="D158" s="5" t="s">
        <v>270</v>
      </c>
      <c r="E158" s="132">
        <f t="shared" si="26"/>
        <v>2.6223320158102768</v>
      </c>
      <c r="F158" s="139">
        <f>$O$155-P158*($O$155-$O$121)</f>
        <v>2.5522864450127876</v>
      </c>
      <c r="G158" s="149"/>
      <c r="H158" s="82" t="str">
        <f t="shared" si="21"/>
        <v>95.8 percent up in Piacenzian international stage</v>
      </c>
      <c r="I158" s="142" t="str">
        <f t="shared" si="22"/>
        <v>3.6 percent up in Gelasian international stage</v>
      </c>
      <c r="J158" s="7">
        <v>0.95849802371541526</v>
      </c>
      <c r="K158" s="129">
        <f t="shared" si="23"/>
        <v>95.8</v>
      </c>
      <c r="L158" s="8" t="s">
        <v>25</v>
      </c>
      <c r="M158" s="5" t="s">
        <v>82</v>
      </c>
      <c r="N158" s="5" t="s">
        <v>82</v>
      </c>
      <c r="O158" s="83"/>
      <c r="P158" s="20">
        <v>3.5805626598465506E-2</v>
      </c>
      <c r="Q158" s="143">
        <f t="shared" si="24"/>
        <v>3.6</v>
      </c>
      <c r="R158" s="21" t="s">
        <v>24</v>
      </c>
      <c r="S158" s="8" t="s">
        <v>246</v>
      </c>
      <c r="T158" s="7" t="s">
        <v>226</v>
      </c>
    </row>
    <row r="159" spans="1:20" ht="28">
      <c r="A159" s="74" t="s">
        <v>407</v>
      </c>
      <c r="B159" s="69" t="s">
        <v>411</v>
      </c>
      <c r="C159" s="5"/>
      <c r="D159" s="5" t="s">
        <v>270</v>
      </c>
      <c r="E159" s="132">
        <f t="shared" si="26"/>
        <v>2.6928853754940714</v>
      </c>
      <c r="F159" s="139">
        <f>$O$178-P159*($O$178-$O$155)</f>
        <v>2.6223320158102768</v>
      </c>
      <c r="G159" s="149"/>
      <c r="H159" s="82" t="str">
        <f t="shared" si="21"/>
        <v>88.9 percent up in Piacenzian international stage</v>
      </c>
      <c r="I159" s="142" t="str">
        <f t="shared" si="22"/>
        <v>95.8 percent up in Piacenzian international stage</v>
      </c>
      <c r="J159" s="7">
        <v>0.88932806324110658</v>
      </c>
      <c r="K159" s="129">
        <f t="shared" si="23"/>
        <v>88.9</v>
      </c>
      <c r="L159" s="8" t="s">
        <v>25</v>
      </c>
      <c r="M159" s="5" t="s">
        <v>82</v>
      </c>
      <c r="N159" s="5" t="s">
        <v>82</v>
      </c>
      <c r="O159" s="83"/>
      <c r="P159" s="20">
        <v>0.95849802371541515</v>
      </c>
      <c r="Q159" s="143">
        <f t="shared" si="24"/>
        <v>95.8</v>
      </c>
      <c r="R159" s="21" t="s">
        <v>25</v>
      </c>
      <c r="S159" s="8" t="s">
        <v>259</v>
      </c>
      <c r="T159" s="7">
        <v>6.9169960474308442E-2</v>
      </c>
    </row>
    <row r="160" spans="1:20" ht="28">
      <c r="A160" s="74" t="s">
        <v>407</v>
      </c>
      <c r="B160" s="68" t="s">
        <v>412</v>
      </c>
      <c r="C160" s="5"/>
      <c r="D160" s="5" t="s">
        <v>234</v>
      </c>
      <c r="E160" s="132">
        <f t="shared" si="26"/>
        <v>2.8944664031620553</v>
      </c>
      <c r="F160" s="139">
        <f>$O$155-P160*($O$155-$O$121)</f>
        <v>2.1959693094629156</v>
      </c>
      <c r="G160" s="149"/>
      <c r="H160" s="82" t="str">
        <f t="shared" si="21"/>
        <v>69.2 percent up in Piacenzian international stage</v>
      </c>
      <c r="I160" s="142" t="str">
        <f t="shared" si="22"/>
        <v>49.6 percent up in Gelasian international stage</v>
      </c>
      <c r="J160" s="7">
        <v>0.69169960474308323</v>
      </c>
      <c r="K160" s="129">
        <f t="shared" si="23"/>
        <v>69.2</v>
      </c>
      <c r="L160" s="8" t="s">
        <v>25</v>
      </c>
      <c r="M160" s="5" t="s">
        <v>82</v>
      </c>
      <c r="N160" s="5" t="s">
        <v>82</v>
      </c>
      <c r="O160" s="83"/>
      <c r="P160" s="20">
        <v>0.49616368286445001</v>
      </c>
      <c r="Q160" s="143">
        <f t="shared" si="24"/>
        <v>49.6</v>
      </c>
      <c r="R160" s="21" t="s">
        <v>24</v>
      </c>
      <c r="S160" s="8" t="s">
        <v>246</v>
      </c>
      <c r="T160" s="7" t="s">
        <v>226</v>
      </c>
    </row>
    <row r="161" spans="1:20" ht="28">
      <c r="A161" s="74" t="s">
        <v>407</v>
      </c>
      <c r="B161" s="69" t="s">
        <v>413</v>
      </c>
      <c r="C161" s="5"/>
      <c r="D161" s="5" t="s">
        <v>292</v>
      </c>
      <c r="E161" s="132">
        <f t="shared" si="26"/>
        <v>2.9952569169960475</v>
      </c>
      <c r="F161" s="139">
        <f>$O$155-P161*($O$155-$O$121)</f>
        <v>2.3968925831202048</v>
      </c>
      <c r="G161" s="149"/>
      <c r="H161" s="82" t="str">
        <f t="shared" si="21"/>
        <v>59.3 percent up in Piacenzian international stage</v>
      </c>
      <c r="I161" s="142" t="str">
        <f t="shared" si="22"/>
        <v>23.7 percent up in Gelasian international stage</v>
      </c>
      <c r="J161" s="7">
        <v>0.59288537549407128</v>
      </c>
      <c r="K161" s="129">
        <f t="shared" si="23"/>
        <v>59.3</v>
      </c>
      <c r="L161" s="8" t="s">
        <v>25</v>
      </c>
      <c r="M161" s="5" t="s">
        <v>82</v>
      </c>
      <c r="N161" s="5" t="s">
        <v>82</v>
      </c>
      <c r="O161" s="83"/>
      <c r="P161" s="20">
        <v>0.23657289002557549</v>
      </c>
      <c r="Q161" s="143">
        <f t="shared" si="24"/>
        <v>23.7</v>
      </c>
      <c r="R161" s="21" t="s">
        <v>24</v>
      </c>
      <c r="S161" s="8" t="s">
        <v>246</v>
      </c>
      <c r="T161" s="7" t="s">
        <v>226</v>
      </c>
    </row>
    <row r="162" spans="1:20" ht="28">
      <c r="A162" s="74" t="s">
        <v>407</v>
      </c>
      <c r="B162" s="68" t="s">
        <v>414</v>
      </c>
      <c r="C162" s="5"/>
      <c r="D162" s="5" t="s">
        <v>354</v>
      </c>
      <c r="E162" s="132">
        <f t="shared" si="26"/>
        <v>2.9952569169960475</v>
      </c>
      <c r="F162" s="139">
        <f>$O$155-P162*($O$155-$O$121)</f>
        <v>1.8990383631713554</v>
      </c>
      <c r="G162" s="149"/>
      <c r="H162" s="82" t="str">
        <f t="shared" si="21"/>
        <v>59.3 percent up in Piacenzian international stage</v>
      </c>
      <c r="I162" s="142" t="str">
        <f t="shared" si="22"/>
        <v>88 percent up in Gelasian international stage</v>
      </c>
      <c r="J162" s="7">
        <v>0.59288537549407128</v>
      </c>
      <c r="K162" s="129">
        <f t="shared" si="23"/>
        <v>59.3</v>
      </c>
      <c r="L162" s="8" t="s">
        <v>25</v>
      </c>
      <c r="M162" s="5" t="s">
        <v>82</v>
      </c>
      <c r="N162" s="5" t="s">
        <v>82</v>
      </c>
      <c r="O162" s="83"/>
      <c r="P162" s="20">
        <v>0.87979539641943749</v>
      </c>
      <c r="Q162" s="143">
        <f t="shared" si="24"/>
        <v>88</v>
      </c>
      <c r="R162" s="21" t="s">
        <v>24</v>
      </c>
      <c r="S162" s="8" t="s">
        <v>246</v>
      </c>
      <c r="T162" s="7" t="s">
        <v>226</v>
      </c>
    </row>
    <row r="163" spans="1:20" ht="28">
      <c r="A163" s="74" t="s">
        <v>407</v>
      </c>
      <c r="B163" s="69" t="s">
        <v>415</v>
      </c>
      <c r="C163" s="5"/>
      <c r="D163" s="5" t="s">
        <v>322</v>
      </c>
      <c r="E163" s="132">
        <f t="shared" si="26"/>
        <v>2.9952569169960475</v>
      </c>
      <c r="F163" s="139">
        <f>$O$121-P163*($O$121-$O$76)</f>
        <v>1.195270243902439</v>
      </c>
      <c r="G163" s="149"/>
      <c r="H163" s="82" t="str">
        <f t="shared" si="21"/>
        <v>59.3 percent up in Piacenzian international stage</v>
      </c>
      <c r="I163" s="142" t="str">
        <f t="shared" si="22"/>
        <v>59.1 percent up in Calabrian international stage</v>
      </c>
      <c r="J163" s="7">
        <v>0.59288537549407128</v>
      </c>
      <c r="K163" s="129">
        <f t="shared" si="23"/>
        <v>59.3</v>
      </c>
      <c r="L163" s="8" t="s">
        <v>25</v>
      </c>
      <c r="M163" s="5" t="s">
        <v>82</v>
      </c>
      <c r="N163" s="5" t="s">
        <v>82</v>
      </c>
      <c r="O163" s="83"/>
      <c r="P163" s="20">
        <v>0.59121951219512214</v>
      </c>
      <c r="Q163" s="143">
        <f t="shared" si="24"/>
        <v>59.1</v>
      </c>
      <c r="R163" s="21" t="s">
        <v>21</v>
      </c>
      <c r="S163" s="8" t="s">
        <v>246</v>
      </c>
      <c r="T163" s="7" t="s">
        <v>226</v>
      </c>
    </row>
    <row r="164" spans="1:20" ht="28">
      <c r="A164" s="74" t="s">
        <v>407</v>
      </c>
      <c r="B164" s="68" t="s">
        <v>416</v>
      </c>
      <c r="C164" s="5"/>
      <c r="D164" s="5" t="s">
        <v>82</v>
      </c>
      <c r="E164" s="132">
        <f t="shared" si="26"/>
        <v>3.09</v>
      </c>
      <c r="F164" s="139">
        <f>$O$178-P164*($O$178-$O$155)</f>
        <v>2.58</v>
      </c>
      <c r="G164" s="149"/>
      <c r="H164" s="82" t="str">
        <f t="shared" si="21"/>
        <v>50 percent up in Piacenzian international stage</v>
      </c>
      <c r="I164" s="142" t="str">
        <f t="shared" si="22"/>
        <v>100 percent up in Piacenzian international stage</v>
      </c>
      <c r="J164" s="7">
        <v>0.50000000000000022</v>
      </c>
      <c r="K164" s="129">
        <f t="shared" si="23"/>
        <v>50</v>
      </c>
      <c r="L164" s="8" t="s">
        <v>25</v>
      </c>
      <c r="M164" s="5" t="s">
        <v>82</v>
      </c>
      <c r="N164" s="5" t="s">
        <v>82</v>
      </c>
      <c r="O164" s="83"/>
      <c r="P164" s="20">
        <v>1</v>
      </c>
      <c r="Q164" s="143">
        <f t="shared" si="24"/>
        <v>100</v>
      </c>
      <c r="R164" s="21" t="s">
        <v>25</v>
      </c>
      <c r="S164" s="8" t="s">
        <v>272</v>
      </c>
      <c r="T164" s="7" t="s">
        <v>226</v>
      </c>
    </row>
    <row r="165" spans="1:20" ht="28">
      <c r="A165" s="74" t="s">
        <v>407</v>
      </c>
      <c r="B165" s="69" t="s">
        <v>417</v>
      </c>
      <c r="C165" s="5"/>
      <c r="D165" s="5" t="s">
        <v>236</v>
      </c>
      <c r="E165" s="132">
        <f t="shared" si="26"/>
        <v>3.0960474308300396</v>
      </c>
      <c r="F165" s="139">
        <f>$O$155-P165*($O$155-$O$121)</f>
        <v>2.1959693094629156</v>
      </c>
      <c r="G165" s="149"/>
      <c r="H165" s="82" t="str">
        <f t="shared" si="21"/>
        <v>49.4 percent up in Piacenzian international stage</v>
      </c>
      <c r="I165" s="142" t="str">
        <f t="shared" si="22"/>
        <v>49.6 percent up in Gelasian international stage</v>
      </c>
      <c r="J165" s="7">
        <v>0.49407114624505932</v>
      </c>
      <c r="K165" s="129">
        <f t="shared" si="23"/>
        <v>49.4</v>
      </c>
      <c r="L165" s="8" t="s">
        <v>25</v>
      </c>
      <c r="M165" s="5" t="s">
        <v>82</v>
      </c>
      <c r="N165" s="5" t="s">
        <v>82</v>
      </c>
      <c r="O165" s="83"/>
      <c r="P165" s="20">
        <v>0.49616368286445001</v>
      </c>
      <c r="Q165" s="143">
        <f t="shared" si="24"/>
        <v>49.6</v>
      </c>
      <c r="R165" s="21" t="s">
        <v>24</v>
      </c>
      <c r="S165" s="8" t="s">
        <v>246</v>
      </c>
      <c r="T165" s="7" t="s">
        <v>226</v>
      </c>
    </row>
    <row r="166" spans="1:20" ht="28">
      <c r="A166" s="74" t="s">
        <v>407</v>
      </c>
      <c r="B166" s="68" t="s">
        <v>418</v>
      </c>
      <c r="C166" s="5"/>
      <c r="D166" s="5" t="s">
        <v>82</v>
      </c>
      <c r="E166" s="132">
        <f t="shared" si="26"/>
        <v>3.1968379446640318</v>
      </c>
      <c r="F166" s="139">
        <f>$O$178-P166*($O$178-$O$155)</f>
        <v>2.58</v>
      </c>
      <c r="G166" s="149"/>
      <c r="H166" s="82" t="str">
        <f t="shared" si="21"/>
        <v>39.5 percent up in Piacenzian international stage</v>
      </c>
      <c r="I166" s="142" t="str">
        <f t="shared" si="22"/>
        <v>100 percent up in Piacenzian international stage</v>
      </c>
      <c r="J166" s="7">
        <v>0.39525691699604737</v>
      </c>
      <c r="K166" s="129">
        <f t="shared" si="23"/>
        <v>39.5</v>
      </c>
      <c r="L166" s="8" t="s">
        <v>25</v>
      </c>
      <c r="M166" s="5" t="s">
        <v>82</v>
      </c>
      <c r="N166" s="5" t="s">
        <v>82</v>
      </c>
      <c r="O166" s="83"/>
      <c r="P166" s="20">
        <v>1</v>
      </c>
      <c r="Q166" s="143">
        <f t="shared" si="24"/>
        <v>100</v>
      </c>
      <c r="R166" s="21" t="s">
        <v>25</v>
      </c>
      <c r="S166" s="8" t="s">
        <v>272</v>
      </c>
      <c r="T166" s="7" t="s">
        <v>226</v>
      </c>
    </row>
    <row r="167" spans="1:20" ht="28">
      <c r="A167" s="74" t="s">
        <v>407</v>
      </c>
      <c r="B167" s="68" t="s">
        <v>419</v>
      </c>
      <c r="C167" s="5"/>
      <c r="D167" s="5" t="s">
        <v>368</v>
      </c>
      <c r="E167" s="132">
        <f t="shared" si="26"/>
        <v>3.3984189723320157</v>
      </c>
      <c r="F167" s="139">
        <f>$O$155-P167*($O$155-$O$121)</f>
        <v>1.9980153452685423</v>
      </c>
      <c r="G167" s="149"/>
      <c r="H167" s="82" t="str">
        <f t="shared" si="21"/>
        <v>19.8 percent up in Piacenzian international stage</v>
      </c>
      <c r="I167" s="142" t="str">
        <f t="shared" si="22"/>
        <v>75.2 percent up in Gelasian international stage</v>
      </c>
      <c r="J167" s="7">
        <v>0.19762845849802391</v>
      </c>
      <c r="K167" s="129">
        <f t="shared" si="23"/>
        <v>19.8</v>
      </c>
      <c r="L167" s="8" t="s">
        <v>25</v>
      </c>
      <c r="M167" s="5" t="s">
        <v>82</v>
      </c>
      <c r="N167" s="5" t="s">
        <v>82</v>
      </c>
      <c r="O167" s="83"/>
      <c r="P167" s="20">
        <v>0.751918158567775</v>
      </c>
      <c r="Q167" s="143">
        <f t="shared" si="24"/>
        <v>75.2</v>
      </c>
      <c r="R167" s="21" t="s">
        <v>24</v>
      </c>
      <c r="S167" s="8" t="s">
        <v>246</v>
      </c>
      <c r="T167" s="7" t="s">
        <v>226</v>
      </c>
    </row>
    <row r="168" spans="1:20" ht="28">
      <c r="A168" s="74" t="s">
        <v>407</v>
      </c>
      <c r="B168" s="69" t="s">
        <v>420</v>
      </c>
      <c r="C168" s="5"/>
      <c r="D168" s="5" t="s">
        <v>390</v>
      </c>
      <c r="E168" s="132">
        <f t="shared" si="26"/>
        <v>3.4992094861660079</v>
      </c>
      <c r="F168" s="139">
        <f>$O$155-P168*($O$155-$O$121)</f>
        <v>2.4929002557544755</v>
      </c>
      <c r="G168" s="149"/>
      <c r="H168" s="82" t="str">
        <f t="shared" si="21"/>
        <v>9.9 percent up in Piacenzian international stage</v>
      </c>
      <c r="I168" s="142" t="str">
        <f t="shared" si="22"/>
        <v>11.3 percent up in Gelasian international stage</v>
      </c>
      <c r="J168" s="7">
        <v>9.8814229249011953E-2</v>
      </c>
      <c r="K168" s="129">
        <f t="shared" si="23"/>
        <v>9.9</v>
      </c>
      <c r="L168" s="8" t="s">
        <v>25</v>
      </c>
      <c r="M168" s="5" t="s">
        <v>82</v>
      </c>
      <c r="N168" s="5" t="s">
        <v>82</v>
      </c>
      <c r="O168" s="83"/>
      <c r="P168" s="20">
        <v>0.11253196930946301</v>
      </c>
      <c r="Q168" s="143">
        <f t="shared" si="24"/>
        <v>11.3</v>
      </c>
      <c r="R168" s="21" t="s">
        <v>24</v>
      </c>
      <c r="S168" s="8" t="s">
        <v>246</v>
      </c>
      <c r="T168" s="7" t="s">
        <v>226</v>
      </c>
    </row>
    <row r="169" spans="1:20" ht="28">
      <c r="A169" s="74" t="s">
        <v>407</v>
      </c>
      <c r="B169" s="69" t="s">
        <v>421</v>
      </c>
      <c r="C169" s="5"/>
      <c r="D169" s="5" t="s">
        <v>82</v>
      </c>
      <c r="E169" s="132">
        <f t="shared" si="26"/>
        <v>3.6</v>
      </c>
      <c r="F169" s="139">
        <f t="shared" ref="F169:F174" si="27">$O$178-P169*($O$178-$O$155)</f>
        <v>2.58</v>
      </c>
      <c r="G169" s="149"/>
      <c r="H169" s="82" t="str">
        <f t="shared" si="21"/>
        <v>0 percent up in Piacenzian international stage</v>
      </c>
      <c r="I169" s="142" t="str">
        <f t="shared" si="22"/>
        <v>100 percent up in Piacenzian international stage</v>
      </c>
      <c r="J169" s="7">
        <v>0</v>
      </c>
      <c r="K169" s="129">
        <f t="shared" si="23"/>
        <v>0</v>
      </c>
      <c r="L169" s="8" t="s">
        <v>25</v>
      </c>
      <c r="M169" s="5" t="s">
        <v>82</v>
      </c>
      <c r="N169" s="5" t="s">
        <v>82</v>
      </c>
      <c r="O169" s="83"/>
      <c r="P169" s="20">
        <v>1</v>
      </c>
      <c r="Q169" s="143">
        <f t="shared" si="24"/>
        <v>100</v>
      </c>
      <c r="R169" s="21" t="s">
        <v>25</v>
      </c>
      <c r="S169" s="8" t="s">
        <v>232</v>
      </c>
      <c r="T169" s="7" t="s">
        <v>226</v>
      </c>
    </row>
    <row r="170" spans="1:20" ht="28">
      <c r="A170" s="74" t="s">
        <v>407</v>
      </c>
      <c r="B170" s="68" t="s">
        <v>422</v>
      </c>
      <c r="C170" s="5"/>
      <c r="D170" s="5" t="s">
        <v>82</v>
      </c>
      <c r="E170" s="132">
        <f t="shared" si="26"/>
        <v>3.6</v>
      </c>
      <c r="F170" s="139">
        <f t="shared" si="27"/>
        <v>2.58</v>
      </c>
      <c r="G170" s="149"/>
      <c r="H170" s="82" t="str">
        <f t="shared" si="21"/>
        <v>0 percent up in Piacenzian international stage</v>
      </c>
      <c r="I170" s="142" t="str">
        <f t="shared" si="22"/>
        <v>100 percent up in Piacenzian international stage</v>
      </c>
      <c r="J170" s="7">
        <v>0</v>
      </c>
      <c r="K170" s="129">
        <f t="shared" si="23"/>
        <v>0</v>
      </c>
      <c r="L170" s="8" t="s">
        <v>25</v>
      </c>
      <c r="M170" s="5" t="s">
        <v>82</v>
      </c>
      <c r="N170" s="5" t="s">
        <v>82</v>
      </c>
      <c r="O170" s="83"/>
      <c r="P170" s="20">
        <v>1</v>
      </c>
      <c r="Q170" s="143">
        <f t="shared" si="24"/>
        <v>100</v>
      </c>
      <c r="R170" s="21" t="s">
        <v>25</v>
      </c>
      <c r="S170" s="8" t="s">
        <v>232</v>
      </c>
      <c r="T170" s="7" t="s">
        <v>226</v>
      </c>
    </row>
    <row r="171" spans="1:20" ht="28">
      <c r="A171" s="74" t="s">
        <v>407</v>
      </c>
      <c r="B171" s="68" t="s">
        <v>423</v>
      </c>
      <c r="C171" s="5"/>
      <c r="D171" s="5" t="s">
        <v>270</v>
      </c>
      <c r="E171" s="132">
        <f t="shared" si="26"/>
        <v>3.6</v>
      </c>
      <c r="F171" s="139">
        <f t="shared" si="27"/>
        <v>2.58</v>
      </c>
      <c r="G171" s="149"/>
      <c r="H171" s="82" t="str">
        <f t="shared" si="21"/>
        <v>0 percent up in Piacenzian international stage</v>
      </c>
      <c r="I171" s="142" t="str">
        <f t="shared" si="22"/>
        <v>100 percent up in Piacenzian international stage</v>
      </c>
      <c r="J171" s="7">
        <v>0</v>
      </c>
      <c r="K171" s="129">
        <f t="shared" si="23"/>
        <v>0</v>
      </c>
      <c r="L171" s="8" t="s">
        <v>25</v>
      </c>
      <c r="M171" s="5" t="s">
        <v>82</v>
      </c>
      <c r="N171" s="5" t="s">
        <v>82</v>
      </c>
      <c r="O171" s="83"/>
      <c r="P171" s="20">
        <v>1</v>
      </c>
      <c r="Q171" s="143">
        <f t="shared" si="24"/>
        <v>100</v>
      </c>
      <c r="R171" s="21" t="s">
        <v>25</v>
      </c>
      <c r="S171" s="8" t="s">
        <v>232</v>
      </c>
      <c r="T171" s="7" t="s">
        <v>226</v>
      </c>
    </row>
    <row r="172" spans="1:20" ht="28">
      <c r="A172" s="74" t="s">
        <v>407</v>
      </c>
      <c r="B172" s="69" t="s">
        <v>424</v>
      </c>
      <c r="C172" s="5"/>
      <c r="D172" s="5" t="s">
        <v>270</v>
      </c>
      <c r="E172" s="132">
        <f t="shared" si="26"/>
        <v>3.6</v>
      </c>
      <c r="F172" s="139">
        <f t="shared" si="27"/>
        <v>2.58</v>
      </c>
      <c r="G172" s="149"/>
      <c r="H172" s="82" t="str">
        <f t="shared" si="21"/>
        <v>0 percent up in Piacenzian international stage</v>
      </c>
      <c r="I172" s="142" t="str">
        <f t="shared" si="22"/>
        <v>100 percent up in Piacenzian international stage</v>
      </c>
      <c r="J172" s="7">
        <v>0</v>
      </c>
      <c r="K172" s="129">
        <f t="shared" si="23"/>
        <v>0</v>
      </c>
      <c r="L172" s="8" t="s">
        <v>25</v>
      </c>
      <c r="M172" s="5" t="s">
        <v>82</v>
      </c>
      <c r="N172" s="5" t="s">
        <v>82</v>
      </c>
      <c r="O172" s="83"/>
      <c r="P172" s="20">
        <v>1</v>
      </c>
      <c r="Q172" s="143">
        <f t="shared" si="24"/>
        <v>100</v>
      </c>
      <c r="R172" s="21" t="s">
        <v>25</v>
      </c>
      <c r="S172" s="8" t="s">
        <v>232</v>
      </c>
      <c r="T172" s="7" t="s">
        <v>226</v>
      </c>
    </row>
    <row r="173" spans="1:20" ht="28">
      <c r="A173" s="74" t="s">
        <v>407</v>
      </c>
      <c r="B173" s="68" t="s">
        <v>425</v>
      </c>
      <c r="C173" s="5"/>
      <c r="D173" s="5" t="s">
        <v>82</v>
      </c>
      <c r="E173" s="132">
        <f t="shared" si="26"/>
        <v>3.6</v>
      </c>
      <c r="F173" s="139">
        <f t="shared" si="27"/>
        <v>2.58</v>
      </c>
      <c r="G173" s="149"/>
      <c r="H173" s="82" t="str">
        <f t="shared" si="21"/>
        <v>0 percent up in Piacenzian international stage</v>
      </c>
      <c r="I173" s="142" t="str">
        <f t="shared" si="22"/>
        <v>100 percent up in Piacenzian international stage</v>
      </c>
      <c r="J173" s="7">
        <v>0</v>
      </c>
      <c r="K173" s="129">
        <f t="shared" si="23"/>
        <v>0</v>
      </c>
      <c r="L173" s="8" t="s">
        <v>25</v>
      </c>
      <c r="M173" s="5" t="s">
        <v>82</v>
      </c>
      <c r="N173" s="5" t="s">
        <v>82</v>
      </c>
      <c r="O173" s="83"/>
      <c r="P173" s="20">
        <v>1</v>
      </c>
      <c r="Q173" s="143">
        <f t="shared" si="24"/>
        <v>100</v>
      </c>
      <c r="R173" s="21" t="s">
        <v>25</v>
      </c>
      <c r="S173" s="8" t="s">
        <v>232</v>
      </c>
      <c r="T173" s="7" t="s">
        <v>226</v>
      </c>
    </row>
    <row r="174" spans="1:20" ht="28">
      <c r="A174" s="74" t="s">
        <v>407</v>
      </c>
      <c r="B174" s="68" t="s">
        <v>426</v>
      </c>
      <c r="C174" s="5"/>
      <c r="D174" s="5" t="s">
        <v>354</v>
      </c>
      <c r="E174" s="132">
        <f t="shared" si="26"/>
        <v>3.6</v>
      </c>
      <c r="F174" s="139">
        <f t="shared" si="27"/>
        <v>2.9952569169960475</v>
      </c>
      <c r="G174" s="149"/>
      <c r="H174" s="82" t="str">
        <f t="shared" si="21"/>
        <v>0 percent up in Piacenzian international stage</v>
      </c>
      <c r="I174" s="142" t="str">
        <f t="shared" si="22"/>
        <v>59.3 percent up in Piacenzian international stage</v>
      </c>
      <c r="J174" s="7">
        <v>0</v>
      </c>
      <c r="K174" s="129">
        <f t="shared" si="23"/>
        <v>0</v>
      </c>
      <c r="L174" s="8" t="s">
        <v>25</v>
      </c>
      <c r="M174" s="5" t="s">
        <v>82</v>
      </c>
      <c r="N174" s="5" t="s">
        <v>82</v>
      </c>
      <c r="O174" s="83"/>
      <c r="P174" s="20">
        <v>0.59288537549407128</v>
      </c>
      <c r="Q174" s="143">
        <f t="shared" si="24"/>
        <v>59.3</v>
      </c>
      <c r="R174" s="21" t="s">
        <v>25</v>
      </c>
      <c r="S174" s="8" t="s">
        <v>230</v>
      </c>
      <c r="T174" s="7" t="s">
        <v>226</v>
      </c>
    </row>
    <row r="175" spans="1:20" ht="28">
      <c r="A175" s="74" t="s">
        <v>407</v>
      </c>
      <c r="B175" s="70" t="s">
        <v>427</v>
      </c>
      <c r="C175" s="5"/>
      <c r="D175" s="5" t="s">
        <v>270</v>
      </c>
      <c r="E175" s="132">
        <f t="shared" si="26"/>
        <v>3.6</v>
      </c>
      <c r="F175" s="139">
        <f>$O$121-P175*($O$121-$O$76)</f>
        <v>0.77300000000000013</v>
      </c>
      <c r="G175" s="149"/>
      <c r="H175" s="82" t="str">
        <f t="shared" si="21"/>
        <v>0 percent up in Piacenzian international stage</v>
      </c>
      <c r="I175" s="142" t="str">
        <f t="shared" si="22"/>
        <v>100 percent up in Calabrian international stage</v>
      </c>
      <c r="J175" s="7">
        <v>0</v>
      </c>
      <c r="K175" s="129">
        <f t="shared" si="23"/>
        <v>0</v>
      </c>
      <c r="L175" s="8" t="s">
        <v>25</v>
      </c>
      <c r="M175" s="5" t="s">
        <v>82</v>
      </c>
      <c r="N175" s="5" t="s">
        <v>82</v>
      </c>
      <c r="O175" s="83"/>
      <c r="P175" s="20">
        <v>1</v>
      </c>
      <c r="Q175" s="143">
        <f t="shared" si="24"/>
        <v>100</v>
      </c>
      <c r="R175" s="21" t="s">
        <v>21</v>
      </c>
      <c r="S175" s="8" t="s">
        <v>232</v>
      </c>
      <c r="T175" s="7" t="s">
        <v>226</v>
      </c>
    </row>
    <row r="176" spans="1:20" ht="28">
      <c r="A176" s="74" t="s">
        <v>407</v>
      </c>
      <c r="B176" s="68" t="s">
        <v>428</v>
      </c>
      <c r="C176" s="5"/>
      <c r="D176" s="5" t="s">
        <v>236</v>
      </c>
      <c r="E176" s="132">
        <f t="shared" si="26"/>
        <v>3.6</v>
      </c>
      <c r="F176" s="139">
        <f>$O$178-P176*($O$178-$O$155)</f>
        <v>2.5920948616600792</v>
      </c>
      <c r="G176" s="149"/>
      <c r="H176" s="82" t="str">
        <f t="shared" si="21"/>
        <v>0 percent up in Piacenzian international stage</v>
      </c>
      <c r="I176" s="142" t="str">
        <f t="shared" si="22"/>
        <v>98.8 percent up in Piacenzian international stage</v>
      </c>
      <c r="J176" s="7">
        <v>0</v>
      </c>
      <c r="K176" s="129">
        <f t="shared" si="23"/>
        <v>0</v>
      </c>
      <c r="L176" s="8" t="s">
        <v>25</v>
      </c>
      <c r="M176" s="5" t="s">
        <v>82</v>
      </c>
      <c r="N176" s="5" t="s">
        <v>82</v>
      </c>
      <c r="O176" s="83"/>
      <c r="P176" s="20">
        <v>0.98814229249011853</v>
      </c>
      <c r="Q176" s="143">
        <f t="shared" si="24"/>
        <v>98.8</v>
      </c>
      <c r="R176" s="21" t="s">
        <v>25</v>
      </c>
      <c r="S176" s="8" t="s">
        <v>230</v>
      </c>
      <c r="T176" s="7" t="s">
        <v>226</v>
      </c>
    </row>
    <row r="177" spans="1:20" ht="28">
      <c r="A177" s="74" t="s">
        <v>407</v>
      </c>
      <c r="B177" s="68" t="s">
        <v>25</v>
      </c>
      <c r="C177" s="134" t="s">
        <v>7</v>
      </c>
      <c r="D177" s="134" t="s">
        <v>222</v>
      </c>
      <c r="E177" s="132">
        <f t="shared" si="26"/>
        <v>3.6</v>
      </c>
      <c r="F177" s="139">
        <f>$O$178-P177*($O$178-$O$155)</f>
        <v>2.58</v>
      </c>
      <c r="G177" s="149"/>
      <c r="H177" s="82" t="str">
        <f t="shared" si="21"/>
        <v>0 percent up in Piacenzian international stage</v>
      </c>
      <c r="I177" s="142" t="str">
        <f t="shared" si="22"/>
        <v>100 percent up in Piacenzian international stage</v>
      </c>
      <c r="J177" s="7">
        <v>0</v>
      </c>
      <c r="K177" s="129">
        <f t="shared" si="23"/>
        <v>0</v>
      </c>
      <c r="L177" s="8" t="s">
        <v>25</v>
      </c>
      <c r="M177" s="5" t="s">
        <v>224</v>
      </c>
      <c r="N177" s="5" t="s">
        <v>429</v>
      </c>
      <c r="O177" s="84">
        <f>Master_Chronostrat!I12</f>
        <v>3.6</v>
      </c>
      <c r="P177" s="20">
        <v>1</v>
      </c>
      <c r="Q177" s="143">
        <f t="shared" si="24"/>
        <v>100</v>
      </c>
      <c r="R177" s="21" t="s">
        <v>25</v>
      </c>
      <c r="S177" s="8" t="s">
        <v>224</v>
      </c>
      <c r="T177" s="7" t="s">
        <v>226</v>
      </c>
    </row>
    <row r="178" spans="1:20" ht="42">
      <c r="A178" s="74" t="s">
        <v>407</v>
      </c>
      <c r="B178" s="68" t="s">
        <v>430</v>
      </c>
      <c r="C178" s="134"/>
      <c r="D178" s="134" t="s">
        <v>222</v>
      </c>
      <c r="E178" s="132">
        <f t="shared" si="26"/>
        <v>3.6</v>
      </c>
      <c r="F178" s="139">
        <f>$O$155-P178*($O$155-$O$121)</f>
        <v>1.806</v>
      </c>
      <c r="G178" s="149" t="s">
        <v>2176</v>
      </c>
      <c r="H178" s="82" t="str">
        <f t="shared" si="21"/>
        <v>0 percent up in Piacenzian international stage</v>
      </c>
      <c r="I178" s="142" t="str">
        <f t="shared" si="22"/>
        <v>100 percent up in Gelasian international stage</v>
      </c>
      <c r="J178" s="7">
        <v>0</v>
      </c>
      <c r="K178" s="129">
        <f t="shared" si="23"/>
        <v>0</v>
      </c>
      <c r="L178" s="8" t="s">
        <v>25</v>
      </c>
      <c r="M178" s="5" t="s">
        <v>82</v>
      </c>
      <c r="N178" s="5" t="s">
        <v>82</v>
      </c>
      <c r="O178" s="84">
        <f>Master_Chronostrat!I12</f>
        <v>3.6</v>
      </c>
      <c r="P178" s="20">
        <v>1</v>
      </c>
      <c r="Q178" s="143">
        <f t="shared" si="24"/>
        <v>100</v>
      </c>
      <c r="R178" s="21" t="s">
        <v>24</v>
      </c>
      <c r="S178" s="8" t="s">
        <v>232</v>
      </c>
      <c r="T178" s="7" t="s">
        <v>226</v>
      </c>
    </row>
    <row r="179" spans="1:20" ht="28">
      <c r="A179" s="74" t="s">
        <v>407</v>
      </c>
      <c r="B179" s="69" t="s">
        <v>431</v>
      </c>
      <c r="C179" s="5"/>
      <c r="D179" s="5" t="s">
        <v>236</v>
      </c>
      <c r="E179" s="132">
        <f t="shared" ref="E179:E198" si="28">$O$198-J179*($O$198-$O$178)</f>
        <v>3.8003464203233257</v>
      </c>
      <c r="F179" s="139">
        <f>$O$178-P179*($O$178-$O$155)</f>
        <v>3.0960474308300396</v>
      </c>
      <c r="G179" s="149"/>
      <c r="H179" s="82" t="str">
        <f t="shared" si="21"/>
        <v>88.5 percent up in Zanclean international stage</v>
      </c>
      <c r="I179" s="142" t="str">
        <f t="shared" si="22"/>
        <v>49.4 percent up in Piacenzian international stage</v>
      </c>
      <c r="J179" s="7">
        <v>0.88452655889145515</v>
      </c>
      <c r="K179" s="129">
        <f t="shared" si="23"/>
        <v>88.5</v>
      </c>
      <c r="L179" s="8" t="s">
        <v>27</v>
      </c>
      <c r="M179" s="5" t="s">
        <v>82</v>
      </c>
      <c r="N179" s="5" t="s">
        <v>82</v>
      </c>
      <c r="O179" s="83"/>
      <c r="P179" s="20">
        <v>0.49407114624505927</v>
      </c>
      <c r="Q179" s="143">
        <f t="shared" si="24"/>
        <v>49.4</v>
      </c>
      <c r="R179" s="21" t="s">
        <v>25</v>
      </c>
      <c r="S179" s="8" t="s">
        <v>246</v>
      </c>
      <c r="T179" s="7" t="s">
        <v>226</v>
      </c>
    </row>
    <row r="180" spans="1:20" ht="28">
      <c r="A180" s="74" t="s">
        <v>407</v>
      </c>
      <c r="B180" s="69" t="s">
        <v>432</v>
      </c>
      <c r="C180" s="5"/>
      <c r="D180" s="5" t="s">
        <v>270</v>
      </c>
      <c r="E180" s="132">
        <f t="shared" si="28"/>
        <v>3.9405889145496538</v>
      </c>
      <c r="F180" s="139">
        <f>$O$198-P180*($O$198-$O$178)</f>
        <v>3.6</v>
      </c>
      <c r="G180" s="149"/>
      <c r="H180" s="82" t="str">
        <f t="shared" si="21"/>
        <v>80.4 percent up in Zanclean international stage</v>
      </c>
      <c r="I180" s="142" t="str">
        <f t="shared" si="22"/>
        <v>100 percent up in Zanclean international stage</v>
      </c>
      <c r="J180" s="7">
        <v>0.80369515011547343</v>
      </c>
      <c r="K180" s="129">
        <f t="shared" si="23"/>
        <v>80.400000000000006</v>
      </c>
      <c r="L180" s="8" t="s">
        <v>27</v>
      </c>
      <c r="M180" s="5" t="s">
        <v>82</v>
      </c>
      <c r="N180" s="5" t="s">
        <v>82</v>
      </c>
      <c r="O180" s="83"/>
      <c r="P180" s="20">
        <v>1</v>
      </c>
      <c r="Q180" s="143">
        <f t="shared" si="24"/>
        <v>100</v>
      </c>
      <c r="R180" s="21" t="s">
        <v>27</v>
      </c>
      <c r="S180" s="8" t="s">
        <v>272</v>
      </c>
      <c r="T180" s="7" t="s">
        <v>226</v>
      </c>
    </row>
    <row r="181" spans="1:20" ht="28">
      <c r="A181" s="74" t="s">
        <v>407</v>
      </c>
      <c r="B181" s="69" t="s">
        <v>433</v>
      </c>
      <c r="C181" s="5"/>
      <c r="D181" s="5" t="s">
        <v>322</v>
      </c>
      <c r="E181" s="132">
        <f t="shared" si="28"/>
        <v>4.0006928406466518</v>
      </c>
      <c r="F181" s="139">
        <f>$O$178-P181*($O$178-$O$155)</f>
        <v>2.9952569169960475</v>
      </c>
      <c r="G181" s="149"/>
      <c r="H181" s="82" t="str">
        <f t="shared" si="21"/>
        <v>76.9 percent up in Zanclean international stage</v>
      </c>
      <c r="I181" s="142" t="str">
        <f t="shared" si="22"/>
        <v>59.3 percent up in Piacenzian international stage</v>
      </c>
      <c r="J181" s="7">
        <v>0.76905311778290997</v>
      </c>
      <c r="K181" s="129">
        <f t="shared" si="23"/>
        <v>76.900000000000006</v>
      </c>
      <c r="L181" s="8" t="s">
        <v>27</v>
      </c>
      <c r="M181" s="5" t="s">
        <v>82</v>
      </c>
      <c r="N181" s="5" t="s">
        <v>82</v>
      </c>
      <c r="O181" s="83"/>
      <c r="P181" s="20">
        <v>0.59288537549407128</v>
      </c>
      <c r="Q181" s="143">
        <f t="shared" si="24"/>
        <v>59.3</v>
      </c>
      <c r="R181" s="21" t="s">
        <v>25</v>
      </c>
      <c r="S181" s="8" t="s">
        <v>246</v>
      </c>
      <c r="T181" s="7" t="s">
        <v>226</v>
      </c>
    </row>
    <row r="182" spans="1:20" ht="28">
      <c r="A182" s="74" t="s">
        <v>407</v>
      </c>
      <c r="B182" s="68" t="s">
        <v>434</v>
      </c>
      <c r="C182" s="5"/>
      <c r="D182" s="5" t="s">
        <v>368</v>
      </c>
      <c r="E182" s="132">
        <f t="shared" si="28"/>
        <v>4.30121247113164</v>
      </c>
      <c r="F182" s="139">
        <f>$O$178-P182*($O$178-$O$155)</f>
        <v>3.3984189723320157</v>
      </c>
      <c r="G182" s="149"/>
      <c r="H182" s="82" t="str">
        <f t="shared" si="21"/>
        <v>59.6 percent up in Zanclean international stage</v>
      </c>
      <c r="I182" s="142" t="str">
        <f t="shared" si="22"/>
        <v>19.8 percent up in Piacenzian international stage</v>
      </c>
      <c r="J182" s="7">
        <v>0.59584295612009242</v>
      </c>
      <c r="K182" s="129">
        <f t="shared" si="23"/>
        <v>59.6</v>
      </c>
      <c r="L182" s="8" t="s">
        <v>27</v>
      </c>
      <c r="M182" s="5" t="s">
        <v>82</v>
      </c>
      <c r="N182" s="5" t="s">
        <v>82</v>
      </c>
      <c r="O182" s="83"/>
      <c r="P182" s="20">
        <v>0.19762845849802388</v>
      </c>
      <c r="Q182" s="143">
        <f t="shared" si="24"/>
        <v>19.8</v>
      </c>
      <c r="R182" s="21" t="s">
        <v>25</v>
      </c>
      <c r="S182" s="8" t="s">
        <v>246</v>
      </c>
      <c r="T182" s="7" t="s">
        <v>226</v>
      </c>
    </row>
    <row r="183" spans="1:20" ht="28">
      <c r="A183" s="74" t="s">
        <v>407</v>
      </c>
      <c r="B183" s="69" t="s">
        <v>435</v>
      </c>
      <c r="C183" s="5"/>
      <c r="D183" s="5" t="s">
        <v>390</v>
      </c>
      <c r="E183" s="132">
        <f t="shared" si="28"/>
        <v>4.7019053117782912</v>
      </c>
      <c r="F183" s="139">
        <f>$O$198-P183*($O$198-$O$178)</f>
        <v>3.6</v>
      </c>
      <c r="G183" s="149"/>
      <c r="H183" s="82" t="str">
        <f t="shared" si="21"/>
        <v>36.5 percent up in Zanclean international stage</v>
      </c>
      <c r="I183" s="142" t="str">
        <f t="shared" si="22"/>
        <v>100 percent up in Zanclean international stage</v>
      </c>
      <c r="J183" s="7">
        <v>0.36489607390300216</v>
      </c>
      <c r="K183" s="129">
        <f t="shared" si="23"/>
        <v>36.5</v>
      </c>
      <c r="L183" s="8" t="s">
        <v>27</v>
      </c>
      <c r="M183" s="5" t="s">
        <v>82</v>
      </c>
      <c r="N183" s="5" t="s">
        <v>82</v>
      </c>
      <c r="O183" s="83"/>
      <c r="P183" s="20">
        <v>1</v>
      </c>
      <c r="Q183" s="143">
        <f t="shared" si="24"/>
        <v>100</v>
      </c>
      <c r="R183" s="21" t="s">
        <v>27</v>
      </c>
      <c r="S183" s="8" t="s">
        <v>272</v>
      </c>
      <c r="T183" s="7" t="s">
        <v>226</v>
      </c>
    </row>
    <row r="184" spans="1:20" ht="28">
      <c r="A184" s="74" t="s">
        <v>407</v>
      </c>
      <c r="B184" s="68" t="s">
        <v>436</v>
      </c>
      <c r="C184" s="5"/>
      <c r="D184" s="5" t="s">
        <v>244</v>
      </c>
      <c r="E184" s="132">
        <f t="shared" si="28"/>
        <v>4.7519919168591223</v>
      </c>
      <c r="F184" s="139">
        <f>$O$155-P184*($O$155-$O$121)</f>
        <v>1.806</v>
      </c>
      <c r="G184" s="149"/>
      <c r="H184" s="82" t="str">
        <f t="shared" si="21"/>
        <v>33.6 percent up in Zanclean international stage</v>
      </c>
      <c r="I184" s="142" t="str">
        <f t="shared" si="22"/>
        <v>100 percent up in Gelasian international stage</v>
      </c>
      <c r="J184" s="7">
        <v>0.33602771362586603</v>
      </c>
      <c r="K184" s="129">
        <f t="shared" si="23"/>
        <v>33.6</v>
      </c>
      <c r="L184" s="8" t="s">
        <v>27</v>
      </c>
      <c r="M184" s="5" t="s">
        <v>82</v>
      </c>
      <c r="N184" s="5" t="s">
        <v>82</v>
      </c>
      <c r="O184" s="83"/>
      <c r="P184" s="20">
        <v>1</v>
      </c>
      <c r="Q184" s="143">
        <f t="shared" si="24"/>
        <v>100</v>
      </c>
      <c r="R184" s="21" t="s">
        <v>24</v>
      </c>
      <c r="S184" s="8" t="s">
        <v>246</v>
      </c>
      <c r="T184" s="7" t="s">
        <v>226</v>
      </c>
    </row>
    <row r="185" spans="1:20" ht="28">
      <c r="A185" s="74" t="s">
        <v>407</v>
      </c>
      <c r="B185" s="68" t="s">
        <v>437</v>
      </c>
      <c r="C185" s="5"/>
      <c r="D185" s="5" t="s">
        <v>236</v>
      </c>
      <c r="E185" s="132">
        <f t="shared" si="28"/>
        <v>4.8020785219399533</v>
      </c>
      <c r="F185" s="139">
        <f>$O$198-P185*($O$198-$O$178)</f>
        <v>3.6</v>
      </c>
      <c r="G185" s="149"/>
      <c r="H185" s="82" t="str">
        <f t="shared" si="21"/>
        <v>30.7 percent up in Zanclean international stage</v>
      </c>
      <c r="I185" s="142" t="str">
        <f t="shared" si="22"/>
        <v>100 percent up in Zanclean international stage</v>
      </c>
      <c r="J185" s="7">
        <v>0.3071593533487299</v>
      </c>
      <c r="K185" s="129">
        <f t="shared" si="23"/>
        <v>30.7</v>
      </c>
      <c r="L185" s="8" t="s">
        <v>27</v>
      </c>
      <c r="M185" s="5" t="s">
        <v>82</v>
      </c>
      <c r="N185" s="5" t="s">
        <v>82</v>
      </c>
      <c r="O185" s="83"/>
      <c r="P185" s="20">
        <v>1</v>
      </c>
      <c r="Q185" s="143">
        <f t="shared" si="24"/>
        <v>100</v>
      </c>
      <c r="R185" s="21" t="s">
        <v>27</v>
      </c>
      <c r="S185" s="8" t="s">
        <v>272</v>
      </c>
      <c r="T185" s="7" t="s">
        <v>226</v>
      </c>
    </row>
    <row r="186" spans="1:20" ht="28">
      <c r="A186" s="74" t="s">
        <v>407</v>
      </c>
      <c r="B186" s="68" t="s">
        <v>438</v>
      </c>
      <c r="C186" s="5"/>
      <c r="D186" s="5" t="s">
        <v>368</v>
      </c>
      <c r="E186" s="132">
        <f t="shared" si="28"/>
        <v>5.0024249422632794</v>
      </c>
      <c r="F186" s="139">
        <f>$O$198-P186*($O$198-$O$178)</f>
        <v>4.30121247113164</v>
      </c>
      <c r="G186" s="149"/>
      <c r="H186" s="82" t="str">
        <f t="shared" si="21"/>
        <v>19.2 percent up in Zanclean international stage</v>
      </c>
      <c r="I186" s="142" t="str">
        <f t="shared" si="22"/>
        <v>59.6 percent up in Zanclean international stage</v>
      </c>
      <c r="J186" s="7">
        <v>0.19168591224018472</v>
      </c>
      <c r="K186" s="129">
        <f t="shared" si="23"/>
        <v>19.2</v>
      </c>
      <c r="L186" s="8" t="s">
        <v>27</v>
      </c>
      <c r="M186" s="5" t="s">
        <v>82</v>
      </c>
      <c r="N186" s="5" t="s">
        <v>82</v>
      </c>
      <c r="O186" s="83"/>
      <c r="P186" s="20">
        <v>0.59584295612009253</v>
      </c>
      <c r="Q186" s="143">
        <f t="shared" si="24"/>
        <v>59.6</v>
      </c>
      <c r="R186" s="21" t="s">
        <v>27</v>
      </c>
      <c r="S186" s="8" t="s">
        <v>259</v>
      </c>
      <c r="T186" s="7">
        <v>0.40415704387990814</v>
      </c>
    </row>
    <row r="187" spans="1:20" ht="28">
      <c r="A187" s="74" t="s">
        <v>407</v>
      </c>
      <c r="B187" s="69" t="s">
        <v>439</v>
      </c>
      <c r="C187" s="5"/>
      <c r="D187" s="5" t="s">
        <v>390</v>
      </c>
      <c r="E187" s="132">
        <f t="shared" si="28"/>
        <v>5.0024249422632794</v>
      </c>
      <c r="F187" s="139">
        <f>$O$198-P187*($O$198-$O$178)</f>
        <v>3.6</v>
      </c>
      <c r="G187" s="149"/>
      <c r="H187" s="82" t="str">
        <f t="shared" si="21"/>
        <v>19.2 percent up in Zanclean international stage</v>
      </c>
      <c r="I187" s="142" t="str">
        <f t="shared" si="22"/>
        <v>100 percent up in Zanclean international stage</v>
      </c>
      <c r="J187" s="7">
        <v>0.19168591224018472</v>
      </c>
      <c r="K187" s="129">
        <f t="shared" si="23"/>
        <v>19.2</v>
      </c>
      <c r="L187" s="8" t="s">
        <v>27</v>
      </c>
      <c r="M187" s="5" t="s">
        <v>82</v>
      </c>
      <c r="N187" s="5" t="s">
        <v>82</v>
      </c>
      <c r="O187" s="83"/>
      <c r="P187" s="20">
        <v>1</v>
      </c>
      <c r="Q187" s="143">
        <f t="shared" si="24"/>
        <v>100</v>
      </c>
      <c r="R187" s="21" t="s">
        <v>27</v>
      </c>
      <c r="S187" s="8" t="s">
        <v>272</v>
      </c>
      <c r="T187" s="7" t="s">
        <v>226</v>
      </c>
    </row>
    <row r="188" spans="1:20" ht="28">
      <c r="A188" s="74" t="s">
        <v>407</v>
      </c>
      <c r="B188" s="69" t="s">
        <v>440</v>
      </c>
      <c r="C188" s="5"/>
      <c r="D188" s="5" t="s">
        <v>236</v>
      </c>
      <c r="E188" s="132">
        <f t="shared" si="28"/>
        <v>5.2829099307159355</v>
      </c>
      <c r="F188" s="139">
        <f>$O$4-P188*($O$4-$O$3)</f>
        <v>0</v>
      </c>
      <c r="G188" s="149"/>
      <c r="H188" s="82" t="str">
        <f t="shared" si="21"/>
        <v>3 percent up in Zanclean international stage</v>
      </c>
      <c r="I188" s="142" t="str">
        <f t="shared" si="22"/>
        <v>100 percent up in Meghalayan international stage</v>
      </c>
      <c r="J188" s="7">
        <v>3.0023094688221508E-2</v>
      </c>
      <c r="K188" s="129">
        <f t="shared" si="23"/>
        <v>3</v>
      </c>
      <c r="L188" s="8" t="s">
        <v>27</v>
      </c>
      <c r="M188" s="5" t="s">
        <v>82</v>
      </c>
      <c r="N188" s="5" t="s">
        <v>82</v>
      </c>
      <c r="O188" s="83"/>
      <c r="P188" s="20">
        <v>1</v>
      </c>
      <c r="Q188" s="143">
        <f t="shared" si="24"/>
        <v>100</v>
      </c>
      <c r="R188" s="21" t="s">
        <v>13</v>
      </c>
      <c r="S188" s="8" t="s">
        <v>246</v>
      </c>
      <c r="T188" s="7" t="s">
        <v>226</v>
      </c>
    </row>
    <row r="189" spans="1:20" ht="28">
      <c r="A189" s="74" t="s">
        <v>407</v>
      </c>
      <c r="B189" s="69" t="s">
        <v>441</v>
      </c>
      <c r="C189" s="5"/>
      <c r="D189" s="5" t="s">
        <v>270</v>
      </c>
      <c r="E189" s="132">
        <f t="shared" si="28"/>
        <v>5.3029445727482676</v>
      </c>
      <c r="F189" s="139">
        <f>$O$198-P189*($O$198-$O$178)</f>
        <v>3.6</v>
      </c>
      <c r="G189" s="149"/>
      <c r="H189" s="82" t="str">
        <f t="shared" si="21"/>
        <v>1.8 percent up in Zanclean international stage</v>
      </c>
      <c r="I189" s="142" t="str">
        <f t="shared" si="22"/>
        <v>100 percent up in Zanclean international stage</v>
      </c>
      <c r="J189" s="7">
        <v>1.8475750577367278E-2</v>
      </c>
      <c r="K189" s="129">
        <f t="shared" si="23"/>
        <v>1.8</v>
      </c>
      <c r="L189" s="8" t="s">
        <v>27</v>
      </c>
      <c r="M189" s="5" t="s">
        <v>82</v>
      </c>
      <c r="N189" s="5" t="s">
        <v>82</v>
      </c>
      <c r="O189" s="83"/>
      <c r="P189" s="20">
        <v>1</v>
      </c>
      <c r="Q189" s="143">
        <f t="shared" si="24"/>
        <v>100</v>
      </c>
      <c r="R189" s="21" t="s">
        <v>27</v>
      </c>
      <c r="S189" s="8" t="s">
        <v>272</v>
      </c>
      <c r="T189" s="7" t="s">
        <v>226</v>
      </c>
    </row>
    <row r="190" spans="1:20" ht="28">
      <c r="A190" s="74" t="s">
        <v>407</v>
      </c>
      <c r="B190" s="68" t="s">
        <v>442</v>
      </c>
      <c r="C190" s="5"/>
      <c r="D190" s="5" t="s">
        <v>82</v>
      </c>
      <c r="E190" s="132">
        <f t="shared" si="28"/>
        <v>5.335</v>
      </c>
      <c r="F190" s="139">
        <f>$O$198-P190*($O$198-$O$178)</f>
        <v>3.6</v>
      </c>
      <c r="G190" s="149"/>
      <c r="H190" s="82" t="str">
        <f t="shared" si="21"/>
        <v>0 percent up in Zanclean international stage</v>
      </c>
      <c r="I190" s="142" t="str">
        <f t="shared" si="22"/>
        <v>100 percent up in Zanclean international stage</v>
      </c>
      <c r="J190" s="7">
        <v>0</v>
      </c>
      <c r="K190" s="129">
        <f t="shared" si="23"/>
        <v>0</v>
      </c>
      <c r="L190" s="8" t="s">
        <v>27</v>
      </c>
      <c r="M190" s="5" t="s">
        <v>82</v>
      </c>
      <c r="N190" s="5" t="s">
        <v>82</v>
      </c>
      <c r="O190" s="83"/>
      <c r="P190" s="20">
        <v>1</v>
      </c>
      <c r="Q190" s="143">
        <f t="shared" si="24"/>
        <v>100</v>
      </c>
      <c r="R190" s="21" t="s">
        <v>27</v>
      </c>
      <c r="S190" s="8" t="s">
        <v>232</v>
      </c>
      <c r="T190" s="7" t="s">
        <v>226</v>
      </c>
    </row>
    <row r="191" spans="1:20" ht="28">
      <c r="A191" s="74" t="s">
        <v>407</v>
      </c>
      <c r="B191" s="68" t="s">
        <v>443</v>
      </c>
      <c r="C191" s="5"/>
      <c r="D191" s="5" t="s">
        <v>82</v>
      </c>
      <c r="E191" s="132">
        <f t="shared" si="28"/>
        <v>5.335</v>
      </c>
      <c r="F191" s="139">
        <f>$O$198-P191*($O$198-$O$178)</f>
        <v>3.6</v>
      </c>
      <c r="G191" s="149"/>
      <c r="H191" s="82" t="str">
        <f t="shared" si="21"/>
        <v>0 percent up in Zanclean international stage</v>
      </c>
      <c r="I191" s="142" t="str">
        <f t="shared" si="22"/>
        <v>100 percent up in Zanclean international stage</v>
      </c>
      <c r="J191" s="7">
        <v>0</v>
      </c>
      <c r="K191" s="129">
        <f t="shared" si="23"/>
        <v>0</v>
      </c>
      <c r="L191" s="8" t="s">
        <v>27</v>
      </c>
      <c r="M191" s="5" t="s">
        <v>82</v>
      </c>
      <c r="N191" s="5" t="s">
        <v>82</v>
      </c>
      <c r="O191" s="83"/>
      <c r="P191" s="20">
        <v>1</v>
      </c>
      <c r="Q191" s="143">
        <f t="shared" si="24"/>
        <v>100</v>
      </c>
      <c r="R191" s="21" t="s">
        <v>27</v>
      </c>
      <c r="S191" s="8" t="s">
        <v>232</v>
      </c>
      <c r="T191" s="7" t="s">
        <v>226</v>
      </c>
    </row>
    <row r="192" spans="1:20" ht="28">
      <c r="A192" s="74" t="s">
        <v>407</v>
      </c>
      <c r="B192" s="69" t="s">
        <v>444</v>
      </c>
      <c r="C192" s="5"/>
      <c r="D192" s="5" t="s">
        <v>292</v>
      </c>
      <c r="E192" s="132">
        <f t="shared" si="28"/>
        <v>5.335</v>
      </c>
      <c r="F192" s="139">
        <f>$O$178-P192*($O$178-$O$155)</f>
        <v>3.5687549407114623</v>
      </c>
      <c r="G192" s="149"/>
      <c r="H192" s="82" t="str">
        <f t="shared" si="21"/>
        <v>0 percent up in Zanclean international stage</v>
      </c>
      <c r="I192" s="142" t="str">
        <f t="shared" si="22"/>
        <v>3.1 percent up in Piacenzian international stage</v>
      </c>
      <c r="J192" s="7">
        <v>0</v>
      </c>
      <c r="K192" s="129">
        <f t="shared" si="23"/>
        <v>0</v>
      </c>
      <c r="L192" s="8" t="s">
        <v>27</v>
      </c>
      <c r="M192" s="5" t="s">
        <v>82</v>
      </c>
      <c r="N192" s="5" t="s">
        <v>82</v>
      </c>
      <c r="O192" s="83"/>
      <c r="P192" s="20">
        <v>3.0632411067193811E-2</v>
      </c>
      <c r="Q192" s="143">
        <f t="shared" si="24"/>
        <v>3.1</v>
      </c>
      <c r="R192" s="21" t="s">
        <v>25</v>
      </c>
      <c r="S192" s="8" t="s">
        <v>246</v>
      </c>
      <c r="T192" s="7" t="s">
        <v>226</v>
      </c>
    </row>
    <row r="193" spans="1:20" ht="28">
      <c r="A193" s="74" t="s">
        <v>407</v>
      </c>
      <c r="B193" s="69" t="s">
        <v>445</v>
      </c>
      <c r="C193" s="5"/>
      <c r="D193" s="5" t="s">
        <v>264</v>
      </c>
      <c r="E193" s="132">
        <f t="shared" si="28"/>
        <v>5.335</v>
      </c>
      <c r="F193" s="139">
        <f>$O$178-P193*($O$178-$O$155)</f>
        <v>3.1968379446640318</v>
      </c>
      <c r="G193" s="149"/>
      <c r="H193" s="82" t="str">
        <f t="shared" si="21"/>
        <v>0 percent up in Zanclean international stage</v>
      </c>
      <c r="I193" s="142" t="str">
        <f t="shared" si="22"/>
        <v>39.5 percent up in Piacenzian international stage</v>
      </c>
      <c r="J193" s="7">
        <v>0</v>
      </c>
      <c r="K193" s="129">
        <f t="shared" si="23"/>
        <v>0</v>
      </c>
      <c r="L193" s="8" t="s">
        <v>27</v>
      </c>
      <c r="M193" s="5" t="s">
        <v>82</v>
      </c>
      <c r="N193" s="5" t="s">
        <v>82</v>
      </c>
      <c r="O193" s="83"/>
      <c r="P193" s="20">
        <v>0.39525691699604731</v>
      </c>
      <c r="Q193" s="143">
        <f t="shared" si="24"/>
        <v>39.5</v>
      </c>
      <c r="R193" s="21" t="s">
        <v>25</v>
      </c>
      <c r="S193" s="8" t="s">
        <v>246</v>
      </c>
      <c r="T193" s="7" t="s">
        <v>226</v>
      </c>
    </row>
    <row r="194" spans="1:20" ht="28">
      <c r="A194" s="74" t="s">
        <v>407</v>
      </c>
      <c r="B194" s="68" t="s">
        <v>446</v>
      </c>
      <c r="C194" s="5"/>
      <c r="D194" s="5" t="s">
        <v>82</v>
      </c>
      <c r="E194" s="132">
        <f t="shared" si="28"/>
        <v>5.335</v>
      </c>
      <c r="F194" s="139">
        <f>$O$198-P194*($O$198-$O$178)</f>
        <v>3.6</v>
      </c>
      <c r="G194" s="149"/>
      <c r="H194" s="82" t="str">
        <f t="shared" si="21"/>
        <v>0 percent up in Zanclean international stage</v>
      </c>
      <c r="I194" s="142" t="str">
        <f t="shared" si="22"/>
        <v>100 percent up in Zanclean international stage</v>
      </c>
      <c r="J194" s="7">
        <v>0</v>
      </c>
      <c r="K194" s="129">
        <f t="shared" si="23"/>
        <v>0</v>
      </c>
      <c r="L194" s="8" t="s">
        <v>27</v>
      </c>
      <c r="M194" s="5" t="s">
        <v>82</v>
      </c>
      <c r="N194" s="5" t="s">
        <v>82</v>
      </c>
      <c r="O194" s="83"/>
      <c r="P194" s="20">
        <v>1</v>
      </c>
      <c r="Q194" s="143">
        <f t="shared" si="24"/>
        <v>100</v>
      </c>
      <c r="R194" s="21" t="s">
        <v>27</v>
      </c>
      <c r="S194" s="8" t="s">
        <v>232</v>
      </c>
      <c r="T194" s="7" t="s">
        <v>226</v>
      </c>
    </row>
    <row r="195" spans="1:20" ht="28">
      <c r="A195" s="74" t="s">
        <v>407</v>
      </c>
      <c r="B195" s="68" t="s">
        <v>447</v>
      </c>
      <c r="C195" s="5"/>
      <c r="D195" s="5" t="s">
        <v>82</v>
      </c>
      <c r="E195" s="132">
        <f t="shared" si="28"/>
        <v>5.335</v>
      </c>
      <c r="F195" s="139">
        <f>$O$198-P195*($O$198-$O$178)</f>
        <v>3.6</v>
      </c>
      <c r="G195" s="149"/>
      <c r="H195" s="82" t="str">
        <f t="shared" si="21"/>
        <v>0 percent up in Zanclean international stage</v>
      </c>
      <c r="I195" s="142" t="str">
        <f t="shared" si="22"/>
        <v>100 percent up in Zanclean international stage</v>
      </c>
      <c r="J195" s="7">
        <v>0</v>
      </c>
      <c r="K195" s="129">
        <f t="shared" si="23"/>
        <v>0</v>
      </c>
      <c r="L195" s="8" t="s">
        <v>27</v>
      </c>
      <c r="M195" s="5" t="s">
        <v>82</v>
      </c>
      <c r="N195" s="5" t="s">
        <v>82</v>
      </c>
      <c r="O195" s="83"/>
      <c r="P195" s="20">
        <v>1</v>
      </c>
      <c r="Q195" s="143">
        <f t="shared" si="24"/>
        <v>100</v>
      </c>
      <c r="R195" s="21" t="s">
        <v>27</v>
      </c>
      <c r="S195" s="8" t="s">
        <v>232</v>
      </c>
      <c r="T195" s="7" t="s">
        <v>226</v>
      </c>
    </row>
    <row r="196" spans="1:20" ht="28">
      <c r="A196" s="74" t="s">
        <v>407</v>
      </c>
      <c r="B196" s="68" t="s">
        <v>27</v>
      </c>
      <c r="C196" s="134" t="s">
        <v>7</v>
      </c>
      <c r="D196" s="134" t="s">
        <v>222</v>
      </c>
      <c r="E196" s="132">
        <f t="shared" si="28"/>
        <v>5.335</v>
      </c>
      <c r="F196" s="139">
        <f>$O$198-P196*($O$198-$O$178)</f>
        <v>3.6</v>
      </c>
      <c r="G196" s="149"/>
      <c r="H196" s="82" t="str">
        <f t="shared" si="21"/>
        <v>0 percent up in Zanclean international stage</v>
      </c>
      <c r="I196" s="142" t="str">
        <f t="shared" si="22"/>
        <v>100 percent up in Zanclean international stage</v>
      </c>
      <c r="J196" s="7">
        <v>0</v>
      </c>
      <c r="K196" s="129">
        <f t="shared" si="23"/>
        <v>0</v>
      </c>
      <c r="L196" s="8" t="s">
        <v>27</v>
      </c>
      <c r="M196" s="5" t="s">
        <v>224</v>
      </c>
      <c r="N196" s="5" t="s">
        <v>82</v>
      </c>
      <c r="O196" s="83">
        <f>Master_Chronostrat!I13</f>
        <v>5.335</v>
      </c>
      <c r="P196" s="20">
        <v>1</v>
      </c>
      <c r="Q196" s="143">
        <f t="shared" si="24"/>
        <v>100</v>
      </c>
      <c r="R196" s="21" t="s">
        <v>27</v>
      </c>
      <c r="S196" s="8" t="s">
        <v>224</v>
      </c>
      <c r="T196" s="7" t="s">
        <v>226</v>
      </c>
    </row>
    <row r="197" spans="1:20" ht="28">
      <c r="A197" s="74" t="s">
        <v>407</v>
      </c>
      <c r="B197" s="68" t="s">
        <v>448</v>
      </c>
      <c r="C197" s="134"/>
      <c r="D197" s="134" t="s">
        <v>222</v>
      </c>
      <c r="E197" s="132">
        <f t="shared" si="28"/>
        <v>5.335</v>
      </c>
      <c r="F197" s="139">
        <f>$O$198-P197*($O$198-$O$178)</f>
        <v>3.6</v>
      </c>
      <c r="G197" s="149"/>
      <c r="H197" s="82" t="str">
        <f t="shared" ref="H197:H260" si="29">CONCATENATE(K197," percent up in ",L197," international stage")</f>
        <v>0 percent up in Zanclean international stage</v>
      </c>
      <c r="I197" s="142" t="str">
        <f t="shared" ref="I197:I260" si="30">CONCATENATE(Q197," percent up in ",R197," international stage")</f>
        <v>100 percent up in Zanclean international stage</v>
      </c>
      <c r="J197" s="7">
        <v>0</v>
      </c>
      <c r="K197" s="129">
        <f t="shared" ref="K197:K260" si="31">ROUND(J197*100,1)</f>
        <v>0</v>
      </c>
      <c r="L197" s="8" t="s">
        <v>27</v>
      </c>
      <c r="M197" s="5" t="s">
        <v>82</v>
      </c>
      <c r="N197" s="5" t="s">
        <v>82</v>
      </c>
      <c r="O197" s="83">
        <f>Master_Chronostrat!I13</f>
        <v>5.335</v>
      </c>
      <c r="P197" s="20">
        <v>1</v>
      </c>
      <c r="Q197" s="143">
        <f t="shared" ref="Q197:Q260" si="32">ROUND(P197*100,1)</f>
        <v>100</v>
      </c>
      <c r="R197" s="21" t="s">
        <v>27</v>
      </c>
      <c r="S197" s="8" t="s">
        <v>232</v>
      </c>
      <c r="T197" s="7" t="s">
        <v>226</v>
      </c>
    </row>
    <row r="198" spans="1:20" ht="28">
      <c r="A198" s="74" t="s">
        <v>407</v>
      </c>
      <c r="B198" s="68" t="s">
        <v>26</v>
      </c>
      <c r="C198" s="134" t="s">
        <v>5</v>
      </c>
      <c r="D198" s="134" t="s">
        <v>222</v>
      </c>
      <c r="E198" s="132">
        <f t="shared" si="28"/>
        <v>5.335</v>
      </c>
      <c r="F198" s="139">
        <f>$O$178-P198*($O$178-$O$155)</f>
        <v>2.58</v>
      </c>
      <c r="G198" s="149"/>
      <c r="H198" s="82" t="str">
        <f t="shared" si="29"/>
        <v>0 percent up in Zanclean international stage</v>
      </c>
      <c r="I198" s="142" t="str">
        <f t="shared" si="30"/>
        <v>100 percent up in Piacenzian international stage</v>
      </c>
      <c r="J198" s="7">
        <v>0</v>
      </c>
      <c r="K198" s="129">
        <f t="shared" si="31"/>
        <v>0</v>
      </c>
      <c r="L198" s="8" t="s">
        <v>27</v>
      </c>
      <c r="M198" s="5" t="s">
        <v>224</v>
      </c>
      <c r="N198" s="5" t="s">
        <v>449</v>
      </c>
      <c r="O198" s="83">
        <f>Master_Chronostrat!I13</f>
        <v>5.335</v>
      </c>
      <c r="P198" s="20">
        <v>1</v>
      </c>
      <c r="Q198" s="143">
        <f t="shared" si="32"/>
        <v>100</v>
      </c>
      <c r="R198" s="21" t="s">
        <v>25</v>
      </c>
      <c r="S198" s="8" t="s">
        <v>239</v>
      </c>
      <c r="T198" s="7" t="s">
        <v>226</v>
      </c>
    </row>
    <row r="199" spans="1:20" ht="28">
      <c r="A199" s="74" t="s">
        <v>407</v>
      </c>
      <c r="B199" s="68" t="s">
        <v>450</v>
      </c>
      <c r="C199" s="5"/>
      <c r="D199" s="5" t="s">
        <v>236</v>
      </c>
      <c r="E199" s="132">
        <f t="shared" ref="E199:E206" si="33">$O$206-J199*($O$206-$O$198)</f>
        <v>6.0033490073145241</v>
      </c>
      <c r="F199" s="139">
        <f>$O$198-P199*($O$198-$O$178)</f>
        <v>4.8020785219399542</v>
      </c>
      <c r="G199" s="149"/>
      <c r="H199" s="82" t="str">
        <f t="shared" si="29"/>
        <v>65.1 percent up in Messinian international stage</v>
      </c>
      <c r="I199" s="142" t="str">
        <f t="shared" si="30"/>
        <v>30.7 percent up in Zanclean international stage</v>
      </c>
      <c r="J199" s="7">
        <v>0.6509926854754442</v>
      </c>
      <c r="K199" s="129">
        <f t="shared" si="31"/>
        <v>65.099999999999994</v>
      </c>
      <c r="L199" s="8" t="s">
        <v>28</v>
      </c>
      <c r="M199" s="5" t="s">
        <v>82</v>
      </c>
      <c r="N199" s="5" t="s">
        <v>82</v>
      </c>
      <c r="O199" s="83"/>
      <c r="P199" s="20">
        <v>0.30715935334872985</v>
      </c>
      <c r="Q199" s="143">
        <f t="shared" si="32"/>
        <v>30.7</v>
      </c>
      <c r="R199" s="21" t="s">
        <v>27</v>
      </c>
      <c r="S199" s="8" t="s">
        <v>246</v>
      </c>
      <c r="T199" s="7" t="s">
        <v>226</v>
      </c>
    </row>
    <row r="200" spans="1:20" ht="28">
      <c r="A200" s="74" t="s">
        <v>407</v>
      </c>
      <c r="B200" s="69" t="s">
        <v>451</v>
      </c>
      <c r="C200" s="5"/>
      <c r="D200" s="5" t="s">
        <v>322</v>
      </c>
      <c r="E200" s="132">
        <f t="shared" si="33"/>
        <v>6.8037669801462899</v>
      </c>
      <c r="F200" s="139">
        <f>$O$198-P200*($O$198-$O$178)</f>
        <v>4.0006928406466518</v>
      </c>
      <c r="G200" s="149"/>
      <c r="H200" s="82" t="str">
        <f t="shared" si="29"/>
        <v>23.3 percent up in Messinian international stage</v>
      </c>
      <c r="I200" s="142" t="str">
        <f t="shared" si="30"/>
        <v>76.9 percent up in Zanclean international stage</v>
      </c>
      <c r="J200" s="7">
        <v>0.23301985370950917</v>
      </c>
      <c r="K200" s="129">
        <f t="shared" si="31"/>
        <v>23.3</v>
      </c>
      <c r="L200" s="8" t="s">
        <v>28</v>
      </c>
      <c r="M200" s="5" t="s">
        <v>82</v>
      </c>
      <c r="N200" s="5" t="s">
        <v>82</v>
      </c>
      <c r="O200" s="83"/>
      <c r="P200" s="20">
        <v>0.76905311778290997</v>
      </c>
      <c r="Q200" s="143">
        <f t="shared" si="32"/>
        <v>76.900000000000006</v>
      </c>
      <c r="R200" s="21" t="s">
        <v>27</v>
      </c>
      <c r="S200" s="8" t="s">
        <v>246</v>
      </c>
      <c r="T200" s="7" t="s">
        <v>226</v>
      </c>
    </row>
    <row r="201" spans="1:20" ht="28">
      <c r="A201" s="74" t="s">
        <v>407</v>
      </c>
      <c r="B201" s="69" t="s">
        <v>452</v>
      </c>
      <c r="C201" s="5"/>
      <c r="D201" s="5" t="s">
        <v>453</v>
      </c>
      <c r="E201" s="132">
        <f t="shared" si="33"/>
        <v>7.25</v>
      </c>
      <c r="F201" s="139">
        <f>$O$206-P201*($O$206-$O$198)</f>
        <v>5.335</v>
      </c>
      <c r="G201" s="149"/>
      <c r="H201" s="82" t="str">
        <f t="shared" si="29"/>
        <v>0 percent up in Messinian international stage</v>
      </c>
      <c r="I201" s="142" t="str">
        <f t="shared" si="30"/>
        <v>100 percent up in Messinian international stage</v>
      </c>
      <c r="J201" s="7">
        <v>0</v>
      </c>
      <c r="K201" s="129">
        <f t="shared" si="31"/>
        <v>0</v>
      </c>
      <c r="L201" s="8" t="s">
        <v>28</v>
      </c>
      <c r="M201" s="5" t="s">
        <v>82</v>
      </c>
      <c r="N201" s="5" t="s">
        <v>82</v>
      </c>
      <c r="O201" s="83"/>
      <c r="P201" s="20">
        <v>1</v>
      </c>
      <c r="Q201" s="143">
        <f t="shared" si="32"/>
        <v>100</v>
      </c>
      <c r="R201" s="21" t="s">
        <v>28</v>
      </c>
      <c r="S201" s="8" t="s">
        <v>232</v>
      </c>
      <c r="T201" s="7" t="s">
        <v>226</v>
      </c>
    </row>
    <row r="202" spans="1:20" ht="28">
      <c r="A202" s="74" t="s">
        <v>407</v>
      </c>
      <c r="B202" s="68" t="s">
        <v>454</v>
      </c>
      <c r="C202" s="5"/>
      <c r="D202" s="5" t="s">
        <v>82</v>
      </c>
      <c r="E202" s="132">
        <f t="shared" si="33"/>
        <v>7.25</v>
      </c>
      <c r="F202" s="139">
        <f>$O$198-P202*($O$198-$O$178)</f>
        <v>3.6</v>
      </c>
      <c r="G202" s="149"/>
      <c r="H202" s="82" t="str">
        <f t="shared" si="29"/>
        <v>0 percent up in Messinian international stage</v>
      </c>
      <c r="I202" s="142" t="str">
        <f t="shared" si="30"/>
        <v>100 percent up in Zanclean international stage</v>
      </c>
      <c r="J202" s="7">
        <v>0</v>
      </c>
      <c r="K202" s="129">
        <f t="shared" si="31"/>
        <v>0</v>
      </c>
      <c r="L202" s="8" t="s">
        <v>28</v>
      </c>
      <c r="M202" s="5" t="s">
        <v>82</v>
      </c>
      <c r="N202" s="5" t="s">
        <v>82</v>
      </c>
      <c r="O202" s="83"/>
      <c r="P202" s="20">
        <v>1</v>
      </c>
      <c r="Q202" s="143">
        <f t="shared" si="32"/>
        <v>100</v>
      </c>
      <c r="R202" s="21" t="s">
        <v>27</v>
      </c>
      <c r="S202" s="8" t="s">
        <v>232</v>
      </c>
      <c r="T202" s="7" t="s">
        <v>226</v>
      </c>
    </row>
    <row r="203" spans="1:20" ht="28">
      <c r="A203" s="74" t="s">
        <v>407</v>
      </c>
      <c r="B203" s="69" t="s">
        <v>455</v>
      </c>
      <c r="C203" s="5"/>
      <c r="D203" s="5" t="s">
        <v>82</v>
      </c>
      <c r="E203" s="132">
        <f t="shared" si="33"/>
        <v>7.25</v>
      </c>
      <c r="F203" s="139">
        <f>$O$206-P203*($O$206-$O$198)</f>
        <v>5.335</v>
      </c>
      <c r="G203" s="149"/>
      <c r="H203" s="82" t="str">
        <f t="shared" si="29"/>
        <v>0 percent up in Messinian international stage</v>
      </c>
      <c r="I203" s="142" t="str">
        <f t="shared" si="30"/>
        <v>100 percent up in Messinian international stage</v>
      </c>
      <c r="J203" s="7">
        <v>0</v>
      </c>
      <c r="K203" s="129">
        <f t="shared" si="31"/>
        <v>0</v>
      </c>
      <c r="L203" s="8" t="s">
        <v>28</v>
      </c>
      <c r="M203" s="5" t="s">
        <v>82</v>
      </c>
      <c r="N203" s="5" t="s">
        <v>82</v>
      </c>
      <c r="O203" s="83"/>
      <c r="P203" s="20">
        <v>1</v>
      </c>
      <c r="Q203" s="143">
        <f t="shared" si="32"/>
        <v>100</v>
      </c>
      <c r="R203" s="21" t="s">
        <v>28</v>
      </c>
      <c r="S203" s="8" t="s">
        <v>232</v>
      </c>
      <c r="T203" s="7" t="s">
        <v>226</v>
      </c>
    </row>
    <row r="204" spans="1:20" ht="28">
      <c r="A204" s="74" t="s">
        <v>407</v>
      </c>
      <c r="B204" s="71" t="s">
        <v>456</v>
      </c>
      <c r="C204" s="5"/>
      <c r="D204" s="5" t="s">
        <v>270</v>
      </c>
      <c r="E204" s="132">
        <f t="shared" si="33"/>
        <v>7.25</v>
      </c>
      <c r="F204" s="139">
        <f>$O$206-P204*($O$206-$O$198)</f>
        <v>5.335</v>
      </c>
      <c r="G204" s="149"/>
      <c r="H204" s="82" t="str">
        <f t="shared" si="29"/>
        <v>0 percent up in Messinian international stage</v>
      </c>
      <c r="I204" s="142" t="str">
        <f t="shared" si="30"/>
        <v>100 percent up in Messinian international stage</v>
      </c>
      <c r="J204" s="7">
        <v>0</v>
      </c>
      <c r="K204" s="129">
        <f t="shared" si="31"/>
        <v>0</v>
      </c>
      <c r="L204" s="8" t="s">
        <v>28</v>
      </c>
      <c r="M204" s="5" t="s">
        <v>82</v>
      </c>
      <c r="N204" s="5" t="s">
        <v>82</v>
      </c>
      <c r="O204" s="83"/>
      <c r="P204" s="20">
        <v>1</v>
      </c>
      <c r="Q204" s="143">
        <f t="shared" si="32"/>
        <v>100</v>
      </c>
      <c r="R204" s="21" t="s">
        <v>28</v>
      </c>
      <c r="S204" s="8" t="s">
        <v>232</v>
      </c>
      <c r="T204" s="7" t="s">
        <v>226</v>
      </c>
    </row>
    <row r="205" spans="1:20" ht="28">
      <c r="A205" s="74" t="s">
        <v>407</v>
      </c>
      <c r="B205" s="69" t="s">
        <v>457</v>
      </c>
      <c r="C205" s="5"/>
      <c r="D205" s="5" t="s">
        <v>270</v>
      </c>
      <c r="E205" s="132">
        <f t="shared" si="33"/>
        <v>7.25</v>
      </c>
      <c r="F205" s="139">
        <f>$O$206-P205*($O$206-$O$198)</f>
        <v>5.335</v>
      </c>
      <c r="G205" s="149"/>
      <c r="H205" s="82" t="str">
        <f t="shared" si="29"/>
        <v>0 percent up in Messinian international stage</v>
      </c>
      <c r="I205" s="142" t="str">
        <f t="shared" si="30"/>
        <v>100 percent up in Messinian international stage</v>
      </c>
      <c r="J205" s="7">
        <v>0</v>
      </c>
      <c r="K205" s="129">
        <f t="shared" si="31"/>
        <v>0</v>
      </c>
      <c r="L205" s="8" t="s">
        <v>28</v>
      </c>
      <c r="M205" s="5" t="s">
        <v>82</v>
      </c>
      <c r="N205" s="5" t="s">
        <v>82</v>
      </c>
      <c r="O205" s="83"/>
      <c r="P205" s="20">
        <v>1</v>
      </c>
      <c r="Q205" s="143">
        <f t="shared" si="32"/>
        <v>100</v>
      </c>
      <c r="R205" s="21" t="s">
        <v>28</v>
      </c>
      <c r="S205" s="8" t="s">
        <v>232</v>
      </c>
      <c r="T205" s="7" t="s">
        <v>226</v>
      </c>
    </row>
    <row r="206" spans="1:20" ht="28">
      <c r="A206" s="74" t="s">
        <v>407</v>
      </c>
      <c r="B206" s="68" t="s">
        <v>28</v>
      </c>
      <c r="C206" s="134" t="s">
        <v>7</v>
      </c>
      <c r="D206" s="134" t="s">
        <v>222</v>
      </c>
      <c r="E206" s="132">
        <f t="shared" si="33"/>
        <v>7.25</v>
      </c>
      <c r="F206" s="139">
        <f>$O$206-P206*($O$206-$O$198)</f>
        <v>5.335</v>
      </c>
      <c r="G206" s="149"/>
      <c r="H206" s="82" t="str">
        <f t="shared" si="29"/>
        <v>0 percent up in Messinian international stage</v>
      </c>
      <c r="I206" s="142" t="str">
        <f t="shared" si="30"/>
        <v>100 percent up in Messinian international stage</v>
      </c>
      <c r="J206" s="7">
        <v>0</v>
      </c>
      <c r="K206" s="129">
        <f t="shared" si="31"/>
        <v>0</v>
      </c>
      <c r="L206" s="8" t="s">
        <v>28</v>
      </c>
      <c r="M206" s="5" t="s">
        <v>224</v>
      </c>
      <c r="N206" s="5" t="s">
        <v>458</v>
      </c>
      <c r="O206" s="84">
        <f>Master_Chronostrat!I14</f>
        <v>7.25</v>
      </c>
      <c r="P206" s="20">
        <v>1</v>
      </c>
      <c r="Q206" s="143">
        <f t="shared" si="32"/>
        <v>100</v>
      </c>
      <c r="R206" s="21" t="s">
        <v>28</v>
      </c>
      <c r="S206" s="8" t="s">
        <v>224</v>
      </c>
      <c r="T206" s="7" t="s">
        <v>226</v>
      </c>
    </row>
    <row r="207" spans="1:20" ht="28">
      <c r="A207" s="74" t="s">
        <v>407</v>
      </c>
      <c r="B207" s="68" t="s">
        <v>459</v>
      </c>
      <c r="C207" s="5"/>
      <c r="D207" s="5" t="s">
        <v>234</v>
      </c>
      <c r="E207" s="132">
        <f t="shared" ref="E207:E226" si="34">$O$226-J207*($O$226-$O$206)</f>
        <v>7.5047569922054098</v>
      </c>
      <c r="F207" s="139">
        <f>$O$178-P207*($O$178-$O$155)</f>
        <v>2.8944664031620553</v>
      </c>
      <c r="G207" s="149"/>
      <c r="H207" s="82" t="str">
        <f t="shared" si="29"/>
        <v>94.2 percent up in Tortonian international stage</v>
      </c>
      <c r="I207" s="142" t="str">
        <f t="shared" si="30"/>
        <v>69.2 percent up in Piacenzian international stage</v>
      </c>
      <c r="J207" s="7">
        <v>0.94176983035304918</v>
      </c>
      <c r="K207" s="129">
        <f t="shared" si="31"/>
        <v>94.2</v>
      </c>
      <c r="L207" s="8" t="s">
        <v>29</v>
      </c>
      <c r="M207" s="5" t="s">
        <v>82</v>
      </c>
      <c r="N207" s="5" t="s">
        <v>82</v>
      </c>
      <c r="O207" s="83"/>
      <c r="P207" s="20">
        <v>0.69169960474308312</v>
      </c>
      <c r="Q207" s="143">
        <f t="shared" si="32"/>
        <v>69.2</v>
      </c>
      <c r="R207" s="21" t="s">
        <v>25</v>
      </c>
      <c r="S207" s="8" t="s">
        <v>246</v>
      </c>
      <c r="T207" s="7" t="s">
        <v>226</v>
      </c>
    </row>
    <row r="208" spans="1:20" ht="28">
      <c r="A208" s="74" t="s">
        <v>407</v>
      </c>
      <c r="B208" s="68" t="s">
        <v>460</v>
      </c>
      <c r="C208" s="5"/>
      <c r="D208" s="5" t="s">
        <v>461</v>
      </c>
      <c r="E208" s="132">
        <f t="shared" si="34"/>
        <v>7.5699507106831723</v>
      </c>
      <c r="F208" s="139">
        <f>$O$206-P208*($O$206-$O$198)</f>
        <v>5.335</v>
      </c>
      <c r="G208" s="149"/>
      <c r="H208" s="82" t="str">
        <f t="shared" si="29"/>
        <v>92.7 percent up in Tortonian international stage</v>
      </c>
      <c r="I208" s="142" t="str">
        <f t="shared" si="30"/>
        <v>100 percent up in Messinian international stage</v>
      </c>
      <c r="J208" s="7">
        <v>0.92686840898670342</v>
      </c>
      <c r="K208" s="129">
        <f t="shared" si="31"/>
        <v>92.7</v>
      </c>
      <c r="L208" s="8" t="s">
        <v>29</v>
      </c>
      <c r="M208" s="5" t="s">
        <v>82</v>
      </c>
      <c r="N208" s="5" t="s">
        <v>82</v>
      </c>
      <c r="O208" s="83"/>
      <c r="P208" s="20">
        <v>1</v>
      </c>
      <c r="Q208" s="143">
        <f t="shared" si="32"/>
        <v>100</v>
      </c>
      <c r="R208" s="21" t="s">
        <v>28</v>
      </c>
      <c r="S208" s="8" t="s">
        <v>246</v>
      </c>
      <c r="T208" s="7" t="s">
        <v>226</v>
      </c>
    </row>
    <row r="209" spans="1:20" ht="28">
      <c r="A209" s="74" t="s">
        <v>407</v>
      </c>
      <c r="B209" s="69" t="s">
        <v>462</v>
      </c>
      <c r="C209" s="5"/>
      <c r="D209" s="5" t="s">
        <v>463</v>
      </c>
      <c r="E209" s="132">
        <f t="shared" si="34"/>
        <v>8.7083333333333321</v>
      </c>
      <c r="F209" s="139">
        <f>$O$206-P209*($O$206-$O$198)</f>
        <v>5.335</v>
      </c>
      <c r="G209" s="149"/>
      <c r="H209" s="82" t="str">
        <f t="shared" si="29"/>
        <v>66.7 percent up in Tortonian international stage</v>
      </c>
      <c r="I209" s="142" t="str">
        <f t="shared" si="30"/>
        <v>100 percent up in Messinian international stage</v>
      </c>
      <c r="J209" s="7">
        <v>0.66666666666666696</v>
      </c>
      <c r="K209" s="129">
        <f t="shared" si="31"/>
        <v>66.7</v>
      </c>
      <c r="L209" s="8" t="s">
        <v>29</v>
      </c>
      <c r="M209" s="5" t="s">
        <v>82</v>
      </c>
      <c r="N209" s="5" t="s">
        <v>82</v>
      </c>
      <c r="O209" s="83"/>
      <c r="P209" s="20">
        <v>1</v>
      </c>
      <c r="Q209" s="143">
        <f t="shared" si="32"/>
        <v>100</v>
      </c>
      <c r="R209" s="21" t="s">
        <v>28</v>
      </c>
      <c r="S209" s="8" t="s">
        <v>246</v>
      </c>
      <c r="T209" s="7" t="s">
        <v>226</v>
      </c>
    </row>
    <row r="210" spans="1:20" ht="28">
      <c r="A210" s="74" t="s">
        <v>407</v>
      </c>
      <c r="B210" s="69" t="s">
        <v>464</v>
      </c>
      <c r="C210" s="5"/>
      <c r="D210" s="5" t="s">
        <v>244</v>
      </c>
      <c r="E210" s="132">
        <f t="shared" si="34"/>
        <v>9.0092274186153141</v>
      </c>
      <c r="F210" s="139">
        <f>$O$198-P210*($O$198-$O$178)</f>
        <v>4.7519919168591223</v>
      </c>
      <c r="G210" s="149"/>
      <c r="H210" s="82" t="str">
        <f t="shared" si="29"/>
        <v>59.8 percent up in Tortonian international stage</v>
      </c>
      <c r="I210" s="142" t="str">
        <f t="shared" si="30"/>
        <v>33.6 percent up in Zanclean international stage</v>
      </c>
      <c r="J210" s="7">
        <v>0.59789087574507116</v>
      </c>
      <c r="K210" s="129">
        <f t="shared" si="31"/>
        <v>59.8</v>
      </c>
      <c r="L210" s="8" t="s">
        <v>29</v>
      </c>
      <c r="M210" s="5" t="s">
        <v>82</v>
      </c>
      <c r="N210" s="5" t="s">
        <v>82</v>
      </c>
      <c r="O210" s="83"/>
      <c r="P210" s="20">
        <v>0.33602771362586603</v>
      </c>
      <c r="Q210" s="143">
        <f t="shared" si="32"/>
        <v>33.6</v>
      </c>
      <c r="R210" s="21" t="s">
        <v>27</v>
      </c>
      <c r="S210" s="8" t="s">
        <v>246</v>
      </c>
      <c r="T210" s="7" t="s">
        <v>226</v>
      </c>
    </row>
    <row r="211" spans="1:20" ht="28">
      <c r="A211" s="74" t="s">
        <v>407</v>
      </c>
      <c r="B211" s="68" t="s">
        <v>465</v>
      </c>
      <c r="C211" s="5"/>
      <c r="D211" s="5" t="s">
        <v>244</v>
      </c>
      <c r="E211" s="132">
        <f t="shared" si="34"/>
        <v>9.0092274186153141</v>
      </c>
      <c r="F211" s="139">
        <f>$O$198-P211*($O$198-$O$178)</f>
        <v>4.7519919168591223</v>
      </c>
      <c r="G211" s="149"/>
      <c r="H211" s="82" t="str">
        <f t="shared" si="29"/>
        <v>59.8 percent up in Tortonian international stage</v>
      </c>
      <c r="I211" s="142" t="str">
        <f t="shared" si="30"/>
        <v>33.6 percent up in Zanclean international stage</v>
      </c>
      <c r="J211" s="7">
        <v>0.59789087574507116</v>
      </c>
      <c r="K211" s="129">
        <f t="shared" si="31"/>
        <v>59.8</v>
      </c>
      <c r="L211" s="8" t="s">
        <v>29</v>
      </c>
      <c r="M211" s="5" t="s">
        <v>82</v>
      </c>
      <c r="N211" s="5" t="s">
        <v>82</v>
      </c>
      <c r="O211" s="83"/>
      <c r="P211" s="20">
        <v>0.33602771362586603</v>
      </c>
      <c r="Q211" s="143">
        <f t="shared" si="32"/>
        <v>33.6</v>
      </c>
      <c r="R211" s="21" t="s">
        <v>27</v>
      </c>
      <c r="S211" s="8" t="s">
        <v>246</v>
      </c>
      <c r="T211" s="7" t="s">
        <v>226</v>
      </c>
    </row>
    <row r="212" spans="1:20" ht="28">
      <c r="A212" s="74" t="s">
        <v>407</v>
      </c>
      <c r="B212" s="69" t="s">
        <v>466</v>
      </c>
      <c r="C212" s="5"/>
      <c r="D212" s="5" t="s">
        <v>322</v>
      </c>
      <c r="E212" s="132">
        <f t="shared" si="34"/>
        <v>9.0092274186153141</v>
      </c>
      <c r="F212" s="139">
        <f>$O$206-P212*($O$206-$O$198)</f>
        <v>6.8037669801462899</v>
      </c>
      <c r="G212" s="149"/>
      <c r="H212" s="82" t="str">
        <f t="shared" si="29"/>
        <v>59.8 percent up in Tortonian international stage</v>
      </c>
      <c r="I212" s="142" t="str">
        <f t="shared" si="30"/>
        <v>23.3 percent up in Messinian international stage</v>
      </c>
      <c r="J212" s="7">
        <v>0.59789087574507116</v>
      </c>
      <c r="K212" s="129">
        <f t="shared" si="31"/>
        <v>59.8</v>
      </c>
      <c r="L212" s="8" t="s">
        <v>29</v>
      </c>
      <c r="M212" s="5" t="s">
        <v>82</v>
      </c>
      <c r="N212" s="5" t="s">
        <v>82</v>
      </c>
      <c r="O212" s="83"/>
      <c r="P212" s="20">
        <v>0.23301985370950914</v>
      </c>
      <c r="Q212" s="143">
        <f t="shared" si="32"/>
        <v>23.3</v>
      </c>
      <c r="R212" s="21" t="s">
        <v>28</v>
      </c>
      <c r="S212" s="8" t="s">
        <v>246</v>
      </c>
      <c r="T212" s="7" t="s">
        <v>226</v>
      </c>
    </row>
    <row r="213" spans="1:20" ht="28">
      <c r="A213" s="74" t="s">
        <v>407</v>
      </c>
      <c r="B213" s="68" t="s">
        <v>467</v>
      </c>
      <c r="C213" s="5"/>
      <c r="D213" s="5" t="s">
        <v>354</v>
      </c>
      <c r="E213" s="132">
        <f t="shared" si="34"/>
        <v>9.5107175607519476</v>
      </c>
      <c r="F213" s="139">
        <f>$O$198-P213*($O$198-$O$178)</f>
        <v>3.6</v>
      </c>
      <c r="G213" s="149"/>
      <c r="H213" s="82" t="str">
        <f t="shared" si="29"/>
        <v>48.3 percent up in Tortonian international stage</v>
      </c>
      <c r="I213" s="142" t="str">
        <f t="shared" si="30"/>
        <v>100 percent up in Zanclean international stage</v>
      </c>
      <c r="J213" s="7">
        <v>0.48326455754241182</v>
      </c>
      <c r="K213" s="129">
        <f t="shared" si="31"/>
        <v>48.3</v>
      </c>
      <c r="L213" s="8" t="s">
        <v>29</v>
      </c>
      <c r="M213" s="5" t="s">
        <v>82</v>
      </c>
      <c r="N213" s="5" t="s">
        <v>82</v>
      </c>
      <c r="O213" s="83"/>
      <c r="P213" s="20">
        <v>1</v>
      </c>
      <c r="Q213" s="143">
        <f t="shared" si="32"/>
        <v>100</v>
      </c>
      <c r="R213" s="21" t="s">
        <v>27</v>
      </c>
      <c r="S213" s="8" t="s">
        <v>246</v>
      </c>
      <c r="T213" s="7" t="s">
        <v>226</v>
      </c>
    </row>
    <row r="214" spans="1:20" ht="28">
      <c r="A214" s="74" t="s">
        <v>407</v>
      </c>
      <c r="B214" s="69" t="s">
        <v>468</v>
      </c>
      <c r="C214" s="5"/>
      <c r="D214" s="5" t="s">
        <v>322</v>
      </c>
      <c r="E214" s="132">
        <f t="shared" si="34"/>
        <v>10.012207702888583</v>
      </c>
      <c r="F214" s="139">
        <f>$O$226-P214*($O$226-$O$206)</f>
        <v>9.0092274186153141</v>
      </c>
      <c r="G214" s="149"/>
      <c r="H214" s="82" t="str">
        <f t="shared" si="29"/>
        <v>36.9 percent up in Tortonian international stage</v>
      </c>
      <c r="I214" s="142" t="str">
        <f t="shared" si="30"/>
        <v>59.8 percent up in Tortonian international stage</v>
      </c>
      <c r="J214" s="7">
        <v>0.36863823933975248</v>
      </c>
      <c r="K214" s="129">
        <f t="shared" si="31"/>
        <v>36.9</v>
      </c>
      <c r="L214" s="8" t="s">
        <v>29</v>
      </c>
      <c r="M214" s="5" t="s">
        <v>82</v>
      </c>
      <c r="N214" s="5" t="s">
        <v>82</v>
      </c>
      <c r="O214" s="83"/>
      <c r="P214" s="20">
        <v>0.59789087574507116</v>
      </c>
      <c r="Q214" s="143">
        <f t="shared" si="32"/>
        <v>59.8</v>
      </c>
      <c r="R214" s="21" t="s">
        <v>29</v>
      </c>
      <c r="S214" s="8" t="s">
        <v>259</v>
      </c>
      <c r="T214" s="7">
        <v>0.22925263640531868</v>
      </c>
    </row>
    <row r="215" spans="1:20" ht="28">
      <c r="A215" s="74" t="s">
        <v>407</v>
      </c>
      <c r="B215" s="68" t="s">
        <v>469</v>
      </c>
      <c r="C215" s="5"/>
      <c r="D215" s="5" t="s">
        <v>236</v>
      </c>
      <c r="E215" s="132">
        <f t="shared" si="34"/>
        <v>10.012207702888583</v>
      </c>
      <c r="F215" s="139">
        <f>$O$206-P215*($O$206-$O$198)</f>
        <v>6.0033490073145241</v>
      </c>
      <c r="G215" s="149"/>
      <c r="H215" s="82" t="str">
        <f t="shared" si="29"/>
        <v>36.9 percent up in Tortonian international stage</v>
      </c>
      <c r="I215" s="142" t="str">
        <f t="shared" si="30"/>
        <v>65.1 percent up in Messinian international stage</v>
      </c>
      <c r="J215" s="7">
        <v>0.36863823933975248</v>
      </c>
      <c r="K215" s="129">
        <f t="shared" si="31"/>
        <v>36.9</v>
      </c>
      <c r="L215" s="8" t="s">
        <v>29</v>
      </c>
      <c r="M215" s="5" t="s">
        <v>82</v>
      </c>
      <c r="N215" s="5" t="s">
        <v>82</v>
      </c>
      <c r="O215" s="83"/>
      <c r="P215" s="20">
        <v>0.65099268547544409</v>
      </c>
      <c r="Q215" s="143">
        <f t="shared" si="32"/>
        <v>65.099999999999994</v>
      </c>
      <c r="R215" s="21" t="s">
        <v>28</v>
      </c>
      <c r="S215" s="8" t="s">
        <v>246</v>
      </c>
      <c r="T215" s="7" t="s">
        <v>226</v>
      </c>
    </row>
    <row r="216" spans="1:20" ht="28">
      <c r="A216" s="74" t="s">
        <v>407</v>
      </c>
      <c r="B216" s="69" t="s">
        <v>470</v>
      </c>
      <c r="C216" s="5"/>
      <c r="D216" s="5" t="s">
        <v>461</v>
      </c>
      <c r="E216" s="132">
        <f t="shared" si="34"/>
        <v>10.313101788170563</v>
      </c>
      <c r="F216" s="139">
        <f>$O$226-P216*($O$226-$O$206)</f>
        <v>8.5077372764786787</v>
      </c>
      <c r="G216" s="149"/>
      <c r="H216" s="82" t="str">
        <f t="shared" si="29"/>
        <v>30 percent up in Tortonian international stage</v>
      </c>
      <c r="I216" s="142" t="str">
        <f t="shared" si="30"/>
        <v>71.3 percent up in Tortonian international stage</v>
      </c>
      <c r="J216" s="7">
        <v>0.29986244841815679</v>
      </c>
      <c r="K216" s="129">
        <f t="shared" si="31"/>
        <v>30</v>
      </c>
      <c r="L216" s="8" t="s">
        <v>29</v>
      </c>
      <c r="M216" s="5" t="s">
        <v>82</v>
      </c>
      <c r="N216" s="5" t="s">
        <v>82</v>
      </c>
      <c r="O216" s="83"/>
      <c r="P216" s="20">
        <v>0.7125171939477305</v>
      </c>
      <c r="Q216" s="143">
        <f t="shared" si="32"/>
        <v>71.3</v>
      </c>
      <c r="R216" s="21" t="s">
        <v>29</v>
      </c>
      <c r="S216" s="8" t="s">
        <v>259</v>
      </c>
      <c r="T216" s="7">
        <v>0.41265474552957371</v>
      </c>
    </row>
    <row r="217" spans="1:20" ht="28">
      <c r="A217" s="74" t="s">
        <v>407</v>
      </c>
      <c r="B217" s="68" t="s">
        <v>471</v>
      </c>
      <c r="C217" s="5"/>
      <c r="D217" s="5" t="s">
        <v>368</v>
      </c>
      <c r="E217" s="132">
        <f t="shared" si="34"/>
        <v>10.513697845025217</v>
      </c>
      <c r="F217" s="139">
        <f>$O$198-P217*($O$198-$O$178)</f>
        <v>5.0024249422632794</v>
      </c>
      <c r="G217" s="149"/>
      <c r="H217" s="82" t="str">
        <f t="shared" si="29"/>
        <v>25.4 percent up in Tortonian international stage</v>
      </c>
      <c r="I217" s="142" t="str">
        <f t="shared" si="30"/>
        <v>19.2 percent up in Zanclean international stage</v>
      </c>
      <c r="J217" s="7">
        <v>0.25401192113709314</v>
      </c>
      <c r="K217" s="129">
        <f t="shared" si="31"/>
        <v>25.4</v>
      </c>
      <c r="L217" s="8" t="s">
        <v>29</v>
      </c>
      <c r="M217" s="5" t="s">
        <v>82</v>
      </c>
      <c r="N217" s="5" t="s">
        <v>82</v>
      </c>
      <c r="O217" s="83"/>
      <c r="P217" s="20">
        <v>0.19168591224018469</v>
      </c>
      <c r="Q217" s="143">
        <f t="shared" si="32"/>
        <v>19.2</v>
      </c>
      <c r="R217" s="21" t="s">
        <v>27</v>
      </c>
      <c r="S217" s="8" t="s">
        <v>246</v>
      </c>
      <c r="T217" s="7" t="s">
        <v>226</v>
      </c>
    </row>
    <row r="218" spans="1:20" ht="28">
      <c r="A218" s="74" t="s">
        <v>407</v>
      </c>
      <c r="B218" s="69" t="s">
        <v>472</v>
      </c>
      <c r="C218" s="5"/>
      <c r="D218" s="5" t="s">
        <v>236</v>
      </c>
      <c r="E218" s="132">
        <f t="shared" si="34"/>
        <v>10.914889958734525</v>
      </c>
      <c r="F218" s="139">
        <f>$O$198-P218*($O$198-$O$178)</f>
        <v>5.2829099307159355</v>
      </c>
      <c r="G218" s="149"/>
      <c r="H218" s="82" t="str">
        <f t="shared" si="29"/>
        <v>16.2 percent up in Tortonian international stage</v>
      </c>
      <c r="I218" s="142" t="str">
        <f t="shared" si="30"/>
        <v>3 percent up in Zanclean international stage</v>
      </c>
      <c r="J218" s="7">
        <v>0.16231086657496563</v>
      </c>
      <c r="K218" s="129">
        <f t="shared" si="31"/>
        <v>16.2</v>
      </c>
      <c r="L218" s="8" t="s">
        <v>29</v>
      </c>
      <c r="M218" s="5" t="s">
        <v>82</v>
      </c>
      <c r="N218" s="5" t="s">
        <v>82</v>
      </c>
      <c r="O218" s="83"/>
      <c r="P218" s="20">
        <v>3.0023094688221483E-2</v>
      </c>
      <c r="Q218" s="143">
        <f t="shared" si="32"/>
        <v>3</v>
      </c>
      <c r="R218" s="21" t="s">
        <v>27</v>
      </c>
      <c r="S218" s="8" t="s">
        <v>246</v>
      </c>
      <c r="T218" s="7" t="s">
        <v>226</v>
      </c>
    </row>
    <row r="219" spans="1:20" ht="28">
      <c r="A219" s="74" t="s">
        <v>407</v>
      </c>
      <c r="B219" s="68" t="s">
        <v>473</v>
      </c>
      <c r="C219" s="5"/>
      <c r="D219" s="5" t="s">
        <v>354</v>
      </c>
      <c r="E219" s="132">
        <f t="shared" si="34"/>
        <v>11.115486015589179</v>
      </c>
      <c r="F219" s="139">
        <f>$O$226-P219*($O$226-$O$206)</f>
        <v>9.5107175607519476</v>
      </c>
      <c r="G219" s="149"/>
      <c r="H219" s="82" t="str">
        <f t="shared" si="29"/>
        <v>11.6 percent up in Tortonian international stage</v>
      </c>
      <c r="I219" s="142" t="str">
        <f t="shared" si="30"/>
        <v>48.3 percent up in Tortonian international stage</v>
      </c>
      <c r="J219" s="7">
        <v>0.11646033929390209</v>
      </c>
      <c r="K219" s="129">
        <f t="shared" si="31"/>
        <v>11.6</v>
      </c>
      <c r="L219" s="8" t="s">
        <v>29</v>
      </c>
      <c r="M219" s="5" t="s">
        <v>82</v>
      </c>
      <c r="N219" s="5" t="s">
        <v>82</v>
      </c>
      <c r="O219" s="83"/>
      <c r="P219" s="20">
        <v>0.48326455754241188</v>
      </c>
      <c r="Q219" s="143">
        <f t="shared" si="32"/>
        <v>48.3</v>
      </c>
      <c r="R219" s="21" t="s">
        <v>29</v>
      </c>
      <c r="S219" s="8" t="s">
        <v>259</v>
      </c>
      <c r="T219" s="7">
        <v>0.36680421824850962</v>
      </c>
    </row>
    <row r="220" spans="1:20" ht="28">
      <c r="A220" s="74" t="s">
        <v>407</v>
      </c>
      <c r="B220" s="68" t="s">
        <v>474</v>
      </c>
      <c r="C220" s="5"/>
      <c r="D220" s="5" t="s">
        <v>236</v>
      </c>
      <c r="E220" s="132">
        <f t="shared" si="34"/>
        <v>11.516678129298485</v>
      </c>
      <c r="F220" s="139">
        <f>$O$226-P220*($O$226-$O$206)</f>
        <v>10.012207702888583</v>
      </c>
      <c r="G220" s="149"/>
      <c r="H220" s="82" t="str">
        <f t="shared" si="29"/>
        <v>2.5 percent up in Tortonian international stage</v>
      </c>
      <c r="I220" s="142" t="str">
        <f t="shared" si="30"/>
        <v>36.9 percent up in Tortonian international stage</v>
      </c>
      <c r="J220" s="7">
        <v>2.4759284731774578E-2</v>
      </c>
      <c r="K220" s="129">
        <f t="shared" si="31"/>
        <v>2.5</v>
      </c>
      <c r="L220" s="8" t="s">
        <v>29</v>
      </c>
      <c r="M220" s="5" t="s">
        <v>82</v>
      </c>
      <c r="N220" s="5" t="s">
        <v>82</v>
      </c>
      <c r="O220" s="83"/>
      <c r="P220" s="20">
        <v>0.36863823933975254</v>
      </c>
      <c r="Q220" s="143">
        <f t="shared" si="32"/>
        <v>36.9</v>
      </c>
      <c r="R220" s="21" t="s">
        <v>29</v>
      </c>
      <c r="S220" s="8" t="s">
        <v>259</v>
      </c>
      <c r="T220" s="7">
        <v>0.34387895460797802</v>
      </c>
    </row>
    <row r="221" spans="1:20" ht="28">
      <c r="A221" s="74" t="s">
        <v>407</v>
      </c>
      <c r="B221" s="68" t="s">
        <v>475</v>
      </c>
      <c r="C221" s="5"/>
      <c r="D221" s="5" t="s">
        <v>270</v>
      </c>
      <c r="E221" s="132">
        <f t="shared" si="34"/>
        <v>11.625</v>
      </c>
      <c r="F221" s="139">
        <f>$O$226-P221*($O$226-$O$206)</f>
        <v>7.25</v>
      </c>
      <c r="G221" s="149"/>
      <c r="H221" s="82" t="str">
        <f t="shared" si="29"/>
        <v>0 percent up in Tortonian international stage</v>
      </c>
      <c r="I221" s="142" t="str">
        <f t="shared" si="30"/>
        <v>100 percent up in Tortonian international stage</v>
      </c>
      <c r="J221" s="7">
        <v>0</v>
      </c>
      <c r="K221" s="129">
        <f t="shared" si="31"/>
        <v>0</v>
      </c>
      <c r="L221" s="8" t="s">
        <v>29</v>
      </c>
      <c r="M221" s="5" t="s">
        <v>82</v>
      </c>
      <c r="N221" s="5" t="s">
        <v>82</v>
      </c>
      <c r="O221" s="83"/>
      <c r="P221" s="20">
        <v>1</v>
      </c>
      <c r="Q221" s="143">
        <f t="shared" si="32"/>
        <v>100</v>
      </c>
      <c r="R221" s="21" t="s">
        <v>29</v>
      </c>
      <c r="S221" s="8" t="s">
        <v>232</v>
      </c>
      <c r="T221" s="7" t="s">
        <v>226</v>
      </c>
    </row>
    <row r="222" spans="1:20" ht="28">
      <c r="A222" s="74" t="s">
        <v>407</v>
      </c>
      <c r="B222" s="69" t="s">
        <v>476</v>
      </c>
      <c r="C222" s="5"/>
      <c r="D222" s="5" t="s">
        <v>390</v>
      </c>
      <c r="E222" s="132">
        <f t="shared" si="34"/>
        <v>11.625</v>
      </c>
      <c r="F222" s="139">
        <f>$O$226-P222*($O$226-$O$206)</f>
        <v>7.25</v>
      </c>
      <c r="G222" s="149"/>
      <c r="H222" s="82" t="str">
        <f t="shared" si="29"/>
        <v>0 percent up in Tortonian international stage</v>
      </c>
      <c r="I222" s="142" t="str">
        <f t="shared" si="30"/>
        <v>100 percent up in Tortonian international stage</v>
      </c>
      <c r="J222" s="7">
        <v>0</v>
      </c>
      <c r="K222" s="129">
        <f t="shared" si="31"/>
        <v>0</v>
      </c>
      <c r="L222" s="8" t="s">
        <v>29</v>
      </c>
      <c r="M222" s="5" t="s">
        <v>82</v>
      </c>
      <c r="N222" s="5" t="s">
        <v>82</v>
      </c>
      <c r="O222" s="83"/>
      <c r="P222" s="20">
        <v>1</v>
      </c>
      <c r="Q222" s="143">
        <f t="shared" si="32"/>
        <v>100</v>
      </c>
      <c r="R222" s="21" t="s">
        <v>29</v>
      </c>
      <c r="S222" s="8" t="s">
        <v>232</v>
      </c>
      <c r="T222" s="7" t="s">
        <v>226</v>
      </c>
    </row>
    <row r="223" spans="1:20" ht="28">
      <c r="A223" s="74" t="s">
        <v>407</v>
      </c>
      <c r="B223" s="68" t="s">
        <v>477</v>
      </c>
      <c r="C223" s="5"/>
      <c r="D223" s="5" t="s">
        <v>82</v>
      </c>
      <c r="E223" s="132">
        <f t="shared" si="34"/>
        <v>11.625</v>
      </c>
      <c r="F223" s="139">
        <f>$O$206-P223*($O$206-$O$198)</f>
        <v>5.335</v>
      </c>
      <c r="G223" s="149"/>
      <c r="H223" s="82" t="str">
        <f t="shared" si="29"/>
        <v>0 percent up in Tortonian international stage</v>
      </c>
      <c r="I223" s="142" t="str">
        <f t="shared" si="30"/>
        <v>100 percent up in Messinian international stage</v>
      </c>
      <c r="J223" s="7">
        <v>0</v>
      </c>
      <c r="K223" s="129">
        <f t="shared" si="31"/>
        <v>0</v>
      </c>
      <c r="L223" s="8" t="s">
        <v>29</v>
      </c>
      <c r="M223" s="5" t="s">
        <v>82</v>
      </c>
      <c r="N223" s="5" t="s">
        <v>82</v>
      </c>
      <c r="O223" s="83"/>
      <c r="P223" s="20">
        <v>1</v>
      </c>
      <c r="Q223" s="143">
        <f t="shared" si="32"/>
        <v>100</v>
      </c>
      <c r="R223" s="21" t="s">
        <v>28</v>
      </c>
      <c r="S223" s="8" t="s">
        <v>232</v>
      </c>
      <c r="T223" s="7" t="s">
        <v>226</v>
      </c>
    </row>
    <row r="224" spans="1:20" ht="28">
      <c r="A224" s="74" t="s">
        <v>407</v>
      </c>
      <c r="B224" s="71" t="s">
        <v>478</v>
      </c>
      <c r="C224" s="5"/>
      <c r="D224" s="5" t="s">
        <v>82</v>
      </c>
      <c r="E224" s="132">
        <f t="shared" si="34"/>
        <v>11.625</v>
      </c>
      <c r="F224" s="139">
        <f>$O$206-P224*($O$206-$O$198)</f>
        <v>5.335</v>
      </c>
      <c r="G224" s="149"/>
      <c r="H224" s="82" t="str">
        <f t="shared" si="29"/>
        <v>0 percent up in Tortonian international stage</v>
      </c>
      <c r="I224" s="142" t="str">
        <f t="shared" si="30"/>
        <v>100 percent up in Messinian international stage</v>
      </c>
      <c r="J224" s="7">
        <v>0</v>
      </c>
      <c r="K224" s="129">
        <f t="shared" si="31"/>
        <v>0</v>
      </c>
      <c r="L224" s="8" t="s">
        <v>29</v>
      </c>
      <c r="M224" s="5" t="s">
        <v>82</v>
      </c>
      <c r="N224" s="5" t="s">
        <v>82</v>
      </c>
      <c r="O224" s="83"/>
      <c r="P224" s="20">
        <v>1</v>
      </c>
      <c r="Q224" s="143">
        <f t="shared" si="32"/>
        <v>100</v>
      </c>
      <c r="R224" s="21" t="s">
        <v>28</v>
      </c>
      <c r="S224" s="8" t="s">
        <v>232</v>
      </c>
      <c r="T224" s="7" t="s">
        <v>226</v>
      </c>
    </row>
    <row r="225" spans="1:20" ht="28">
      <c r="A225" s="74" t="s">
        <v>407</v>
      </c>
      <c r="B225" s="70" t="s">
        <v>479</v>
      </c>
      <c r="C225" s="5"/>
      <c r="D225" s="5" t="s">
        <v>270</v>
      </c>
      <c r="E225" s="132">
        <f t="shared" si="34"/>
        <v>11.625</v>
      </c>
      <c r="F225" s="139">
        <f t="shared" ref="F225:F231" si="35">$O$226-P225*($O$226-$O$206)</f>
        <v>7.25</v>
      </c>
      <c r="G225" s="149"/>
      <c r="H225" s="82" t="str">
        <f t="shared" si="29"/>
        <v>0 percent up in Tortonian international stage</v>
      </c>
      <c r="I225" s="142" t="str">
        <f t="shared" si="30"/>
        <v>100 percent up in Tortonian international stage</v>
      </c>
      <c r="J225" s="7">
        <v>0</v>
      </c>
      <c r="K225" s="129">
        <f t="shared" si="31"/>
        <v>0</v>
      </c>
      <c r="L225" s="8" t="s">
        <v>29</v>
      </c>
      <c r="M225" s="5" t="s">
        <v>82</v>
      </c>
      <c r="N225" s="5" t="s">
        <v>82</v>
      </c>
      <c r="O225" s="83"/>
      <c r="P225" s="20">
        <v>1</v>
      </c>
      <c r="Q225" s="143">
        <f t="shared" si="32"/>
        <v>100</v>
      </c>
      <c r="R225" s="21" t="s">
        <v>29</v>
      </c>
      <c r="S225" s="8" t="s">
        <v>232</v>
      </c>
      <c r="T225" s="7" t="s">
        <v>226</v>
      </c>
    </row>
    <row r="226" spans="1:20" ht="28">
      <c r="A226" s="74" t="s">
        <v>407</v>
      </c>
      <c r="B226" s="68" t="s">
        <v>29</v>
      </c>
      <c r="C226" s="134" t="s">
        <v>7</v>
      </c>
      <c r="D226" s="134" t="s">
        <v>222</v>
      </c>
      <c r="E226" s="132">
        <f t="shared" si="34"/>
        <v>11.625</v>
      </c>
      <c r="F226" s="139">
        <f t="shared" si="35"/>
        <v>7.25</v>
      </c>
      <c r="G226" s="149"/>
      <c r="H226" s="82" t="str">
        <f t="shared" si="29"/>
        <v>0 percent up in Tortonian international stage</v>
      </c>
      <c r="I226" s="142" t="str">
        <f t="shared" si="30"/>
        <v>100 percent up in Tortonian international stage</v>
      </c>
      <c r="J226" s="7">
        <v>0</v>
      </c>
      <c r="K226" s="129">
        <f t="shared" si="31"/>
        <v>0</v>
      </c>
      <c r="L226" s="8" t="s">
        <v>29</v>
      </c>
      <c r="M226" s="5" t="s">
        <v>224</v>
      </c>
      <c r="N226" s="5" t="s">
        <v>480</v>
      </c>
      <c r="O226" s="83">
        <f>Master_Chronostrat!I15</f>
        <v>11.625</v>
      </c>
      <c r="P226" s="20">
        <v>1</v>
      </c>
      <c r="Q226" s="143">
        <f t="shared" si="32"/>
        <v>100</v>
      </c>
      <c r="R226" s="21" t="s">
        <v>29</v>
      </c>
      <c r="S226" s="8" t="s">
        <v>224</v>
      </c>
      <c r="T226" s="7" t="s">
        <v>226</v>
      </c>
    </row>
    <row r="227" spans="1:20" ht="28">
      <c r="A227" s="74" t="s">
        <v>407</v>
      </c>
      <c r="B227" s="68" t="s">
        <v>481</v>
      </c>
      <c r="C227" s="5"/>
      <c r="D227" s="5" t="s">
        <v>244</v>
      </c>
      <c r="E227" s="132">
        <f t="shared" ref="E227:E238" si="36">$O$238-J227*($O$238-$O$226)</f>
        <v>11.831385896180215</v>
      </c>
      <c r="F227" s="139">
        <f t="shared" si="35"/>
        <v>9.0092274186153141</v>
      </c>
      <c r="G227" s="149"/>
      <c r="H227" s="82" t="str">
        <f t="shared" si="29"/>
        <v>90.6 percent up in Serravallian international stage</v>
      </c>
      <c r="I227" s="142" t="str">
        <f t="shared" si="30"/>
        <v>59.8 percent up in Tortonian international stage</v>
      </c>
      <c r="J227" s="7">
        <v>0.90597453476983336</v>
      </c>
      <c r="K227" s="129">
        <f t="shared" si="31"/>
        <v>90.6</v>
      </c>
      <c r="L227" s="8" t="s">
        <v>30</v>
      </c>
      <c r="M227" s="5" t="s">
        <v>82</v>
      </c>
      <c r="N227" s="5" t="s">
        <v>82</v>
      </c>
      <c r="O227" s="83"/>
      <c r="P227" s="20">
        <v>0.59789087574507116</v>
      </c>
      <c r="Q227" s="143">
        <f t="shared" si="32"/>
        <v>59.8</v>
      </c>
      <c r="R227" s="21" t="s">
        <v>29</v>
      </c>
      <c r="S227" s="8" t="s">
        <v>246</v>
      </c>
      <c r="T227" s="7" t="s">
        <v>226</v>
      </c>
    </row>
    <row r="228" spans="1:20" ht="28">
      <c r="A228" s="74" t="s">
        <v>407</v>
      </c>
      <c r="B228" s="69" t="s">
        <v>482</v>
      </c>
      <c r="C228" s="5"/>
      <c r="D228" s="5" t="s">
        <v>322</v>
      </c>
      <c r="E228" s="132">
        <f t="shared" si="36"/>
        <v>11.86514014466546</v>
      </c>
      <c r="F228" s="139">
        <f t="shared" si="35"/>
        <v>10.062356717102247</v>
      </c>
      <c r="G228" s="149"/>
      <c r="H228" s="82" t="str">
        <f t="shared" si="29"/>
        <v>89.1 percent up in Serravallian international stage</v>
      </c>
      <c r="I228" s="142" t="str">
        <f t="shared" si="30"/>
        <v>35.7 percent up in Tortonian international stage</v>
      </c>
      <c r="J228" s="7">
        <v>0.89059674502712483</v>
      </c>
      <c r="K228" s="129">
        <f t="shared" si="31"/>
        <v>89.1</v>
      </c>
      <c r="L228" s="8" t="s">
        <v>30</v>
      </c>
      <c r="M228" s="5" t="s">
        <v>82</v>
      </c>
      <c r="N228" s="5" t="s">
        <v>82</v>
      </c>
      <c r="O228" s="83"/>
      <c r="P228" s="20">
        <v>0.3571756075194864</v>
      </c>
      <c r="Q228" s="143">
        <f t="shared" si="32"/>
        <v>35.700000000000003</v>
      </c>
      <c r="R228" s="21" t="s">
        <v>29</v>
      </c>
      <c r="S228" s="8" t="s">
        <v>246</v>
      </c>
      <c r="T228" s="7" t="s">
        <v>226</v>
      </c>
    </row>
    <row r="229" spans="1:20" ht="28">
      <c r="A229" s="74" t="s">
        <v>407</v>
      </c>
      <c r="B229" s="69" t="s">
        <v>483</v>
      </c>
      <c r="C229" s="5"/>
      <c r="D229" s="5" t="s">
        <v>322</v>
      </c>
      <c r="E229" s="132">
        <f t="shared" si="36"/>
        <v>11.86514014466546</v>
      </c>
      <c r="F229" s="139">
        <f t="shared" si="35"/>
        <v>10.062356717102247</v>
      </c>
      <c r="G229" s="149"/>
      <c r="H229" s="82" t="str">
        <f t="shared" si="29"/>
        <v>89.1 percent up in Serravallian international stage</v>
      </c>
      <c r="I229" s="142" t="str">
        <f t="shared" si="30"/>
        <v>35.7 percent up in Tortonian international stage</v>
      </c>
      <c r="J229" s="7">
        <v>0.89059674502712483</v>
      </c>
      <c r="K229" s="129">
        <f t="shared" si="31"/>
        <v>89.1</v>
      </c>
      <c r="L229" s="8" t="s">
        <v>30</v>
      </c>
      <c r="M229" s="5" t="s">
        <v>82</v>
      </c>
      <c r="N229" s="5" t="s">
        <v>82</v>
      </c>
      <c r="O229" s="83"/>
      <c r="P229" s="20">
        <v>0.3571756075194864</v>
      </c>
      <c r="Q229" s="143">
        <f t="shared" si="32"/>
        <v>35.700000000000003</v>
      </c>
      <c r="R229" s="21" t="s">
        <v>29</v>
      </c>
      <c r="S229" s="8" t="s">
        <v>246</v>
      </c>
      <c r="T229" s="7" t="s">
        <v>226</v>
      </c>
    </row>
    <row r="230" spans="1:20" ht="28">
      <c r="A230" s="74" t="s">
        <v>407</v>
      </c>
      <c r="B230" s="68" t="s">
        <v>484</v>
      </c>
      <c r="C230" s="5"/>
      <c r="D230" s="5" t="s">
        <v>461</v>
      </c>
      <c r="E230" s="132">
        <f t="shared" si="36"/>
        <v>12.064</v>
      </c>
      <c r="F230" s="139">
        <f t="shared" si="35"/>
        <v>10.75</v>
      </c>
      <c r="G230" s="149"/>
      <c r="H230" s="82" t="str">
        <f t="shared" si="29"/>
        <v>80 percent up in Serravallian international stage</v>
      </c>
      <c r="I230" s="142" t="str">
        <f t="shared" si="30"/>
        <v>20 percent up in Tortonian international stage</v>
      </c>
      <c r="J230" s="7">
        <v>0.79999999999999982</v>
      </c>
      <c r="K230" s="129">
        <f t="shared" si="31"/>
        <v>80</v>
      </c>
      <c r="L230" s="8" t="s">
        <v>30</v>
      </c>
      <c r="M230" s="5" t="s">
        <v>82</v>
      </c>
      <c r="N230" s="5" t="s">
        <v>82</v>
      </c>
      <c r="O230" s="83"/>
      <c r="P230" s="20">
        <v>0.20000000000000015</v>
      </c>
      <c r="Q230" s="143">
        <f t="shared" si="32"/>
        <v>20</v>
      </c>
      <c r="R230" s="21" t="s">
        <v>29</v>
      </c>
      <c r="S230" s="8" t="s">
        <v>246</v>
      </c>
      <c r="T230" s="7" t="s">
        <v>226</v>
      </c>
    </row>
    <row r="231" spans="1:20" ht="28">
      <c r="A231" s="74" t="s">
        <v>407</v>
      </c>
      <c r="B231" s="72" t="s">
        <v>485</v>
      </c>
      <c r="C231" s="5"/>
      <c r="D231" s="5" t="s">
        <v>292</v>
      </c>
      <c r="E231" s="132">
        <f t="shared" si="36"/>
        <v>12.583834476003917</v>
      </c>
      <c r="F231" s="139">
        <f t="shared" si="35"/>
        <v>7.25</v>
      </c>
      <c r="G231" s="149"/>
      <c r="H231" s="82" t="str">
        <f t="shared" si="29"/>
        <v>56.3 percent up in Serravallian international stage</v>
      </c>
      <c r="I231" s="142" t="str">
        <f t="shared" si="30"/>
        <v>100 percent up in Tortonian international stage</v>
      </c>
      <c r="J231" s="7">
        <v>0.56317335945151836</v>
      </c>
      <c r="K231" s="129">
        <f t="shared" si="31"/>
        <v>56.3</v>
      </c>
      <c r="L231" s="8" t="s">
        <v>30</v>
      </c>
      <c r="M231" s="5" t="s">
        <v>82</v>
      </c>
      <c r="N231" s="5" t="s">
        <v>82</v>
      </c>
      <c r="O231" s="83"/>
      <c r="P231" s="20">
        <v>1</v>
      </c>
      <c r="Q231" s="143">
        <f t="shared" si="32"/>
        <v>100</v>
      </c>
      <c r="R231" s="21" t="s">
        <v>29</v>
      </c>
      <c r="S231" s="8" t="s">
        <v>246</v>
      </c>
      <c r="T231" s="7" t="s">
        <v>226</v>
      </c>
    </row>
    <row r="232" spans="1:20" ht="28">
      <c r="A232" s="74" t="s">
        <v>407</v>
      </c>
      <c r="B232" s="70" t="s">
        <v>486</v>
      </c>
      <c r="C232" s="5"/>
      <c r="D232" s="5" t="s">
        <v>82</v>
      </c>
      <c r="E232" s="132">
        <f t="shared" si="36"/>
        <v>12.874064642507346</v>
      </c>
      <c r="F232" s="139">
        <f>$O$238-P232*($O$238-$O$226)</f>
        <v>11.625</v>
      </c>
      <c r="G232" s="149"/>
      <c r="H232" s="82" t="str">
        <f t="shared" si="29"/>
        <v>43.1 percent up in Serravallian international stage</v>
      </c>
      <c r="I232" s="142" t="str">
        <f t="shared" si="30"/>
        <v>100 percent up in Serravallian international stage</v>
      </c>
      <c r="J232" s="7">
        <v>0.43095004897159694</v>
      </c>
      <c r="K232" s="129">
        <f t="shared" si="31"/>
        <v>43.1</v>
      </c>
      <c r="L232" s="8" t="s">
        <v>30</v>
      </c>
      <c r="M232" s="5" t="s">
        <v>82</v>
      </c>
      <c r="N232" s="5" t="s">
        <v>82</v>
      </c>
      <c r="O232" s="83"/>
      <c r="P232" s="20">
        <v>1</v>
      </c>
      <c r="Q232" s="143">
        <f t="shared" si="32"/>
        <v>100</v>
      </c>
      <c r="R232" s="21" t="s">
        <v>30</v>
      </c>
      <c r="S232" s="8" t="s">
        <v>272</v>
      </c>
      <c r="T232" s="7" t="s">
        <v>226</v>
      </c>
    </row>
    <row r="233" spans="1:20" ht="28">
      <c r="A233" s="74" t="s">
        <v>407</v>
      </c>
      <c r="B233" s="68" t="s">
        <v>487</v>
      </c>
      <c r="C233" s="5"/>
      <c r="D233" s="5" t="s">
        <v>354</v>
      </c>
      <c r="E233" s="132">
        <f t="shared" si="36"/>
        <v>13.658761018609207</v>
      </c>
      <c r="F233" s="139">
        <f>$O$226-P233*($O$226-$O$206)</f>
        <v>11.115486015589179</v>
      </c>
      <c r="G233" s="149"/>
      <c r="H233" s="82" t="str">
        <f t="shared" si="29"/>
        <v>7.3 percent up in Serravallian international stage</v>
      </c>
      <c r="I233" s="142" t="str">
        <f t="shared" si="30"/>
        <v>11.6 percent up in Tortonian international stage</v>
      </c>
      <c r="J233" s="7">
        <v>7.3457394711067714E-2</v>
      </c>
      <c r="K233" s="129">
        <f t="shared" si="31"/>
        <v>7.3</v>
      </c>
      <c r="L233" s="8" t="s">
        <v>30</v>
      </c>
      <c r="M233" s="5" t="s">
        <v>82</v>
      </c>
      <c r="N233" s="5" t="s">
        <v>82</v>
      </c>
      <c r="O233" s="83"/>
      <c r="P233" s="20">
        <v>0.11646033929390208</v>
      </c>
      <c r="Q233" s="143">
        <f t="shared" si="32"/>
        <v>11.6</v>
      </c>
      <c r="R233" s="21" t="s">
        <v>29</v>
      </c>
      <c r="S233" s="8" t="s">
        <v>246</v>
      </c>
      <c r="T233" s="7" t="s">
        <v>226</v>
      </c>
    </row>
    <row r="234" spans="1:20" ht="28">
      <c r="A234" s="74" t="s">
        <v>407</v>
      </c>
      <c r="B234" s="68" t="s">
        <v>488</v>
      </c>
      <c r="C234" s="5"/>
      <c r="D234" s="5" t="s">
        <v>234</v>
      </c>
      <c r="E234" s="132">
        <f t="shared" si="36"/>
        <v>13.658761018609207</v>
      </c>
      <c r="F234" s="139">
        <f>$O$226-P234*($O$226-$O$206)</f>
        <v>7.5047569922054098</v>
      </c>
      <c r="G234" s="149"/>
      <c r="H234" s="82" t="str">
        <f t="shared" si="29"/>
        <v>7.3 percent up in Serravallian international stage</v>
      </c>
      <c r="I234" s="142" t="str">
        <f t="shared" si="30"/>
        <v>94.2 percent up in Tortonian international stage</v>
      </c>
      <c r="J234" s="7">
        <v>7.3457394711067714E-2</v>
      </c>
      <c r="K234" s="129">
        <f t="shared" si="31"/>
        <v>7.3</v>
      </c>
      <c r="L234" s="8" t="s">
        <v>30</v>
      </c>
      <c r="M234" s="5" t="s">
        <v>82</v>
      </c>
      <c r="N234" s="5" t="s">
        <v>82</v>
      </c>
      <c r="O234" s="83"/>
      <c r="P234" s="20">
        <v>0.94176983035304918</v>
      </c>
      <c r="Q234" s="143">
        <f t="shared" si="32"/>
        <v>94.2</v>
      </c>
      <c r="R234" s="21" t="s">
        <v>29</v>
      </c>
      <c r="S234" s="8" t="s">
        <v>246</v>
      </c>
      <c r="T234" s="7" t="s">
        <v>226</v>
      </c>
    </row>
    <row r="235" spans="1:20" ht="28">
      <c r="A235" s="74" t="s">
        <v>407</v>
      </c>
      <c r="B235" s="69" t="s">
        <v>489</v>
      </c>
      <c r="C235" s="5"/>
      <c r="D235" s="5" t="s">
        <v>322</v>
      </c>
      <c r="E235" s="132">
        <f t="shared" si="36"/>
        <v>13.800153707052441</v>
      </c>
      <c r="F235" s="139">
        <f>$O$238-P235*($O$238-$O$226)</f>
        <v>12.013987341772152</v>
      </c>
      <c r="G235" s="149"/>
      <c r="H235" s="82" t="str">
        <f t="shared" si="29"/>
        <v>0.9 percent up in Serravallian international stage</v>
      </c>
      <c r="I235" s="142" t="str">
        <f t="shared" si="30"/>
        <v>82.3 percent up in Serravallian international stage</v>
      </c>
      <c r="J235" s="7">
        <v>9.0415913200723175E-3</v>
      </c>
      <c r="K235" s="129">
        <f t="shared" si="31"/>
        <v>0.9</v>
      </c>
      <c r="L235" s="8" t="s">
        <v>30</v>
      </c>
      <c r="M235" s="5" t="s">
        <v>82</v>
      </c>
      <c r="N235" s="5" t="s">
        <v>82</v>
      </c>
      <c r="O235" s="83"/>
      <c r="P235" s="20">
        <v>0.82278481012658233</v>
      </c>
      <c r="Q235" s="143">
        <f t="shared" si="32"/>
        <v>82.3</v>
      </c>
      <c r="R235" s="21" t="s">
        <v>30</v>
      </c>
      <c r="S235" s="8" t="s">
        <v>259</v>
      </c>
      <c r="T235" s="7">
        <v>0.81374321880651024</v>
      </c>
    </row>
    <row r="236" spans="1:20" ht="28">
      <c r="A236" s="74" t="s">
        <v>407</v>
      </c>
      <c r="B236" s="69" t="s">
        <v>490</v>
      </c>
      <c r="C236" s="5"/>
      <c r="D236" s="5" t="s">
        <v>264</v>
      </c>
      <c r="E236" s="132">
        <f t="shared" si="36"/>
        <v>13.82</v>
      </c>
      <c r="F236" s="139">
        <f>$O$238-P236*($O$238-$O$226)</f>
        <v>11.625</v>
      </c>
      <c r="G236" s="149"/>
      <c r="H236" s="82" t="str">
        <f t="shared" si="29"/>
        <v>0 percent up in Serravallian international stage</v>
      </c>
      <c r="I236" s="142" t="str">
        <f t="shared" si="30"/>
        <v>100 percent up in Serravallian international stage</v>
      </c>
      <c r="J236" s="7">
        <v>0</v>
      </c>
      <c r="K236" s="129">
        <f t="shared" si="31"/>
        <v>0</v>
      </c>
      <c r="L236" s="8" t="s">
        <v>30</v>
      </c>
      <c r="M236" s="5" t="s">
        <v>82</v>
      </c>
      <c r="N236" s="5" t="s">
        <v>82</v>
      </c>
      <c r="O236" s="83"/>
      <c r="P236" s="20">
        <v>1</v>
      </c>
      <c r="Q236" s="143">
        <f t="shared" si="32"/>
        <v>100</v>
      </c>
      <c r="R236" s="21" t="s">
        <v>30</v>
      </c>
      <c r="S236" s="8" t="s">
        <v>232</v>
      </c>
      <c r="T236" s="7" t="s">
        <v>226</v>
      </c>
    </row>
    <row r="237" spans="1:20" ht="28">
      <c r="A237" s="74" t="s">
        <v>407</v>
      </c>
      <c r="B237" s="69" t="s">
        <v>491</v>
      </c>
      <c r="C237" s="5"/>
      <c r="D237" s="5" t="s">
        <v>82</v>
      </c>
      <c r="E237" s="132">
        <f t="shared" si="36"/>
        <v>13.82</v>
      </c>
      <c r="F237" s="139">
        <f>$O$238-P237*($O$238-$O$226)</f>
        <v>11.625</v>
      </c>
      <c r="G237" s="149"/>
      <c r="H237" s="82" t="str">
        <f t="shared" si="29"/>
        <v>0 percent up in Serravallian international stage</v>
      </c>
      <c r="I237" s="142" t="str">
        <f t="shared" si="30"/>
        <v>100 percent up in Serravallian international stage</v>
      </c>
      <c r="J237" s="7">
        <v>0</v>
      </c>
      <c r="K237" s="129">
        <f t="shared" si="31"/>
        <v>0</v>
      </c>
      <c r="L237" s="8" t="s">
        <v>30</v>
      </c>
      <c r="M237" s="5" t="s">
        <v>82</v>
      </c>
      <c r="N237" s="5" t="s">
        <v>82</v>
      </c>
      <c r="O237" s="83"/>
      <c r="P237" s="20">
        <v>1</v>
      </c>
      <c r="Q237" s="143">
        <f t="shared" si="32"/>
        <v>100</v>
      </c>
      <c r="R237" s="21" t="s">
        <v>30</v>
      </c>
      <c r="S237" s="8" t="s">
        <v>232</v>
      </c>
      <c r="T237" s="7" t="s">
        <v>226</v>
      </c>
    </row>
    <row r="238" spans="1:20" ht="28">
      <c r="A238" s="74" t="s">
        <v>407</v>
      </c>
      <c r="B238" s="68" t="s">
        <v>30</v>
      </c>
      <c r="C238" s="134" t="s">
        <v>7</v>
      </c>
      <c r="D238" s="134" t="s">
        <v>222</v>
      </c>
      <c r="E238" s="132">
        <f t="shared" si="36"/>
        <v>13.82</v>
      </c>
      <c r="F238" s="139">
        <f>$O$238-P238*($O$238-$O$226)</f>
        <v>11.625</v>
      </c>
      <c r="G238" s="149"/>
      <c r="H238" s="82" t="str">
        <f t="shared" si="29"/>
        <v>0 percent up in Serravallian international stage</v>
      </c>
      <c r="I238" s="142" t="str">
        <f t="shared" si="30"/>
        <v>100 percent up in Serravallian international stage</v>
      </c>
      <c r="J238" s="7">
        <v>0</v>
      </c>
      <c r="K238" s="129">
        <f t="shared" si="31"/>
        <v>0</v>
      </c>
      <c r="L238" s="8" t="s">
        <v>30</v>
      </c>
      <c r="M238" s="5" t="s">
        <v>224</v>
      </c>
      <c r="N238" s="5" t="s">
        <v>492</v>
      </c>
      <c r="O238" s="84">
        <f>Master_Chronostrat!I16</f>
        <v>13.82</v>
      </c>
      <c r="P238" s="20">
        <v>1</v>
      </c>
      <c r="Q238" s="143">
        <f t="shared" si="32"/>
        <v>100</v>
      </c>
      <c r="R238" s="21" t="s">
        <v>30</v>
      </c>
      <c r="S238" s="8" t="s">
        <v>224</v>
      </c>
      <c r="T238" s="7" t="s">
        <v>226</v>
      </c>
    </row>
    <row r="239" spans="1:20" ht="28">
      <c r="A239" s="74" t="s">
        <v>407</v>
      </c>
      <c r="B239" s="72" t="s">
        <v>493</v>
      </c>
      <c r="C239" s="5"/>
      <c r="D239" s="5" t="s">
        <v>292</v>
      </c>
      <c r="E239" s="132">
        <f t="shared" ref="E239:E259" si="37">$O$259-J239*($O$259-$O$238)</f>
        <v>14.615043103448276</v>
      </c>
      <c r="F239" s="139">
        <f>$O$259-P239*($O$259-$O$238)</f>
        <v>13.82</v>
      </c>
      <c r="G239" s="149"/>
      <c r="H239" s="82" t="str">
        <f t="shared" si="29"/>
        <v>63.4 percent up in Langhian international stage</v>
      </c>
      <c r="I239" s="142" t="str">
        <f t="shared" si="30"/>
        <v>100 percent up in Langhian international stage</v>
      </c>
      <c r="J239" s="7">
        <v>0.6336206896551726</v>
      </c>
      <c r="K239" s="129">
        <f t="shared" si="31"/>
        <v>63.4</v>
      </c>
      <c r="L239" s="8" t="s">
        <v>31</v>
      </c>
      <c r="M239" s="5" t="s">
        <v>82</v>
      </c>
      <c r="N239" s="5" t="s">
        <v>82</v>
      </c>
      <c r="O239" s="83"/>
      <c r="P239" s="20">
        <v>1</v>
      </c>
      <c r="Q239" s="143">
        <f t="shared" si="32"/>
        <v>100</v>
      </c>
      <c r="R239" s="21" t="s">
        <v>31</v>
      </c>
      <c r="S239" s="8" t="s">
        <v>272</v>
      </c>
      <c r="T239" s="7" t="s">
        <v>226</v>
      </c>
    </row>
    <row r="240" spans="1:20" ht="28">
      <c r="A240" s="74" t="s">
        <v>407</v>
      </c>
      <c r="B240" s="68" t="s">
        <v>494</v>
      </c>
      <c r="C240" s="5"/>
      <c r="D240" s="5" t="s">
        <v>368</v>
      </c>
      <c r="E240" s="132">
        <f t="shared" si="37"/>
        <v>15.082715517241379</v>
      </c>
      <c r="F240" s="139">
        <f>$O$226-P240*($O$226-$O$206)</f>
        <v>10.513697845025217</v>
      </c>
      <c r="G240" s="149"/>
      <c r="H240" s="82" t="str">
        <f t="shared" si="29"/>
        <v>41.8 percent up in Langhian international stage</v>
      </c>
      <c r="I240" s="142" t="str">
        <f t="shared" si="30"/>
        <v>25.4 percent up in Tortonian international stage</v>
      </c>
      <c r="J240" s="7">
        <v>0.41810344827586232</v>
      </c>
      <c r="K240" s="129">
        <f t="shared" si="31"/>
        <v>41.8</v>
      </c>
      <c r="L240" s="8" t="s">
        <v>31</v>
      </c>
      <c r="M240" s="5" t="s">
        <v>82</v>
      </c>
      <c r="N240" s="5" t="s">
        <v>82</v>
      </c>
      <c r="O240" s="83"/>
      <c r="P240" s="20">
        <v>0.2540119211370932</v>
      </c>
      <c r="Q240" s="143">
        <f t="shared" si="32"/>
        <v>25.4</v>
      </c>
      <c r="R240" s="21" t="s">
        <v>29</v>
      </c>
      <c r="S240" s="8" t="s">
        <v>246</v>
      </c>
      <c r="T240" s="7" t="s">
        <v>226</v>
      </c>
    </row>
    <row r="241" spans="1:20" ht="28">
      <c r="A241" s="74" t="s">
        <v>407</v>
      </c>
      <c r="B241" s="72" t="s">
        <v>495</v>
      </c>
      <c r="C241" s="5"/>
      <c r="D241" s="5" t="s">
        <v>292</v>
      </c>
      <c r="E241" s="132">
        <f t="shared" si="37"/>
        <v>15.082715517241379</v>
      </c>
      <c r="F241" s="139">
        <f>$O$259-P241*($O$259-$O$238)</f>
        <v>14.615043103448276</v>
      </c>
      <c r="G241" s="149"/>
      <c r="H241" s="82" t="str">
        <f t="shared" si="29"/>
        <v>41.8 percent up in Langhian international stage</v>
      </c>
      <c r="I241" s="142" t="str">
        <f t="shared" si="30"/>
        <v>63.4 percent up in Langhian international stage</v>
      </c>
      <c r="J241" s="7">
        <v>0.41810344827586232</v>
      </c>
      <c r="K241" s="129">
        <f t="shared" si="31"/>
        <v>41.8</v>
      </c>
      <c r="L241" s="8" t="s">
        <v>31</v>
      </c>
      <c r="M241" s="5" t="s">
        <v>82</v>
      </c>
      <c r="N241" s="5" t="s">
        <v>82</v>
      </c>
      <c r="O241" s="83"/>
      <c r="P241" s="20">
        <v>0.6336206896551726</v>
      </c>
      <c r="Q241" s="143">
        <f t="shared" si="32"/>
        <v>63.4</v>
      </c>
      <c r="R241" s="21" t="s">
        <v>31</v>
      </c>
      <c r="S241" s="8" t="s">
        <v>259</v>
      </c>
      <c r="T241" s="7">
        <v>0.21551724137931055</v>
      </c>
    </row>
    <row r="242" spans="1:20" ht="28">
      <c r="A242" s="74" t="s">
        <v>407</v>
      </c>
      <c r="B242" s="68" t="s">
        <v>496</v>
      </c>
      <c r="C242" s="5"/>
      <c r="D242" s="5" t="s">
        <v>236</v>
      </c>
      <c r="E242" s="132">
        <f t="shared" si="37"/>
        <v>15.082715517241379</v>
      </c>
      <c r="F242" s="139">
        <f>$O$226-P242*($O$226-$O$206)</f>
        <v>11.516678129298487</v>
      </c>
      <c r="G242" s="149"/>
      <c r="H242" s="82" t="str">
        <f t="shared" si="29"/>
        <v>41.8 percent up in Langhian international stage</v>
      </c>
      <c r="I242" s="142" t="str">
        <f t="shared" si="30"/>
        <v>2.5 percent up in Tortonian international stage</v>
      </c>
      <c r="J242" s="7">
        <v>0.41810344827586232</v>
      </c>
      <c r="K242" s="129">
        <f t="shared" si="31"/>
        <v>41.8</v>
      </c>
      <c r="L242" s="8" t="s">
        <v>31</v>
      </c>
      <c r="M242" s="5" t="s">
        <v>82</v>
      </c>
      <c r="N242" s="5" t="s">
        <v>82</v>
      </c>
      <c r="O242" s="83"/>
      <c r="P242" s="20">
        <v>2.475928473177454E-2</v>
      </c>
      <c r="Q242" s="143">
        <f t="shared" si="32"/>
        <v>2.5</v>
      </c>
      <c r="R242" s="21" t="s">
        <v>29</v>
      </c>
      <c r="S242" s="8" t="s">
        <v>246</v>
      </c>
      <c r="T242" s="7" t="s">
        <v>226</v>
      </c>
    </row>
    <row r="243" spans="1:20" ht="28">
      <c r="A243" s="74" t="s">
        <v>407</v>
      </c>
      <c r="B243" s="69" t="s">
        <v>497</v>
      </c>
      <c r="C243" s="5"/>
      <c r="D243" s="5" t="s">
        <v>322</v>
      </c>
      <c r="E243" s="132">
        <f t="shared" si="37"/>
        <v>15.465162790697674</v>
      </c>
      <c r="F243" s="139">
        <f>$O$238-P243*($O$238-$O$226)</f>
        <v>13.800153707052441</v>
      </c>
      <c r="G243" s="149"/>
      <c r="H243" s="82" t="str">
        <f t="shared" si="29"/>
        <v>24.2 percent up in Langhian international stage</v>
      </c>
      <c r="I243" s="142" t="str">
        <f t="shared" si="30"/>
        <v>0.9 percent up in Serravallian international stage</v>
      </c>
      <c r="J243" s="7">
        <v>0.24186046511627945</v>
      </c>
      <c r="K243" s="129">
        <f t="shared" si="31"/>
        <v>24.2</v>
      </c>
      <c r="L243" s="8" t="s">
        <v>31</v>
      </c>
      <c r="M243" s="5" t="s">
        <v>82</v>
      </c>
      <c r="N243" s="5" t="s">
        <v>82</v>
      </c>
      <c r="O243" s="83"/>
      <c r="P243" s="20">
        <v>9.0415913200722758E-3</v>
      </c>
      <c r="Q243" s="143">
        <f t="shared" si="32"/>
        <v>0.9</v>
      </c>
      <c r="R243" s="21" t="s">
        <v>30</v>
      </c>
      <c r="S243" s="8" t="s">
        <v>246</v>
      </c>
      <c r="T243" s="7" t="s">
        <v>226</v>
      </c>
    </row>
    <row r="244" spans="1:20" ht="28">
      <c r="A244" s="74" t="s">
        <v>407</v>
      </c>
      <c r="B244" s="69" t="s">
        <v>498</v>
      </c>
      <c r="C244" s="5"/>
      <c r="D244" s="5" t="s">
        <v>322</v>
      </c>
      <c r="E244" s="132">
        <f t="shared" si="37"/>
        <v>15.465162790697674</v>
      </c>
      <c r="F244" s="139">
        <f>$O$238-P244*($O$238-$O$226)</f>
        <v>13.800153707052441</v>
      </c>
      <c r="G244" s="149"/>
      <c r="H244" s="82" t="str">
        <f t="shared" si="29"/>
        <v>24.2 percent up in Langhian international stage</v>
      </c>
      <c r="I244" s="142" t="str">
        <f t="shared" si="30"/>
        <v>0.9 percent up in Serravallian international stage</v>
      </c>
      <c r="J244" s="7">
        <v>0.24186046511627945</v>
      </c>
      <c r="K244" s="129">
        <f t="shared" si="31"/>
        <v>24.2</v>
      </c>
      <c r="L244" s="8" t="s">
        <v>31</v>
      </c>
      <c r="M244" s="5" t="s">
        <v>82</v>
      </c>
      <c r="N244" s="5" t="s">
        <v>82</v>
      </c>
      <c r="O244" s="83"/>
      <c r="P244" s="20">
        <v>9.0415913200722758E-3</v>
      </c>
      <c r="Q244" s="143">
        <f t="shared" si="32"/>
        <v>0.9</v>
      </c>
      <c r="R244" s="21" t="s">
        <v>30</v>
      </c>
      <c r="S244" s="8" t="s">
        <v>246</v>
      </c>
      <c r="T244" s="7" t="s">
        <v>226</v>
      </c>
    </row>
    <row r="245" spans="1:20" ht="28">
      <c r="A245" s="74" t="s">
        <v>407</v>
      </c>
      <c r="B245" s="68" t="s">
        <v>499</v>
      </c>
      <c r="C245" s="5"/>
      <c r="D245" s="5" t="s">
        <v>368</v>
      </c>
      <c r="E245" s="132">
        <f t="shared" si="37"/>
        <v>15.550387931034482</v>
      </c>
      <c r="F245" s="139">
        <f>$O$259-P245*($O$259-$O$238)</f>
        <v>15.082715517241379</v>
      </c>
      <c r="G245" s="149"/>
      <c r="H245" s="82" t="str">
        <f t="shared" si="29"/>
        <v>20.3 percent up in Langhian international stage</v>
      </c>
      <c r="I245" s="142" t="str">
        <f t="shared" si="30"/>
        <v>41.8 percent up in Langhian international stage</v>
      </c>
      <c r="J245" s="7">
        <v>0.20258620689655193</v>
      </c>
      <c r="K245" s="129">
        <f t="shared" si="31"/>
        <v>20.3</v>
      </c>
      <c r="L245" s="8" t="s">
        <v>31</v>
      </c>
      <c r="M245" s="5" t="s">
        <v>82</v>
      </c>
      <c r="N245" s="5" t="s">
        <v>82</v>
      </c>
      <c r="O245" s="83"/>
      <c r="P245" s="20">
        <v>0.41810344827586227</v>
      </c>
      <c r="Q245" s="143">
        <f t="shared" si="32"/>
        <v>41.8</v>
      </c>
      <c r="R245" s="21" t="s">
        <v>31</v>
      </c>
      <c r="S245" s="8" t="s">
        <v>259</v>
      </c>
      <c r="T245" s="7">
        <v>0.21551724137930975</v>
      </c>
    </row>
    <row r="246" spans="1:20" ht="28">
      <c r="A246" s="74" t="s">
        <v>407</v>
      </c>
      <c r="B246" s="68" t="s">
        <v>500</v>
      </c>
      <c r="C246" s="5"/>
      <c r="D246" s="5" t="s">
        <v>244</v>
      </c>
      <c r="E246" s="132">
        <f t="shared" si="37"/>
        <v>15.550387931034482</v>
      </c>
      <c r="F246" s="139">
        <f>$O$238-P246*($O$238-$O$226)</f>
        <v>11.831385896180215</v>
      </c>
      <c r="G246" s="149"/>
      <c r="H246" s="82" t="str">
        <f t="shared" si="29"/>
        <v>20.3 percent up in Langhian international stage</v>
      </c>
      <c r="I246" s="142" t="str">
        <f t="shared" si="30"/>
        <v>90.6 percent up in Serravallian international stage</v>
      </c>
      <c r="J246" s="7">
        <v>0.20258620689655193</v>
      </c>
      <c r="K246" s="129">
        <f t="shared" si="31"/>
        <v>20.3</v>
      </c>
      <c r="L246" s="8" t="s">
        <v>31</v>
      </c>
      <c r="M246" s="5" t="s">
        <v>82</v>
      </c>
      <c r="N246" s="5" t="s">
        <v>82</v>
      </c>
      <c r="O246" s="83"/>
      <c r="P246" s="20">
        <v>0.90597453476983336</v>
      </c>
      <c r="Q246" s="143">
        <f t="shared" si="32"/>
        <v>90.6</v>
      </c>
      <c r="R246" s="21" t="s">
        <v>30</v>
      </c>
      <c r="S246" s="8" t="s">
        <v>246</v>
      </c>
      <c r="T246" s="7" t="s">
        <v>226</v>
      </c>
    </row>
    <row r="247" spans="1:20" ht="28">
      <c r="A247" s="74" t="s">
        <v>407</v>
      </c>
      <c r="B247" s="72" t="s">
        <v>501</v>
      </c>
      <c r="C247" s="5"/>
      <c r="D247" s="5" t="s">
        <v>292</v>
      </c>
      <c r="E247" s="132">
        <f t="shared" si="37"/>
        <v>15.550387931034482</v>
      </c>
      <c r="F247" s="139">
        <f>$O$259-P247*($O$259-$O$238)</f>
        <v>15.082715517241379</v>
      </c>
      <c r="G247" s="149"/>
      <c r="H247" s="82" t="str">
        <f t="shared" si="29"/>
        <v>20.3 percent up in Langhian international stage</v>
      </c>
      <c r="I247" s="142" t="str">
        <f t="shared" si="30"/>
        <v>41.8 percent up in Langhian international stage</v>
      </c>
      <c r="J247" s="7">
        <v>0.20258620689655193</v>
      </c>
      <c r="K247" s="129">
        <f t="shared" si="31"/>
        <v>20.3</v>
      </c>
      <c r="L247" s="8" t="s">
        <v>31</v>
      </c>
      <c r="M247" s="5" t="s">
        <v>82</v>
      </c>
      <c r="N247" s="5" t="s">
        <v>82</v>
      </c>
      <c r="O247" s="83"/>
      <c r="P247" s="20">
        <v>0.41810344827586227</v>
      </c>
      <c r="Q247" s="143">
        <f t="shared" si="32"/>
        <v>41.8</v>
      </c>
      <c r="R247" s="21" t="s">
        <v>31</v>
      </c>
      <c r="S247" s="8" t="s">
        <v>259</v>
      </c>
      <c r="T247" s="7">
        <v>0.21551724137930975</v>
      </c>
    </row>
    <row r="248" spans="1:20" ht="28">
      <c r="A248" s="74" t="s">
        <v>407</v>
      </c>
      <c r="B248" s="68" t="s">
        <v>502</v>
      </c>
      <c r="C248" s="5"/>
      <c r="D248" s="5" t="s">
        <v>234</v>
      </c>
      <c r="E248" s="132">
        <f t="shared" si="37"/>
        <v>15.550387931034482</v>
      </c>
      <c r="F248" s="139">
        <f>$O$238-P248*($O$238-$O$226)</f>
        <v>13.658761018609207</v>
      </c>
      <c r="G248" s="149"/>
      <c r="H248" s="82" t="str">
        <f t="shared" si="29"/>
        <v>20.3 percent up in Langhian international stage</v>
      </c>
      <c r="I248" s="142" t="str">
        <f t="shared" si="30"/>
        <v>7.3 percent up in Serravallian international stage</v>
      </c>
      <c r="J248" s="7">
        <v>0.20258620689655193</v>
      </c>
      <c r="K248" s="129">
        <f t="shared" si="31"/>
        <v>20.3</v>
      </c>
      <c r="L248" s="8" t="s">
        <v>31</v>
      </c>
      <c r="M248" s="5" t="s">
        <v>82</v>
      </c>
      <c r="N248" s="5" t="s">
        <v>82</v>
      </c>
      <c r="O248" s="83"/>
      <c r="P248" s="20">
        <v>7.3457394711067756E-2</v>
      </c>
      <c r="Q248" s="143">
        <f t="shared" si="32"/>
        <v>7.3</v>
      </c>
      <c r="R248" s="21" t="s">
        <v>30</v>
      </c>
      <c r="S248" s="8" t="s">
        <v>246</v>
      </c>
      <c r="T248" s="7" t="s">
        <v>226</v>
      </c>
    </row>
    <row r="249" spans="1:20" ht="28">
      <c r="A249" s="74" t="s">
        <v>407</v>
      </c>
      <c r="B249" s="69" t="s">
        <v>503</v>
      </c>
      <c r="C249" s="5"/>
      <c r="D249" s="5" t="s">
        <v>236</v>
      </c>
      <c r="E249" s="132">
        <f t="shared" si="37"/>
        <v>15.919348837209302</v>
      </c>
      <c r="F249" s="139">
        <f>$O$259-P249*($O$259-$O$238)</f>
        <v>15.111906976744185</v>
      </c>
      <c r="G249" s="149"/>
      <c r="H249" s="82" t="str">
        <f t="shared" si="29"/>
        <v>3.3 percent up in Langhian international stage</v>
      </c>
      <c r="I249" s="142" t="str">
        <f t="shared" si="30"/>
        <v>40.5 percent up in Langhian international stage</v>
      </c>
      <c r="J249" s="7">
        <v>3.2558139534883845E-2</v>
      </c>
      <c r="K249" s="129">
        <f t="shared" si="31"/>
        <v>3.3</v>
      </c>
      <c r="L249" s="8" t="s">
        <v>31</v>
      </c>
      <c r="M249" s="5" t="s">
        <v>82</v>
      </c>
      <c r="N249" s="5" t="s">
        <v>82</v>
      </c>
      <c r="O249" s="83"/>
      <c r="P249" s="20">
        <v>0.4046511627906984</v>
      </c>
      <c r="Q249" s="143">
        <f t="shared" si="32"/>
        <v>40.5</v>
      </c>
      <c r="R249" s="21" t="s">
        <v>31</v>
      </c>
      <c r="S249" s="8" t="s">
        <v>259</v>
      </c>
      <c r="T249" s="7">
        <v>0.37209302325581506</v>
      </c>
    </row>
    <row r="250" spans="1:20" ht="28">
      <c r="A250" s="74" t="s">
        <v>407</v>
      </c>
      <c r="B250" s="69" t="s">
        <v>504</v>
      </c>
      <c r="C250" s="5"/>
      <c r="D250" s="5" t="s">
        <v>236</v>
      </c>
      <c r="E250" s="132">
        <f t="shared" si="37"/>
        <v>15.919348837209302</v>
      </c>
      <c r="F250" s="139">
        <f>$O$226-P250*($O$226-$O$206)</f>
        <v>10.914889958734525</v>
      </c>
      <c r="G250" s="149"/>
      <c r="H250" s="82" t="str">
        <f t="shared" si="29"/>
        <v>3.3 percent up in Langhian international stage</v>
      </c>
      <c r="I250" s="142" t="str">
        <f t="shared" si="30"/>
        <v>16.2 percent up in Tortonian international stage</v>
      </c>
      <c r="J250" s="7">
        <v>3.2558139534883845E-2</v>
      </c>
      <c r="K250" s="129">
        <f t="shared" si="31"/>
        <v>3.3</v>
      </c>
      <c r="L250" s="8" t="s">
        <v>31</v>
      </c>
      <c r="M250" s="5" t="s">
        <v>82</v>
      </c>
      <c r="N250" s="5" t="s">
        <v>82</v>
      </c>
      <c r="O250" s="83"/>
      <c r="P250" s="20">
        <v>0.16231086657496566</v>
      </c>
      <c r="Q250" s="143">
        <f t="shared" si="32"/>
        <v>16.2</v>
      </c>
      <c r="R250" s="21" t="s">
        <v>29</v>
      </c>
      <c r="S250" s="8" t="s">
        <v>246</v>
      </c>
      <c r="T250" s="7" t="s">
        <v>226</v>
      </c>
    </row>
    <row r="251" spans="1:20" ht="28">
      <c r="A251" s="74" t="s">
        <v>407</v>
      </c>
      <c r="B251" s="72" t="s">
        <v>505</v>
      </c>
      <c r="C251" s="5"/>
      <c r="D251" s="5" t="s">
        <v>506</v>
      </c>
      <c r="E251" s="132">
        <f t="shared" si="37"/>
        <v>15.99</v>
      </c>
      <c r="F251" s="139">
        <f>$O$238-P251*($O$238-$O$226)</f>
        <v>12.874064642507346</v>
      </c>
      <c r="G251" s="149"/>
      <c r="H251" s="82" t="str">
        <f t="shared" si="29"/>
        <v>0 percent up in Langhian international stage</v>
      </c>
      <c r="I251" s="142" t="str">
        <f t="shared" si="30"/>
        <v>43.1 percent up in Serravallian international stage</v>
      </c>
      <c r="J251" s="7">
        <v>0</v>
      </c>
      <c r="K251" s="129">
        <f t="shared" si="31"/>
        <v>0</v>
      </c>
      <c r="L251" s="8" t="s">
        <v>31</v>
      </c>
      <c r="M251" s="5" t="s">
        <v>82</v>
      </c>
      <c r="N251" s="5" t="s">
        <v>82</v>
      </c>
      <c r="O251" s="83"/>
      <c r="P251" s="20">
        <v>0.43095004897159689</v>
      </c>
      <c r="Q251" s="143">
        <f t="shared" si="32"/>
        <v>43.1</v>
      </c>
      <c r="R251" s="21" t="s">
        <v>30</v>
      </c>
      <c r="S251" s="8" t="s">
        <v>246</v>
      </c>
      <c r="T251" s="7" t="s">
        <v>226</v>
      </c>
    </row>
    <row r="252" spans="1:20" ht="28">
      <c r="A252" s="74" t="s">
        <v>407</v>
      </c>
      <c r="B252" s="68" t="s">
        <v>507</v>
      </c>
      <c r="C252" s="5"/>
      <c r="D252" s="5" t="s">
        <v>270</v>
      </c>
      <c r="E252" s="132">
        <f t="shared" si="37"/>
        <v>15.99</v>
      </c>
      <c r="F252" s="139">
        <f>$O$238-P252*($O$238-$O$226)</f>
        <v>11.625</v>
      </c>
      <c r="G252" s="149"/>
      <c r="H252" s="82" t="str">
        <f t="shared" si="29"/>
        <v>0 percent up in Langhian international stage</v>
      </c>
      <c r="I252" s="142" t="str">
        <f t="shared" si="30"/>
        <v>100 percent up in Serravallian international stage</v>
      </c>
      <c r="J252" s="7">
        <v>0</v>
      </c>
      <c r="K252" s="129">
        <f t="shared" si="31"/>
        <v>0</v>
      </c>
      <c r="L252" s="8" t="s">
        <v>31</v>
      </c>
      <c r="M252" s="5" t="s">
        <v>82</v>
      </c>
      <c r="N252" s="5" t="s">
        <v>82</v>
      </c>
      <c r="O252" s="83"/>
      <c r="P252" s="20">
        <v>1</v>
      </c>
      <c r="Q252" s="143">
        <f t="shared" si="32"/>
        <v>100</v>
      </c>
      <c r="R252" s="21" t="s">
        <v>30</v>
      </c>
      <c r="S252" s="8" t="s">
        <v>232</v>
      </c>
      <c r="T252" s="7" t="s">
        <v>226</v>
      </c>
    </row>
    <row r="253" spans="1:20" ht="28">
      <c r="A253" s="74" t="s">
        <v>407</v>
      </c>
      <c r="B253" s="69" t="s">
        <v>508</v>
      </c>
      <c r="C253" s="5"/>
      <c r="D253" s="5" t="s">
        <v>270</v>
      </c>
      <c r="E253" s="132">
        <f t="shared" si="37"/>
        <v>15.99</v>
      </c>
      <c r="F253" s="139">
        <f>$O$259-P253*($O$259-$O$238)</f>
        <v>13.82</v>
      </c>
      <c r="G253" s="149"/>
      <c r="H253" s="82" t="str">
        <f t="shared" si="29"/>
        <v>0 percent up in Langhian international stage</v>
      </c>
      <c r="I253" s="142" t="str">
        <f t="shared" si="30"/>
        <v>100 percent up in Langhian international stage</v>
      </c>
      <c r="J253" s="7">
        <v>0</v>
      </c>
      <c r="K253" s="129">
        <f t="shared" si="31"/>
        <v>0</v>
      </c>
      <c r="L253" s="8" t="s">
        <v>31</v>
      </c>
      <c r="M253" s="5" t="s">
        <v>82</v>
      </c>
      <c r="N253" s="5" t="s">
        <v>82</v>
      </c>
      <c r="O253" s="83"/>
      <c r="P253" s="20">
        <v>1</v>
      </c>
      <c r="Q253" s="143">
        <f t="shared" si="32"/>
        <v>100</v>
      </c>
      <c r="R253" s="21" t="s">
        <v>31</v>
      </c>
      <c r="S253" s="8" t="s">
        <v>232</v>
      </c>
      <c r="T253" s="7" t="s">
        <v>226</v>
      </c>
    </row>
    <row r="254" spans="1:20" ht="28">
      <c r="A254" s="74" t="s">
        <v>407</v>
      </c>
      <c r="B254" s="68" t="s">
        <v>509</v>
      </c>
      <c r="C254" s="5"/>
      <c r="D254" s="5" t="s">
        <v>461</v>
      </c>
      <c r="E254" s="132">
        <f t="shared" si="37"/>
        <v>15.99</v>
      </c>
      <c r="F254" s="139">
        <f>$O$238-P254*($O$238-$O$226)</f>
        <v>12.064</v>
      </c>
      <c r="G254" s="149"/>
      <c r="H254" s="82" t="str">
        <f t="shared" si="29"/>
        <v>0 percent up in Langhian international stage</v>
      </c>
      <c r="I254" s="142" t="str">
        <f t="shared" si="30"/>
        <v>80 percent up in Serravallian international stage</v>
      </c>
      <c r="J254" s="7">
        <v>0</v>
      </c>
      <c r="K254" s="129">
        <f t="shared" si="31"/>
        <v>0</v>
      </c>
      <c r="L254" s="8" t="s">
        <v>31</v>
      </c>
      <c r="M254" s="5" t="s">
        <v>82</v>
      </c>
      <c r="N254" s="5" t="s">
        <v>82</v>
      </c>
      <c r="O254" s="83"/>
      <c r="P254" s="20">
        <v>0.79999999999999982</v>
      </c>
      <c r="Q254" s="143">
        <f t="shared" si="32"/>
        <v>80</v>
      </c>
      <c r="R254" s="21" t="s">
        <v>30</v>
      </c>
      <c r="S254" s="8" t="s">
        <v>246</v>
      </c>
      <c r="T254" s="7" t="s">
        <v>226</v>
      </c>
    </row>
    <row r="255" spans="1:20" ht="28">
      <c r="A255" s="74" t="s">
        <v>407</v>
      </c>
      <c r="B255" s="72" t="s">
        <v>510</v>
      </c>
      <c r="C255" s="5"/>
      <c r="D255" s="5" t="s">
        <v>292</v>
      </c>
      <c r="E255" s="132">
        <f t="shared" si="37"/>
        <v>15.99</v>
      </c>
      <c r="F255" s="139">
        <f>$O$259-P255*($O$259-$O$238)</f>
        <v>13.82</v>
      </c>
      <c r="G255" s="149"/>
      <c r="H255" s="82" t="str">
        <f t="shared" si="29"/>
        <v>0 percent up in Langhian international stage</v>
      </c>
      <c r="I255" s="142" t="str">
        <f t="shared" si="30"/>
        <v>100 percent up in Langhian international stage</v>
      </c>
      <c r="J255" s="7">
        <v>0</v>
      </c>
      <c r="K255" s="129">
        <f t="shared" si="31"/>
        <v>0</v>
      </c>
      <c r="L255" s="8" t="s">
        <v>31</v>
      </c>
      <c r="M255" s="5" t="s">
        <v>82</v>
      </c>
      <c r="N255" s="5" t="s">
        <v>82</v>
      </c>
      <c r="O255" s="83"/>
      <c r="P255" s="20">
        <v>1</v>
      </c>
      <c r="Q255" s="143">
        <f t="shared" si="32"/>
        <v>100</v>
      </c>
      <c r="R255" s="21" t="s">
        <v>31</v>
      </c>
      <c r="S255" s="8" t="s">
        <v>232</v>
      </c>
      <c r="T255" s="7" t="s">
        <v>226</v>
      </c>
    </row>
    <row r="256" spans="1:20" ht="28">
      <c r="A256" s="74" t="s">
        <v>407</v>
      </c>
      <c r="B256" s="68" t="s">
        <v>511</v>
      </c>
      <c r="C256" s="5"/>
      <c r="D256" s="5" t="s">
        <v>354</v>
      </c>
      <c r="E256" s="132">
        <f t="shared" si="37"/>
        <v>15.99</v>
      </c>
      <c r="F256" s="139">
        <f>$O$238-P256*($O$238-$O$226)</f>
        <v>13.658761018609207</v>
      </c>
      <c r="G256" s="149"/>
      <c r="H256" s="82" t="str">
        <f t="shared" si="29"/>
        <v>0 percent up in Langhian international stage</v>
      </c>
      <c r="I256" s="142" t="str">
        <f t="shared" si="30"/>
        <v>7.3 percent up in Serravallian international stage</v>
      </c>
      <c r="J256" s="7">
        <v>0</v>
      </c>
      <c r="K256" s="129">
        <f t="shared" si="31"/>
        <v>0</v>
      </c>
      <c r="L256" s="8" t="s">
        <v>31</v>
      </c>
      <c r="M256" s="5" t="s">
        <v>82</v>
      </c>
      <c r="N256" s="5" t="s">
        <v>82</v>
      </c>
      <c r="O256" s="83"/>
      <c r="P256" s="20">
        <v>7.3457394711067756E-2</v>
      </c>
      <c r="Q256" s="143">
        <f t="shared" si="32"/>
        <v>7.3</v>
      </c>
      <c r="R256" s="21" t="s">
        <v>30</v>
      </c>
      <c r="S256" s="8" t="s">
        <v>246</v>
      </c>
      <c r="T256" s="7" t="s">
        <v>226</v>
      </c>
    </row>
    <row r="257" spans="1:20" ht="28">
      <c r="A257" s="74" t="s">
        <v>407</v>
      </c>
      <c r="B257" s="70" t="s">
        <v>512</v>
      </c>
      <c r="C257" s="5"/>
      <c r="D257" s="5" t="s">
        <v>270</v>
      </c>
      <c r="E257" s="132">
        <f t="shared" si="37"/>
        <v>15.99</v>
      </c>
      <c r="F257" s="139">
        <f>$O$226-P257*($O$226-$O$206)</f>
        <v>7.25</v>
      </c>
      <c r="G257" s="149"/>
      <c r="H257" s="82" t="str">
        <f t="shared" si="29"/>
        <v>0 percent up in Langhian international stage</v>
      </c>
      <c r="I257" s="142" t="str">
        <f t="shared" si="30"/>
        <v>100 percent up in Tortonian international stage</v>
      </c>
      <c r="J257" s="7">
        <v>0</v>
      </c>
      <c r="K257" s="129">
        <f t="shared" si="31"/>
        <v>0</v>
      </c>
      <c r="L257" s="8" t="s">
        <v>31</v>
      </c>
      <c r="M257" s="5" t="s">
        <v>82</v>
      </c>
      <c r="N257" s="5" t="s">
        <v>82</v>
      </c>
      <c r="O257" s="83"/>
      <c r="P257" s="20">
        <v>1</v>
      </c>
      <c r="Q257" s="143">
        <f t="shared" si="32"/>
        <v>100</v>
      </c>
      <c r="R257" s="21" t="s">
        <v>29</v>
      </c>
      <c r="S257" s="8" t="s">
        <v>232</v>
      </c>
      <c r="T257" s="7" t="s">
        <v>226</v>
      </c>
    </row>
    <row r="258" spans="1:20" ht="28">
      <c r="A258" s="74" t="s">
        <v>407</v>
      </c>
      <c r="B258" s="68" t="s">
        <v>31</v>
      </c>
      <c r="C258" s="134" t="s">
        <v>7</v>
      </c>
      <c r="D258" s="134" t="s">
        <v>222</v>
      </c>
      <c r="E258" s="132">
        <f t="shared" si="37"/>
        <v>15.99</v>
      </c>
      <c r="F258" s="139">
        <f>$O$259-P258*($O$259-$O$238)</f>
        <v>13.82</v>
      </c>
      <c r="G258" s="149"/>
      <c r="H258" s="82" t="str">
        <f t="shared" si="29"/>
        <v>0 percent up in Langhian international stage</v>
      </c>
      <c r="I258" s="142" t="str">
        <f t="shared" si="30"/>
        <v>100 percent up in Langhian international stage</v>
      </c>
      <c r="J258" s="7">
        <v>0</v>
      </c>
      <c r="K258" s="129">
        <f t="shared" si="31"/>
        <v>0</v>
      </c>
      <c r="L258" s="8" t="s">
        <v>31</v>
      </c>
      <c r="M258" s="5" t="s">
        <v>224</v>
      </c>
      <c r="N258" s="5" t="s">
        <v>513</v>
      </c>
      <c r="O258" s="84">
        <f>Master_Chronostrat!I17</f>
        <v>15.99</v>
      </c>
      <c r="P258" s="20">
        <v>1</v>
      </c>
      <c r="Q258" s="143">
        <f t="shared" si="32"/>
        <v>100</v>
      </c>
      <c r="R258" s="21" t="s">
        <v>31</v>
      </c>
      <c r="S258" s="8" t="s">
        <v>224</v>
      </c>
      <c r="T258" s="7" t="s">
        <v>226</v>
      </c>
    </row>
    <row r="259" spans="1:20" ht="28">
      <c r="A259" s="74" t="s">
        <v>407</v>
      </c>
      <c r="B259" s="68" t="s">
        <v>514</v>
      </c>
      <c r="C259" s="5"/>
      <c r="D259" s="5" t="s">
        <v>82</v>
      </c>
      <c r="E259" s="132">
        <f t="shared" si="37"/>
        <v>15.99</v>
      </c>
      <c r="F259" s="139">
        <f>$O$238-P259*($O$238-$O$226)</f>
        <v>11.625</v>
      </c>
      <c r="G259" s="149"/>
      <c r="H259" s="82" t="str">
        <f t="shared" si="29"/>
        <v>0 percent up in Langhian international stage</v>
      </c>
      <c r="I259" s="142" t="str">
        <f t="shared" si="30"/>
        <v>100 percent up in Serravallian international stage</v>
      </c>
      <c r="J259" s="7">
        <v>0</v>
      </c>
      <c r="K259" s="129">
        <f t="shared" si="31"/>
        <v>0</v>
      </c>
      <c r="L259" s="8" t="s">
        <v>31</v>
      </c>
      <c r="M259" s="5" t="s">
        <v>82</v>
      </c>
      <c r="N259" s="5" t="s">
        <v>82</v>
      </c>
      <c r="O259" s="84">
        <f>Master_Chronostrat!I17</f>
        <v>15.99</v>
      </c>
      <c r="P259" s="20">
        <v>1</v>
      </c>
      <c r="Q259" s="143">
        <f t="shared" si="32"/>
        <v>100</v>
      </c>
      <c r="R259" s="21" t="s">
        <v>30</v>
      </c>
      <c r="S259" s="8" t="s">
        <v>232</v>
      </c>
      <c r="T259" s="7" t="s">
        <v>226</v>
      </c>
    </row>
    <row r="260" spans="1:20" ht="28">
      <c r="A260" s="74" t="s">
        <v>407</v>
      </c>
      <c r="B260" s="69" t="s">
        <v>515</v>
      </c>
      <c r="C260" s="5"/>
      <c r="D260" s="5" t="s">
        <v>322</v>
      </c>
      <c r="E260" s="132">
        <f t="shared" ref="E260:E278" si="38">$O$278-J260*($O$278-$O$259)</f>
        <v>16.32</v>
      </c>
      <c r="F260" s="139">
        <f>$O$259-P260*($O$259-$O$238)</f>
        <v>15.515627906976743</v>
      </c>
      <c r="G260" s="149"/>
      <c r="H260" s="82" t="str">
        <f t="shared" si="29"/>
        <v>92.6 percent up in Burdigalian international stage</v>
      </c>
      <c r="I260" s="142" t="str">
        <f t="shared" si="30"/>
        <v>21.9 percent up in Langhian international stage</v>
      </c>
      <c r="J260" s="7">
        <v>0.92600896860986548</v>
      </c>
      <c r="K260" s="129">
        <f t="shared" si="31"/>
        <v>92.6</v>
      </c>
      <c r="L260" s="8" t="s">
        <v>32</v>
      </c>
      <c r="M260" s="5" t="s">
        <v>82</v>
      </c>
      <c r="N260" s="5" t="s">
        <v>82</v>
      </c>
      <c r="O260" s="83"/>
      <c r="P260" s="20">
        <v>0.21860465116279112</v>
      </c>
      <c r="Q260" s="143">
        <f t="shared" si="32"/>
        <v>21.9</v>
      </c>
      <c r="R260" s="21" t="s">
        <v>31</v>
      </c>
      <c r="S260" s="8" t="s">
        <v>246</v>
      </c>
      <c r="T260" s="7" t="s">
        <v>226</v>
      </c>
    </row>
    <row r="261" spans="1:20" ht="28">
      <c r="A261" s="74" t="s">
        <v>407</v>
      </c>
      <c r="B261" s="68" t="s">
        <v>516</v>
      </c>
      <c r="C261" s="5"/>
      <c r="D261" s="5" t="s">
        <v>368</v>
      </c>
      <c r="E261" s="132">
        <f t="shared" si="38"/>
        <v>16.52</v>
      </c>
      <c r="F261" s="139">
        <f>$O$259-P261*($O$259-$O$238)</f>
        <v>15.550387931034482</v>
      </c>
      <c r="G261" s="149"/>
      <c r="H261" s="82" t="str">
        <f t="shared" ref="H261:H328" si="39">CONCATENATE(K261," percent up in ",L261," international stage")</f>
        <v>88.1 percent up in Burdigalian international stage</v>
      </c>
      <c r="I261" s="142" t="str">
        <f t="shared" ref="I261:I328" si="40">CONCATENATE(Q261," percent up in ",R261," international stage")</f>
        <v>20.3 percent up in Langhian international stage</v>
      </c>
      <c r="J261" s="7">
        <v>0.88116591928251131</v>
      </c>
      <c r="K261" s="129">
        <f t="shared" ref="K261:K328" si="41">ROUND(J261*100,1)</f>
        <v>88.1</v>
      </c>
      <c r="L261" s="8" t="s">
        <v>32</v>
      </c>
      <c r="M261" s="5" t="s">
        <v>82</v>
      </c>
      <c r="N261" s="5" t="s">
        <v>82</v>
      </c>
      <c r="O261" s="83"/>
      <c r="P261" s="20">
        <v>0.20258620689655196</v>
      </c>
      <c r="Q261" s="143">
        <f t="shared" ref="Q261:Q328" si="42">ROUND(P261*100,1)</f>
        <v>20.3</v>
      </c>
      <c r="R261" s="21" t="s">
        <v>31</v>
      </c>
      <c r="S261" s="8" t="s">
        <v>246</v>
      </c>
      <c r="T261" s="7" t="s">
        <v>226</v>
      </c>
    </row>
    <row r="262" spans="1:20" ht="28">
      <c r="A262" s="74" t="s">
        <v>407</v>
      </c>
      <c r="B262" s="68" t="s">
        <v>517</v>
      </c>
      <c r="C262" s="5"/>
      <c r="D262" s="5" t="s">
        <v>236</v>
      </c>
      <c r="E262" s="132">
        <f t="shared" si="38"/>
        <v>16.52</v>
      </c>
      <c r="F262" s="139">
        <f>$O$259-P262*($O$259-$O$238)</f>
        <v>15.082715517241379</v>
      </c>
      <c r="G262" s="149"/>
      <c r="H262" s="82" t="str">
        <f t="shared" si="39"/>
        <v>88.1 percent up in Burdigalian international stage</v>
      </c>
      <c r="I262" s="142" t="str">
        <f t="shared" si="40"/>
        <v>41.8 percent up in Langhian international stage</v>
      </c>
      <c r="J262" s="7">
        <v>0.88116591928251131</v>
      </c>
      <c r="K262" s="129">
        <f t="shared" si="41"/>
        <v>88.1</v>
      </c>
      <c r="L262" s="8" t="s">
        <v>32</v>
      </c>
      <c r="M262" s="5" t="s">
        <v>82</v>
      </c>
      <c r="N262" s="5" t="s">
        <v>82</v>
      </c>
      <c r="O262" s="83"/>
      <c r="P262" s="20">
        <v>0.41810344827586227</v>
      </c>
      <c r="Q262" s="143">
        <f t="shared" si="42"/>
        <v>41.8</v>
      </c>
      <c r="R262" s="21" t="s">
        <v>31</v>
      </c>
      <c r="S262" s="8" t="s">
        <v>246</v>
      </c>
      <c r="T262" s="7" t="s">
        <v>226</v>
      </c>
    </row>
    <row r="263" spans="1:20" ht="28">
      <c r="A263" s="74" t="s">
        <v>407</v>
      </c>
      <c r="B263" s="68" t="s">
        <v>518</v>
      </c>
      <c r="C263" s="5"/>
      <c r="D263" s="5" t="s">
        <v>234</v>
      </c>
      <c r="E263" s="132">
        <f t="shared" si="38"/>
        <v>16.52</v>
      </c>
      <c r="F263" s="139">
        <f>$O$259-P263*($O$259-$O$238)</f>
        <v>15.550387931034482</v>
      </c>
      <c r="G263" s="149"/>
      <c r="H263" s="82" t="str">
        <f t="shared" si="39"/>
        <v>88.1 percent up in Burdigalian international stage</v>
      </c>
      <c r="I263" s="142" t="str">
        <f t="shared" si="40"/>
        <v>20.3 percent up in Langhian international stage</v>
      </c>
      <c r="J263" s="7">
        <v>0.88116591928251131</v>
      </c>
      <c r="K263" s="129">
        <f t="shared" si="41"/>
        <v>88.1</v>
      </c>
      <c r="L263" s="8" t="s">
        <v>32</v>
      </c>
      <c r="M263" s="5" t="s">
        <v>82</v>
      </c>
      <c r="N263" s="5" t="s">
        <v>82</v>
      </c>
      <c r="O263" s="83"/>
      <c r="P263" s="20">
        <v>0.20258620689655196</v>
      </c>
      <c r="Q263" s="143">
        <f t="shared" si="42"/>
        <v>20.3</v>
      </c>
      <c r="R263" s="21" t="s">
        <v>31</v>
      </c>
      <c r="S263" s="8" t="s">
        <v>246</v>
      </c>
      <c r="T263" s="7" t="s">
        <v>226</v>
      </c>
    </row>
    <row r="264" spans="1:20" ht="28">
      <c r="A264" s="74" t="s">
        <v>407</v>
      </c>
      <c r="B264" s="69" t="s">
        <v>519</v>
      </c>
      <c r="C264" s="5"/>
      <c r="D264" s="5" t="s">
        <v>520</v>
      </c>
      <c r="E264" s="132">
        <f t="shared" si="38"/>
        <v>17.02</v>
      </c>
      <c r="F264" s="139">
        <f>$O$278-P264*($O$278-$O$259)</f>
        <v>16.02</v>
      </c>
      <c r="G264" s="149"/>
      <c r="H264" s="82" t="str">
        <f t="shared" si="39"/>
        <v>76.9 percent up in Burdigalian international stage</v>
      </c>
      <c r="I264" s="142" t="str">
        <f t="shared" si="40"/>
        <v>99.3 percent up in Burdigalian international stage</v>
      </c>
      <c r="J264" s="7">
        <v>0.76905829596412567</v>
      </c>
      <c r="K264" s="129">
        <f t="shared" si="41"/>
        <v>76.900000000000006</v>
      </c>
      <c r="L264" s="8" t="s">
        <v>32</v>
      </c>
      <c r="M264" s="5" t="s">
        <v>82</v>
      </c>
      <c r="N264" s="5" t="s">
        <v>82</v>
      </c>
      <c r="O264" s="83"/>
      <c r="P264" s="20">
        <v>0.99327354260089695</v>
      </c>
      <c r="Q264" s="143">
        <f t="shared" si="42"/>
        <v>99.3</v>
      </c>
      <c r="R264" s="21" t="s">
        <v>32</v>
      </c>
      <c r="S264" s="8" t="s">
        <v>259</v>
      </c>
      <c r="T264" s="7">
        <v>0.22421524663677081</v>
      </c>
    </row>
    <row r="265" spans="1:20" ht="28">
      <c r="A265" s="74" t="s">
        <v>407</v>
      </c>
      <c r="B265" s="68" t="s">
        <v>521</v>
      </c>
      <c r="C265" s="5"/>
      <c r="D265" s="5" t="s">
        <v>236</v>
      </c>
      <c r="E265" s="132">
        <f t="shared" si="38"/>
        <v>17.52</v>
      </c>
      <c r="F265" s="139">
        <f>$O$278-P265*($O$278-$O$259)</f>
        <v>16.52</v>
      </c>
      <c r="G265" s="149"/>
      <c r="H265" s="82" t="str">
        <f t="shared" si="39"/>
        <v>65.7 percent up in Burdigalian international stage</v>
      </c>
      <c r="I265" s="142" t="str">
        <f t="shared" si="40"/>
        <v>88.1 percent up in Burdigalian international stage</v>
      </c>
      <c r="J265" s="7">
        <v>0.65695067264573992</v>
      </c>
      <c r="K265" s="129">
        <f t="shared" si="41"/>
        <v>65.7</v>
      </c>
      <c r="L265" s="8" t="s">
        <v>32</v>
      </c>
      <c r="M265" s="5" t="s">
        <v>82</v>
      </c>
      <c r="N265" s="5" t="s">
        <v>82</v>
      </c>
      <c r="O265" s="83"/>
      <c r="P265" s="20">
        <v>0.88116591928251131</v>
      </c>
      <c r="Q265" s="143">
        <f t="shared" si="42"/>
        <v>88.1</v>
      </c>
      <c r="R265" s="21" t="s">
        <v>32</v>
      </c>
      <c r="S265" s="8" t="s">
        <v>259</v>
      </c>
      <c r="T265" s="7">
        <v>0.22421524663677159</v>
      </c>
    </row>
    <row r="266" spans="1:20" ht="28">
      <c r="A266" s="74" t="s">
        <v>407</v>
      </c>
      <c r="B266" s="69" t="s">
        <v>522</v>
      </c>
      <c r="C266" s="5"/>
      <c r="D266" s="5" t="s">
        <v>322</v>
      </c>
      <c r="E266" s="132">
        <f t="shared" si="38"/>
        <v>17.52</v>
      </c>
      <c r="F266" s="139">
        <f>$O$278-P266*($O$278-$O$259)</f>
        <v>16.32</v>
      </c>
      <c r="G266" s="149"/>
      <c r="H266" s="82" t="str">
        <f t="shared" si="39"/>
        <v>65.7 percent up in Burdigalian international stage</v>
      </c>
      <c r="I266" s="142" t="str">
        <f t="shared" si="40"/>
        <v>92.6 percent up in Burdigalian international stage</v>
      </c>
      <c r="J266" s="7">
        <v>0.65695067264573992</v>
      </c>
      <c r="K266" s="129">
        <f t="shared" si="41"/>
        <v>65.7</v>
      </c>
      <c r="L266" s="8" t="s">
        <v>32</v>
      </c>
      <c r="M266" s="5" t="s">
        <v>82</v>
      </c>
      <c r="N266" s="5" t="s">
        <v>82</v>
      </c>
      <c r="O266" s="83"/>
      <c r="P266" s="20">
        <v>0.92600896860986548</v>
      </c>
      <c r="Q266" s="143">
        <f t="shared" si="42"/>
        <v>92.6</v>
      </c>
      <c r="R266" s="21" t="s">
        <v>32</v>
      </c>
      <c r="S266" s="8" t="s">
        <v>259</v>
      </c>
      <c r="T266" s="7">
        <v>0.26905829596412606</v>
      </c>
    </row>
    <row r="267" spans="1:20" ht="28">
      <c r="A267" s="74" t="s">
        <v>407</v>
      </c>
      <c r="B267" s="72" t="s">
        <v>523</v>
      </c>
      <c r="C267" s="5"/>
      <c r="D267" s="5" t="s">
        <v>506</v>
      </c>
      <c r="E267" s="132">
        <f t="shared" si="38"/>
        <v>17.989999999999998</v>
      </c>
      <c r="F267" s="139">
        <f>$O$278-P267*($O$278-$O$259)</f>
        <v>15.99</v>
      </c>
      <c r="G267" s="149"/>
      <c r="H267" s="82" t="str">
        <f t="shared" si="39"/>
        <v>55.2 percent up in Burdigalian international stage</v>
      </c>
      <c r="I267" s="142" t="str">
        <f t="shared" si="40"/>
        <v>100 percent up in Burdigalian international stage</v>
      </c>
      <c r="J267" s="7">
        <v>0.55156950672645766</v>
      </c>
      <c r="K267" s="129">
        <f t="shared" si="41"/>
        <v>55.2</v>
      </c>
      <c r="L267" s="8" t="s">
        <v>32</v>
      </c>
      <c r="M267" s="5" t="s">
        <v>82</v>
      </c>
      <c r="N267" s="5" t="s">
        <v>82</v>
      </c>
      <c r="O267" s="83"/>
      <c r="P267" s="20">
        <v>1</v>
      </c>
      <c r="Q267" s="143">
        <f t="shared" si="42"/>
        <v>100</v>
      </c>
      <c r="R267" s="21" t="s">
        <v>32</v>
      </c>
      <c r="S267" s="8" t="s">
        <v>272</v>
      </c>
      <c r="T267" s="7" t="s">
        <v>226</v>
      </c>
    </row>
    <row r="268" spans="1:20" ht="28">
      <c r="A268" s="74" t="s">
        <v>407</v>
      </c>
      <c r="B268" s="68" t="s">
        <v>524</v>
      </c>
      <c r="C268" s="5"/>
      <c r="D268" s="5" t="s">
        <v>354</v>
      </c>
      <c r="E268" s="132">
        <f t="shared" si="38"/>
        <v>18.22</v>
      </c>
      <c r="F268" s="139">
        <f>$O$278-P268*($O$278-$O$259)</f>
        <v>15.99</v>
      </c>
      <c r="G268" s="149"/>
      <c r="H268" s="82" t="str">
        <f t="shared" si="39"/>
        <v>50 percent up in Burdigalian international stage</v>
      </c>
      <c r="I268" s="142" t="str">
        <f t="shared" si="40"/>
        <v>100 percent up in Burdigalian international stage</v>
      </c>
      <c r="J268" s="7">
        <v>0.50000000000000022</v>
      </c>
      <c r="K268" s="129">
        <f t="shared" si="41"/>
        <v>50</v>
      </c>
      <c r="L268" s="8" t="s">
        <v>32</v>
      </c>
      <c r="M268" s="5" t="s">
        <v>82</v>
      </c>
      <c r="N268" s="5" t="s">
        <v>82</v>
      </c>
      <c r="O268" s="83"/>
      <c r="P268" s="20">
        <v>1</v>
      </c>
      <c r="Q268" s="143">
        <f t="shared" si="42"/>
        <v>100</v>
      </c>
      <c r="R268" s="21" t="s">
        <v>32</v>
      </c>
      <c r="S268" s="8" t="s">
        <v>272</v>
      </c>
      <c r="T268" s="7" t="s">
        <v>226</v>
      </c>
    </row>
    <row r="269" spans="1:20" ht="28">
      <c r="A269" s="74" t="s">
        <v>407</v>
      </c>
      <c r="B269" s="68" t="s">
        <v>525</v>
      </c>
      <c r="C269" s="5"/>
      <c r="D269" s="5" t="s">
        <v>244</v>
      </c>
      <c r="E269" s="132">
        <f t="shared" si="38"/>
        <v>19.02</v>
      </c>
      <c r="F269" s="139">
        <f>$O$259-P269*($O$259-$O$238)</f>
        <v>15.550387931034482</v>
      </c>
      <c r="G269" s="149"/>
      <c r="H269" s="82" t="str">
        <f t="shared" si="39"/>
        <v>32.1 percent up in Burdigalian international stage</v>
      </c>
      <c r="I269" s="142" t="str">
        <f t="shared" si="40"/>
        <v>20.3 percent up in Langhian international stage</v>
      </c>
      <c r="J269" s="7">
        <v>0.320627802690583</v>
      </c>
      <c r="K269" s="129">
        <f t="shared" si="41"/>
        <v>32.1</v>
      </c>
      <c r="L269" s="8" t="s">
        <v>32</v>
      </c>
      <c r="M269" s="5" t="s">
        <v>82</v>
      </c>
      <c r="N269" s="5" t="s">
        <v>82</v>
      </c>
      <c r="O269" s="83"/>
      <c r="P269" s="20">
        <v>0.20258620689655196</v>
      </c>
      <c r="Q269" s="143">
        <f t="shared" si="42"/>
        <v>20.3</v>
      </c>
      <c r="R269" s="21" t="s">
        <v>31</v>
      </c>
      <c r="S269" s="8" t="s">
        <v>246</v>
      </c>
      <c r="T269" s="7" t="s">
        <v>226</v>
      </c>
    </row>
    <row r="270" spans="1:20" ht="28">
      <c r="A270" s="74" t="s">
        <v>407</v>
      </c>
      <c r="B270" s="72" t="s">
        <v>526</v>
      </c>
      <c r="C270" s="5"/>
      <c r="D270" s="5" t="s">
        <v>506</v>
      </c>
      <c r="E270" s="132">
        <f t="shared" si="38"/>
        <v>19.489999999999998</v>
      </c>
      <c r="F270" s="139">
        <f t="shared" ref="F270:F278" si="43">$O$278-P270*($O$278-$O$259)</f>
        <v>17.989999999999998</v>
      </c>
      <c r="G270" s="149"/>
      <c r="H270" s="82" t="str">
        <f t="shared" si="39"/>
        <v>21.5 percent up in Burdigalian international stage</v>
      </c>
      <c r="I270" s="142" t="str">
        <f t="shared" si="40"/>
        <v>55.2 percent up in Burdigalian international stage</v>
      </c>
      <c r="J270" s="7">
        <v>0.21524663677130074</v>
      </c>
      <c r="K270" s="129">
        <f t="shared" si="41"/>
        <v>21.5</v>
      </c>
      <c r="L270" s="8" t="s">
        <v>32</v>
      </c>
      <c r="M270" s="5" t="s">
        <v>82</v>
      </c>
      <c r="N270" s="5" t="s">
        <v>82</v>
      </c>
      <c r="O270" s="83"/>
      <c r="P270" s="20">
        <v>0.55156950672645766</v>
      </c>
      <c r="Q270" s="143">
        <f t="shared" si="42"/>
        <v>55.2</v>
      </c>
      <c r="R270" s="21" t="s">
        <v>32</v>
      </c>
      <c r="S270" s="8" t="s">
        <v>259</v>
      </c>
      <c r="T270" s="7">
        <v>0.33632286995515698</v>
      </c>
    </row>
    <row r="271" spans="1:20" ht="28">
      <c r="A271" s="74" t="s">
        <v>407</v>
      </c>
      <c r="B271" s="68" t="s">
        <v>527</v>
      </c>
      <c r="C271" s="5"/>
      <c r="D271" s="5" t="s">
        <v>236</v>
      </c>
      <c r="E271" s="132">
        <f t="shared" si="38"/>
        <v>20.02</v>
      </c>
      <c r="F271" s="139">
        <f t="shared" si="43"/>
        <v>17.52</v>
      </c>
      <c r="G271" s="149"/>
      <c r="H271" s="82" t="str">
        <f t="shared" si="39"/>
        <v>9.6 percent up in Burdigalian international stage</v>
      </c>
      <c r="I271" s="142" t="str">
        <f t="shared" si="40"/>
        <v>65.7 percent up in Burdigalian international stage</v>
      </c>
      <c r="J271" s="7">
        <v>9.6412556053811604E-2</v>
      </c>
      <c r="K271" s="129">
        <f t="shared" si="41"/>
        <v>9.6</v>
      </c>
      <c r="L271" s="8" t="s">
        <v>32</v>
      </c>
      <c r="M271" s="5" t="s">
        <v>82</v>
      </c>
      <c r="N271" s="5" t="s">
        <v>82</v>
      </c>
      <c r="O271" s="83"/>
      <c r="P271" s="20">
        <v>0.65695067264574003</v>
      </c>
      <c r="Q271" s="143">
        <f t="shared" si="42"/>
        <v>65.7</v>
      </c>
      <c r="R271" s="21" t="s">
        <v>32</v>
      </c>
      <c r="S271" s="8" t="s">
        <v>259</v>
      </c>
      <c r="T271" s="7">
        <v>0.56053811659192776</v>
      </c>
    </row>
    <row r="272" spans="1:20" ht="28">
      <c r="A272" s="74" t="s">
        <v>407</v>
      </c>
      <c r="B272" s="72" t="s">
        <v>528</v>
      </c>
      <c r="C272" s="5"/>
      <c r="D272" s="5" t="s">
        <v>506</v>
      </c>
      <c r="E272" s="132">
        <f t="shared" si="38"/>
        <v>20.45</v>
      </c>
      <c r="F272" s="139">
        <f t="shared" si="43"/>
        <v>19.489999999999998</v>
      </c>
      <c r="G272" s="149"/>
      <c r="H272" s="82" t="str">
        <f t="shared" si="39"/>
        <v>0 percent up in Burdigalian international stage</v>
      </c>
      <c r="I272" s="142" t="str">
        <f t="shared" si="40"/>
        <v>21.5 percent up in Burdigalian international stage</v>
      </c>
      <c r="J272" s="7">
        <v>0</v>
      </c>
      <c r="K272" s="129">
        <f t="shared" si="41"/>
        <v>0</v>
      </c>
      <c r="L272" s="8" t="s">
        <v>32</v>
      </c>
      <c r="M272" s="5" t="s">
        <v>82</v>
      </c>
      <c r="N272" s="5" t="s">
        <v>82</v>
      </c>
      <c r="O272" s="83"/>
      <c r="P272" s="20">
        <v>0.21524663677130068</v>
      </c>
      <c r="Q272" s="143">
        <f t="shared" si="42"/>
        <v>21.5</v>
      </c>
      <c r="R272" s="21" t="s">
        <v>32</v>
      </c>
      <c r="S272" s="8" t="s">
        <v>230</v>
      </c>
      <c r="T272" s="7" t="s">
        <v>226</v>
      </c>
    </row>
    <row r="273" spans="1:20" ht="28">
      <c r="A273" s="74" t="s">
        <v>407</v>
      </c>
      <c r="B273" s="68" t="s">
        <v>529</v>
      </c>
      <c r="C273" s="5"/>
      <c r="D273" s="5" t="s">
        <v>461</v>
      </c>
      <c r="E273" s="132">
        <f t="shared" si="38"/>
        <v>20.45</v>
      </c>
      <c r="F273" s="139">
        <f t="shared" si="43"/>
        <v>15.99</v>
      </c>
      <c r="G273" s="149"/>
      <c r="H273" s="82" t="str">
        <f t="shared" si="39"/>
        <v>0 percent up in Burdigalian international stage</v>
      </c>
      <c r="I273" s="142" t="str">
        <f t="shared" si="40"/>
        <v>100 percent up in Burdigalian international stage</v>
      </c>
      <c r="J273" s="7">
        <v>0</v>
      </c>
      <c r="K273" s="129">
        <f t="shared" si="41"/>
        <v>0</v>
      </c>
      <c r="L273" s="8" t="s">
        <v>32</v>
      </c>
      <c r="M273" s="5" t="s">
        <v>82</v>
      </c>
      <c r="N273" s="5" t="s">
        <v>82</v>
      </c>
      <c r="O273" s="83"/>
      <c r="P273" s="20">
        <v>1</v>
      </c>
      <c r="Q273" s="143">
        <f t="shared" si="42"/>
        <v>100</v>
      </c>
      <c r="R273" s="21" t="s">
        <v>32</v>
      </c>
      <c r="S273" s="8" t="s">
        <v>232</v>
      </c>
      <c r="T273" s="7" t="s">
        <v>226</v>
      </c>
    </row>
    <row r="274" spans="1:20" ht="28">
      <c r="A274" s="74" t="s">
        <v>407</v>
      </c>
      <c r="B274" s="69" t="s">
        <v>530</v>
      </c>
      <c r="C274" s="5"/>
      <c r="D274" s="5" t="s">
        <v>264</v>
      </c>
      <c r="E274" s="132">
        <f t="shared" si="38"/>
        <v>20.45</v>
      </c>
      <c r="F274" s="139">
        <f t="shared" si="43"/>
        <v>15.99</v>
      </c>
      <c r="G274" s="149"/>
      <c r="H274" s="82" t="str">
        <f t="shared" si="39"/>
        <v>0 percent up in Burdigalian international stage</v>
      </c>
      <c r="I274" s="142" t="str">
        <f t="shared" si="40"/>
        <v>100 percent up in Burdigalian international stage</v>
      </c>
      <c r="J274" s="7">
        <v>0</v>
      </c>
      <c r="K274" s="129">
        <f t="shared" si="41"/>
        <v>0</v>
      </c>
      <c r="L274" s="8" t="s">
        <v>32</v>
      </c>
      <c r="M274" s="5" t="s">
        <v>82</v>
      </c>
      <c r="N274" s="5" t="s">
        <v>82</v>
      </c>
      <c r="O274" s="83"/>
      <c r="P274" s="20">
        <v>1</v>
      </c>
      <c r="Q274" s="143">
        <f t="shared" si="42"/>
        <v>100</v>
      </c>
      <c r="R274" s="21" t="s">
        <v>32</v>
      </c>
      <c r="S274" s="8" t="s">
        <v>232</v>
      </c>
      <c r="T274" s="7" t="s">
        <v>226</v>
      </c>
    </row>
    <row r="275" spans="1:20" ht="28">
      <c r="A275" s="74"/>
      <c r="B275" s="68" t="s">
        <v>1816</v>
      </c>
      <c r="C275" s="5"/>
      <c r="D275" s="5"/>
      <c r="E275" s="132">
        <f t="shared" ref="E275:E277" si="44">$O$278-J275*($O$278-$O$259)</f>
        <v>18.22</v>
      </c>
      <c r="F275" s="139">
        <f t="shared" ref="F275:F277" si="45">$O$278-P275*($O$278-$O$259)</f>
        <v>15.99</v>
      </c>
      <c r="G275" s="149" t="s">
        <v>1601</v>
      </c>
      <c r="H275" s="82" t="str">
        <f t="shared" ref="H275:H277" si="46">CONCATENATE(K275," percent up in ",L275," international stage")</f>
        <v>50 percent up in Burdigalian international stage</v>
      </c>
      <c r="I275" s="142" t="str">
        <f t="shared" ref="I275:I277" si="47">CONCATENATE(Q275," percent up in ",R275," international stage")</f>
        <v>100 percent up in Burdigalian international stage</v>
      </c>
      <c r="J275" s="7">
        <v>0.5</v>
      </c>
      <c r="K275" s="129">
        <f t="shared" ref="K275:K277" si="48">ROUND(J275*100,1)</f>
        <v>50</v>
      </c>
      <c r="L275" s="8" t="s">
        <v>32</v>
      </c>
      <c r="M275" s="5"/>
      <c r="O275" s="83"/>
      <c r="P275" s="20">
        <v>1</v>
      </c>
      <c r="Q275" s="143">
        <f t="shared" ref="Q275:Q277" si="49">ROUND(P275*100,1)</f>
        <v>100</v>
      </c>
      <c r="R275" s="21" t="s">
        <v>32</v>
      </c>
      <c r="S275" s="8" t="s">
        <v>1601</v>
      </c>
    </row>
    <row r="276" spans="1:20" ht="28">
      <c r="A276" s="74"/>
      <c r="B276" s="68" t="s">
        <v>1815</v>
      </c>
      <c r="C276" s="5"/>
      <c r="D276" s="5"/>
      <c r="E276" s="132">
        <f t="shared" si="44"/>
        <v>20.45</v>
      </c>
      <c r="F276" s="139">
        <f t="shared" si="45"/>
        <v>18.22</v>
      </c>
      <c r="G276" s="149" t="s">
        <v>1602</v>
      </c>
      <c r="H276" s="82" t="str">
        <f t="shared" si="46"/>
        <v>0 percent up in Burdigalian international stage</v>
      </c>
      <c r="I276" s="142" t="str">
        <f t="shared" si="47"/>
        <v>50 percent up in Burdigalian international stage</v>
      </c>
      <c r="J276" s="7">
        <v>0</v>
      </c>
      <c r="K276" s="129">
        <f t="shared" si="48"/>
        <v>0</v>
      </c>
      <c r="L276" s="8" t="s">
        <v>32</v>
      </c>
      <c r="M276" s="5"/>
      <c r="O276" s="83"/>
      <c r="P276" s="20">
        <v>0.5</v>
      </c>
      <c r="Q276" s="143">
        <f t="shared" si="49"/>
        <v>50</v>
      </c>
      <c r="R276" s="21" t="s">
        <v>32</v>
      </c>
      <c r="S276" s="8" t="s">
        <v>1602</v>
      </c>
    </row>
    <row r="277" spans="1:20" ht="34">
      <c r="A277" s="74"/>
      <c r="B277" s="68" t="s">
        <v>1914</v>
      </c>
      <c r="C277" s="5"/>
      <c r="D277" s="5"/>
      <c r="E277" s="132">
        <f t="shared" si="44"/>
        <v>20.45</v>
      </c>
      <c r="F277" s="139">
        <f t="shared" si="45"/>
        <v>15.99</v>
      </c>
      <c r="G277" s="149"/>
      <c r="H277" s="82" t="str">
        <f t="shared" si="46"/>
        <v>0 percent up in Burdigalian international stage</v>
      </c>
      <c r="I277" s="142" t="str">
        <f t="shared" si="47"/>
        <v>100 percent up in Burdigalian international stage</v>
      </c>
      <c r="J277" s="7">
        <v>0</v>
      </c>
      <c r="K277" s="129">
        <f t="shared" si="48"/>
        <v>0</v>
      </c>
      <c r="L277" s="8" t="s">
        <v>32</v>
      </c>
      <c r="M277" s="5"/>
      <c r="O277" s="84"/>
      <c r="P277" s="20">
        <v>1</v>
      </c>
      <c r="Q277" s="143">
        <f t="shared" si="49"/>
        <v>100</v>
      </c>
      <c r="R277" s="21" t="s">
        <v>32</v>
      </c>
      <c r="S277" s="8" t="s">
        <v>1915</v>
      </c>
    </row>
    <row r="278" spans="1:20" ht="28">
      <c r="A278" s="74" t="s">
        <v>407</v>
      </c>
      <c r="B278" s="68" t="s">
        <v>32</v>
      </c>
      <c r="C278" s="134" t="s">
        <v>7</v>
      </c>
      <c r="D278" s="134" t="s">
        <v>222</v>
      </c>
      <c r="E278" s="132">
        <f t="shared" si="38"/>
        <v>20.45</v>
      </c>
      <c r="F278" s="139">
        <f t="shared" si="43"/>
        <v>15.99</v>
      </c>
      <c r="G278" s="149"/>
      <c r="H278" s="82" t="str">
        <f t="shared" si="39"/>
        <v>0 percent up in Burdigalian international stage</v>
      </c>
      <c r="I278" s="142" t="str">
        <f t="shared" si="40"/>
        <v>100 percent up in Burdigalian international stage</v>
      </c>
      <c r="J278" s="7">
        <v>0</v>
      </c>
      <c r="K278" s="129">
        <f t="shared" si="41"/>
        <v>0</v>
      </c>
      <c r="L278" s="8" t="s">
        <v>32</v>
      </c>
      <c r="M278" s="5" t="s">
        <v>224</v>
      </c>
      <c r="N278" s="5" t="s">
        <v>531</v>
      </c>
      <c r="O278" s="84">
        <f>Master_Chronostrat!I18</f>
        <v>20.45</v>
      </c>
      <c r="P278" s="20">
        <v>1</v>
      </c>
      <c r="Q278" s="143">
        <f t="shared" si="42"/>
        <v>100</v>
      </c>
      <c r="R278" s="21" t="s">
        <v>32</v>
      </c>
      <c r="S278" s="8" t="s">
        <v>224</v>
      </c>
      <c r="T278" s="7" t="s">
        <v>226</v>
      </c>
    </row>
    <row r="279" spans="1:20" ht="28">
      <c r="A279" s="74" t="s">
        <v>407</v>
      </c>
      <c r="B279" s="69" t="s">
        <v>532</v>
      </c>
      <c r="C279" s="5"/>
      <c r="D279" s="5" t="s">
        <v>390</v>
      </c>
      <c r="E279" s="132">
        <f t="shared" ref="E279:E296" si="50">$O$296-J279*($O$296-$O$278)</f>
        <v>21.017807692307692</v>
      </c>
      <c r="F279" s="139">
        <f>$O$238-P279*($O$238-$O$226)</f>
        <v>12.013987341772152</v>
      </c>
      <c r="G279" s="149"/>
      <c r="H279" s="82" t="str">
        <f t="shared" si="39"/>
        <v>78.1 percent up in Aquitanian international stage</v>
      </c>
      <c r="I279" s="142" t="str">
        <f t="shared" si="40"/>
        <v>82.3 percent up in Serravallian international stage</v>
      </c>
      <c r="J279" s="7">
        <v>0.78076923076923077</v>
      </c>
      <c r="K279" s="129">
        <f t="shared" si="41"/>
        <v>78.099999999999994</v>
      </c>
      <c r="L279" s="8" t="s">
        <v>35</v>
      </c>
      <c r="M279" s="5" t="s">
        <v>82</v>
      </c>
      <c r="N279" s="5" t="s">
        <v>82</v>
      </c>
      <c r="O279" s="83"/>
      <c r="P279" s="20">
        <v>0.82278481012658233</v>
      </c>
      <c r="Q279" s="143">
        <f t="shared" si="42"/>
        <v>82.3</v>
      </c>
      <c r="R279" s="21" t="s">
        <v>30</v>
      </c>
      <c r="S279" s="8" t="s">
        <v>246</v>
      </c>
      <c r="T279" s="7" t="s">
        <v>226</v>
      </c>
    </row>
    <row r="280" spans="1:20" ht="28">
      <c r="A280" s="74" t="s">
        <v>407</v>
      </c>
      <c r="B280" s="69" t="s">
        <v>533</v>
      </c>
      <c r="C280" s="5"/>
      <c r="D280" s="5" t="s">
        <v>322</v>
      </c>
      <c r="E280" s="132">
        <f t="shared" si="50"/>
        <v>21.017807692307692</v>
      </c>
      <c r="F280" s="139">
        <f>$O$278-P280*($O$278-$O$259)</f>
        <v>17.52</v>
      </c>
      <c r="G280" s="149"/>
      <c r="H280" s="82" t="str">
        <f t="shared" si="39"/>
        <v>78.1 percent up in Aquitanian international stage</v>
      </c>
      <c r="I280" s="142" t="str">
        <f t="shared" si="40"/>
        <v>65.7 percent up in Burdigalian international stage</v>
      </c>
      <c r="J280" s="7">
        <v>0.78076923076923077</v>
      </c>
      <c r="K280" s="129">
        <f t="shared" si="41"/>
        <v>78.099999999999994</v>
      </c>
      <c r="L280" s="8" t="s">
        <v>35</v>
      </c>
      <c r="M280" s="5" t="s">
        <v>82</v>
      </c>
      <c r="N280" s="5" t="s">
        <v>82</v>
      </c>
      <c r="O280" s="83"/>
      <c r="P280" s="20">
        <v>0.65695067264574003</v>
      </c>
      <c r="Q280" s="143">
        <f t="shared" si="42"/>
        <v>65.7</v>
      </c>
      <c r="R280" s="21" t="s">
        <v>32</v>
      </c>
      <c r="S280" s="8" t="s">
        <v>246</v>
      </c>
      <c r="T280" s="7" t="s">
        <v>226</v>
      </c>
    </row>
    <row r="281" spans="1:20" ht="28">
      <c r="A281" s="74" t="s">
        <v>407</v>
      </c>
      <c r="B281" s="68" t="s">
        <v>534</v>
      </c>
      <c r="C281" s="5"/>
      <c r="D281" s="5" t="s">
        <v>236</v>
      </c>
      <c r="E281" s="132">
        <f t="shared" si="50"/>
        <v>21.017807692307692</v>
      </c>
      <c r="F281" s="139">
        <f>$O$278-P281*($O$278-$O$259)</f>
        <v>20.02</v>
      </c>
      <c r="G281" s="149"/>
      <c r="H281" s="82" t="str">
        <f t="shared" si="39"/>
        <v>78.1 percent up in Aquitanian international stage</v>
      </c>
      <c r="I281" s="142" t="str">
        <f t="shared" si="40"/>
        <v>9.6 percent up in Burdigalian international stage</v>
      </c>
      <c r="J281" s="7">
        <v>0.78076923076923077</v>
      </c>
      <c r="K281" s="129">
        <f t="shared" si="41"/>
        <v>78.099999999999994</v>
      </c>
      <c r="L281" s="8" t="s">
        <v>35</v>
      </c>
      <c r="M281" s="5" t="s">
        <v>82</v>
      </c>
      <c r="N281" s="5" t="s">
        <v>82</v>
      </c>
      <c r="O281" s="83"/>
      <c r="P281" s="20">
        <v>9.6412556053811618E-2</v>
      </c>
      <c r="Q281" s="143">
        <f t="shared" si="42"/>
        <v>9.6</v>
      </c>
      <c r="R281" s="21" t="s">
        <v>32</v>
      </c>
      <c r="S281" s="8" t="s">
        <v>246</v>
      </c>
      <c r="T281" s="7" t="s">
        <v>226</v>
      </c>
    </row>
    <row r="282" spans="1:20" ht="28">
      <c r="A282" s="74" t="s">
        <v>407</v>
      </c>
      <c r="B282" s="69" t="s">
        <v>535</v>
      </c>
      <c r="C282" s="5"/>
      <c r="D282" s="5" t="s">
        <v>236</v>
      </c>
      <c r="E282" s="132">
        <f t="shared" si="50"/>
        <v>21.715115384615384</v>
      </c>
      <c r="F282" s="139">
        <f>$O$259-P282*($O$259-$O$238)</f>
        <v>15.919348837209302</v>
      </c>
      <c r="G282" s="149"/>
      <c r="H282" s="82" t="str">
        <f t="shared" si="39"/>
        <v>51.2 percent up in Aquitanian international stage</v>
      </c>
      <c r="I282" s="142" t="str">
        <f t="shared" si="40"/>
        <v>3.3 percent up in Langhian international stage</v>
      </c>
      <c r="J282" s="7">
        <v>0.51153846153846194</v>
      </c>
      <c r="K282" s="129">
        <f t="shared" si="41"/>
        <v>51.2</v>
      </c>
      <c r="L282" s="8" t="s">
        <v>35</v>
      </c>
      <c r="M282" s="5" t="s">
        <v>82</v>
      </c>
      <c r="N282" s="5" t="s">
        <v>82</v>
      </c>
      <c r="O282" s="83"/>
      <c r="P282" s="20">
        <v>3.2558139534883797E-2</v>
      </c>
      <c r="Q282" s="143">
        <f t="shared" si="42"/>
        <v>3.3</v>
      </c>
      <c r="R282" s="21" t="s">
        <v>31</v>
      </c>
      <c r="S282" s="8" t="s">
        <v>246</v>
      </c>
      <c r="T282" s="7" t="s">
        <v>226</v>
      </c>
    </row>
    <row r="283" spans="1:20" ht="28">
      <c r="A283" s="74" t="s">
        <v>407</v>
      </c>
      <c r="B283" s="68" t="s">
        <v>536</v>
      </c>
      <c r="C283" s="5"/>
      <c r="D283" s="5" t="s">
        <v>234</v>
      </c>
      <c r="E283" s="132">
        <f t="shared" si="50"/>
        <v>22.013961538461537</v>
      </c>
      <c r="F283" s="139">
        <f>$O$278-P283*($O$278-$O$259)</f>
        <v>16.52</v>
      </c>
      <c r="G283" s="149"/>
      <c r="H283" s="82" t="str">
        <f t="shared" si="39"/>
        <v>39.6 percent up in Aquitanian international stage</v>
      </c>
      <c r="I283" s="142" t="str">
        <f t="shared" si="40"/>
        <v>88.1 percent up in Burdigalian international stage</v>
      </c>
      <c r="J283" s="7">
        <v>0.39615384615384641</v>
      </c>
      <c r="K283" s="129">
        <f t="shared" si="41"/>
        <v>39.6</v>
      </c>
      <c r="L283" s="8" t="s">
        <v>35</v>
      </c>
      <c r="M283" s="5" t="s">
        <v>82</v>
      </c>
      <c r="N283" s="5" t="s">
        <v>82</v>
      </c>
      <c r="O283" s="83"/>
      <c r="P283" s="20">
        <v>0.88116591928251131</v>
      </c>
      <c r="Q283" s="143">
        <f t="shared" si="42"/>
        <v>88.1</v>
      </c>
      <c r="R283" s="21" t="s">
        <v>32</v>
      </c>
      <c r="S283" s="8" t="s">
        <v>246</v>
      </c>
      <c r="T283" s="7" t="s">
        <v>226</v>
      </c>
    </row>
    <row r="284" spans="1:20" ht="28">
      <c r="A284" s="74" t="s">
        <v>407</v>
      </c>
      <c r="B284" s="72" t="s">
        <v>537</v>
      </c>
      <c r="C284" s="5"/>
      <c r="D284" s="5" t="s">
        <v>292</v>
      </c>
      <c r="E284" s="132">
        <f t="shared" si="50"/>
        <v>23.010115384615382</v>
      </c>
      <c r="F284" s="139">
        <f>$O$278-P284*($O$278-$O$259)</f>
        <v>15.99</v>
      </c>
      <c r="G284" s="149"/>
      <c r="H284" s="82" t="str">
        <f t="shared" si="39"/>
        <v>1.2 percent up in Aquitanian international stage</v>
      </c>
      <c r="I284" s="142" t="str">
        <f t="shared" si="40"/>
        <v>100 percent up in Burdigalian international stage</v>
      </c>
      <c r="J284" s="7">
        <v>1.1538461538461942E-2</v>
      </c>
      <c r="K284" s="129">
        <f t="shared" si="41"/>
        <v>1.2</v>
      </c>
      <c r="L284" s="8" t="s">
        <v>35</v>
      </c>
      <c r="M284" s="5" t="s">
        <v>82</v>
      </c>
      <c r="N284" s="5" t="s">
        <v>82</v>
      </c>
      <c r="O284" s="83"/>
      <c r="P284" s="20">
        <v>1</v>
      </c>
      <c r="Q284" s="143">
        <f t="shared" si="42"/>
        <v>100</v>
      </c>
      <c r="R284" s="21" t="s">
        <v>32</v>
      </c>
      <c r="S284" s="8" t="s">
        <v>246</v>
      </c>
      <c r="T284" s="7" t="s">
        <v>226</v>
      </c>
    </row>
    <row r="285" spans="1:20" ht="28">
      <c r="A285" s="74" t="s">
        <v>407</v>
      </c>
      <c r="B285" s="72" t="s">
        <v>538</v>
      </c>
      <c r="C285" s="5"/>
      <c r="D285" s="5" t="s">
        <v>292</v>
      </c>
      <c r="E285" s="132">
        <f t="shared" si="50"/>
        <v>23.010115384615382</v>
      </c>
      <c r="F285" s="139">
        <f>$O$296-P285*($O$296-$O$278)</f>
        <v>21.515884615384614</v>
      </c>
      <c r="G285" s="149"/>
      <c r="H285" s="82" t="str">
        <f t="shared" si="39"/>
        <v>1.2 percent up in Aquitanian international stage</v>
      </c>
      <c r="I285" s="142" t="str">
        <f t="shared" si="40"/>
        <v>58.8 percent up in Aquitanian international stage</v>
      </c>
      <c r="J285" s="7">
        <v>1.1538461538461942E-2</v>
      </c>
      <c r="K285" s="129">
        <f t="shared" si="41"/>
        <v>1.2</v>
      </c>
      <c r="L285" s="8" t="s">
        <v>35</v>
      </c>
      <c r="M285" s="5" t="s">
        <v>82</v>
      </c>
      <c r="N285" s="5" t="s">
        <v>82</v>
      </c>
      <c r="O285" s="83"/>
      <c r="P285" s="20">
        <v>0.58846153846153859</v>
      </c>
      <c r="Q285" s="143">
        <f t="shared" si="42"/>
        <v>58.8</v>
      </c>
      <c r="R285" s="21" t="s">
        <v>35</v>
      </c>
      <c r="S285" s="8" t="s">
        <v>259</v>
      </c>
      <c r="T285" s="7">
        <v>0.57692307692307643</v>
      </c>
    </row>
    <row r="286" spans="1:20" ht="28">
      <c r="A286" s="74" t="s">
        <v>407</v>
      </c>
      <c r="B286" s="69" t="s">
        <v>539</v>
      </c>
      <c r="C286" s="5"/>
      <c r="D286" s="5" t="s">
        <v>270</v>
      </c>
      <c r="E286" s="132">
        <f t="shared" si="50"/>
        <v>23.04</v>
      </c>
      <c r="F286" s="139">
        <f>$O$296-P286*($O$296-$O$278)</f>
        <v>20.45</v>
      </c>
      <c r="G286" s="149"/>
      <c r="H286" s="82" t="str">
        <f t="shared" si="39"/>
        <v>0 percent up in Aquitanian international stage</v>
      </c>
      <c r="I286" s="142" t="str">
        <f t="shared" si="40"/>
        <v>100 percent up in Aquitanian international stage</v>
      </c>
      <c r="J286" s="7">
        <v>0</v>
      </c>
      <c r="K286" s="129">
        <f t="shared" si="41"/>
        <v>0</v>
      </c>
      <c r="L286" s="8" t="s">
        <v>35</v>
      </c>
      <c r="M286" s="5" t="s">
        <v>82</v>
      </c>
      <c r="N286" s="5" t="s">
        <v>82</v>
      </c>
      <c r="O286" s="83"/>
      <c r="P286" s="20">
        <v>1</v>
      </c>
      <c r="Q286" s="143">
        <f t="shared" si="42"/>
        <v>100</v>
      </c>
      <c r="R286" s="21" t="s">
        <v>35</v>
      </c>
      <c r="S286" s="8" t="s">
        <v>232</v>
      </c>
      <c r="T286" s="7" t="s">
        <v>226</v>
      </c>
    </row>
    <row r="287" spans="1:20" ht="28">
      <c r="A287" s="74" t="s">
        <v>407</v>
      </c>
      <c r="B287" s="69" t="s">
        <v>540</v>
      </c>
      <c r="C287" s="5"/>
      <c r="D287" s="5" t="s">
        <v>82</v>
      </c>
      <c r="E287" s="132">
        <f t="shared" si="50"/>
        <v>23.04</v>
      </c>
      <c r="F287" s="139">
        <f>$O$259-P287*($O$259-$O$238)</f>
        <v>13.82</v>
      </c>
      <c r="G287" s="149"/>
      <c r="H287" s="82" t="str">
        <f t="shared" si="39"/>
        <v>0 percent up in Aquitanian international stage</v>
      </c>
      <c r="I287" s="142" t="str">
        <f t="shared" si="40"/>
        <v>100 percent up in Langhian international stage</v>
      </c>
      <c r="J287" s="7">
        <v>0</v>
      </c>
      <c r="K287" s="129">
        <f t="shared" si="41"/>
        <v>0</v>
      </c>
      <c r="L287" s="8" t="s">
        <v>35</v>
      </c>
      <c r="M287" s="5" t="s">
        <v>82</v>
      </c>
      <c r="N287" s="5" t="s">
        <v>82</v>
      </c>
      <c r="O287" s="83"/>
      <c r="P287" s="20">
        <v>1</v>
      </c>
      <c r="Q287" s="143">
        <f t="shared" si="42"/>
        <v>100</v>
      </c>
      <c r="R287" s="21" t="s">
        <v>31</v>
      </c>
      <c r="S287" s="8" t="s">
        <v>232</v>
      </c>
      <c r="T287" s="7" t="s">
        <v>226</v>
      </c>
    </row>
    <row r="288" spans="1:20" ht="28">
      <c r="A288" s="74" t="s">
        <v>407</v>
      </c>
      <c r="B288" s="70" t="s">
        <v>541</v>
      </c>
      <c r="C288" s="5"/>
      <c r="D288" s="5" t="s">
        <v>82</v>
      </c>
      <c r="E288" s="132">
        <f t="shared" si="50"/>
        <v>23.04</v>
      </c>
      <c r="F288" s="139">
        <f>$O$278-P288*($O$278-$O$259)</f>
        <v>15.99</v>
      </c>
      <c r="G288" s="149"/>
      <c r="H288" s="82" t="str">
        <f t="shared" si="39"/>
        <v>0 percent up in Aquitanian international stage</v>
      </c>
      <c r="I288" s="142" t="str">
        <f t="shared" si="40"/>
        <v>100 percent up in Burdigalian international stage</v>
      </c>
      <c r="J288" s="7">
        <v>0</v>
      </c>
      <c r="K288" s="129">
        <f t="shared" si="41"/>
        <v>0</v>
      </c>
      <c r="L288" s="8" t="s">
        <v>35</v>
      </c>
      <c r="M288" s="5" t="s">
        <v>82</v>
      </c>
      <c r="N288" s="5" t="s">
        <v>82</v>
      </c>
      <c r="O288" s="83"/>
      <c r="P288" s="20">
        <v>1</v>
      </c>
      <c r="Q288" s="143">
        <f t="shared" si="42"/>
        <v>100</v>
      </c>
      <c r="R288" s="21" t="s">
        <v>32</v>
      </c>
      <c r="S288" s="8" t="s">
        <v>232</v>
      </c>
      <c r="T288" s="7" t="s">
        <v>226</v>
      </c>
    </row>
    <row r="289" spans="1:20" ht="28">
      <c r="A289" s="74" t="s">
        <v>407</v>
      </c>
      <c r="B289" s="73" t="s">
        <v>542</v>
      </c>
      <c r="C289" s="5"/>
      <c r="D289" s="5" t="s">
        <v>82</v>
      </c>
      <c r="E289" s="132">
        <f t="shared" si="50"/>
        <v>23.04</v>
      </c>
      <c r="F289" s="139">
        <f>$O$296-P289*($O$296-$O$278)</f>
        <v>20.45</v>
      </c>
      <c r="G289" s="149"/>
      <c r="H289" s="82" t="str">
        <f t="shared" si="39"/>
        <v>0 percent up in Aquitanian international stage</v>
      </c>
      <c r="I289" s="142" t="str">
        <f t="shared" si="40"/>
        <v>100 percent up in Aquitanian international stage</v>
      </c>
      <c r="J289" s="7">
        <v>0</v>
      </c>
      <c r="K289" s="129">
        <f t="shared" si="41"/>
        <v>0</v>
      </c>
      <c r="L289" s="8" t="s">
        <v>35</v>
      </c>
      <c r="M289" s="5" t="s">
        <v>82</v>
      </c>
      <c r="N289" s="5" t="s">
        <v>82</v>
      </c>
      <c r="O289" s="83"/>
      <c r="P289" s="20">
        <v>1</v>
      </c>
      <c r="Q289" s="143">
        <f t="shared" si="42"/>
        <v>100</v>
      </c>
      <c r="R289" s="21" t="s">
        <v>35</v>
      </c>
      <c r="S289" s="8" t="s">
        <v>232</v>
      </c>
      <c r="T289" s="7" t="s">
        <v>226</v>
      </c>
    </row>
    <row r="290" spans="1:20" ht="28">
      <c r="A290" s="74" t="s">
        <v>407</v>
      </c>
      <c r="B290" s="68" t="s">
        <v>543</v>
      </c>
      <c r="C290" s="5"/>
      <c r="D290" s="5" t="s">
        <v>236</v>
      </c>
      <c r="E290" s="132">
        <f t="shared" si="50"/>
        <v>23.04</v>
      </c>
      <c r="F290" s="139">
        <f>$O$296-P290*($O$296-$O$278)</f>
        <v>21.017807692307692</v>
      </c>
      <c r="G290" s="149"/>
      <c r="H290" s="82" t="str">
        <f t="shared" si="39"/>
        <v>0 percent up in Aquitanian international stage</v>
      </c>
      <c r="I290" s="142" t="str">
        <f t="shared" si="40"/>
        <v>78.1 percent up in Aquitanian international stage</v>
      </c>
      <c r="J290" s="7">
        <v>0</v>
      </c>
      <c r="K290" s="129">
        <f t="shared" si="41"/>
        <v>0</v>
      </c>
      <c r="L290" s="8" t="s">
        <v>35</v>
      </c>
      <c r="M290" s="5" t="s">
        <v>82</v>
      </c>
      <c r="N290" s="5" t="s">
        <v>82</v>
      </c>
      <c r="O290" s="83"/>
      <c r="P290" s="20">
        <v>0.78076923076923077</v>
      </c>
      <c r="Q290" s="143">
        <f t="shared" si="42"/>
        <v>78.099999999999994</v>
      </c>
      <c r="R290" s="21" t="s">
        <v>35</v>
      </c>
      <c r="S290" s="8" t="s">
        <v>230</v>
      </c>
      <c r="T290" s="7" t="s">
        <v>226</v>
      </c>
    </row>
    <row r="291" spans="1:20" ht="28">
      <c r="A291" s="74" t="s">
        <v>407</v>
      </c>
      <c r="B291" s="72" t="s">
        <v>544</v>
      </c>
      <c r="C291" s="5"/>
      <c r="D291" s="5" t="s">
        <v>292</v>
      </c>
      <c r="E291" s="132">
        <f t="shared" si="50"/>
        <v>23.04</v>
      </c>
      <c r="F291" s="139">
        <f>$O$296-P291*($O$296-$O$278)</f>
        <v>21.515884615384614</v>
      </c>
      <c r="G291" s="149"/>
      <c r="H291" s="82" t="str">
        <f t="shared" si="39"/>
        <v>0 percent up in Aquitanian international stage</v>
      </c>
      <c r="I291" s="142" t="str">
        <f t="shared" si="40"/>
        <v>58.8 percent up in Aquitanian international stage</v>
      </c>
      <c r="J291" s="7">
        <v>0</v>
      </c>
      <c r="K291" s="129">
        <f t="shared" si="41"/>
        <v>0</v>
      </c>
      <c r="L291" s="8" t="s">
        <v>35</v>
      </c>
      <c r="M291" s="5" t="s">
        <v>82</v>
      </c>
      <c r="N291" s="5" t="s">
        <v>82</v>
      </c>
      <c r="O291" s="83"/>
      <c r="P291" s="20">
        <v>0.58846153846153859</v>
      </c>
      <c r="Q291" s="143">
        <f t="shared" si="42"/>
        <v>58.8</v>
      </c>
      <c r="R291" s="21" t="s">
        <v>35</v>
      </c>
      <c r="S291" s="8" t="s">
        <v>230</v>
      </c>
      <c r="T291" s="7" t="s">
        <v>226</v>
      </c>
    </row>
    <row r="292" spans="1:20" ht="28">
      <c r="A292" s="74" t="s">
        <v>407</v>
      </c>
      <c r="B292" s="68" t="s">
        <v>545</v>
      </c>
      <c r="C292" s="5"/>
      <c r="D292" s="5" t="s">
        <v>461</v>
      </c>
      <c r="E292" s="132">
        <f t="shared" si="50"/>
        <v>23.04</v>
      </c>
      <c r="F292" s="139">
        <f>$O$296-P292*($O$296-$O$278)</f>
        <v>20.45</v>
      </c>
      <c r="G292" s="149"/>
      <c r="H292" s="82" t="str">
        <f t="shared" si="39"/>
        <v>0 percent up in Aquitanian international stage</v>
      </c>
      <c r="I292" s="142" t="str">
        <f t="shared" si="40"/>
        <v>100 percent up in Aquitanian international stage</v>
      </c>
      <c r="J292" s="7">
        <v>0</v>
      </c>
      <c r="K292" s="129">
        <f t="shared" si="41"/>
        <v>0</v>
      </c>
      <c r="L292" s="8" t="s">
        <v>35</v>
      </c>
      <c r="M292" s="5" t="s">
        <v>82</v>
      </c>
      <c r="N292" s="5" t="s">
        <v>82</v>
      </c>
      <c r="O292" s="83"/>
      <c r="P292" s="20">
        <v>1</v>
      </c>
      <c r="Q292" s="143">
        <f t="shared" si="42"/>
        <v>100</v>
      </c>
      <c r="R292" s="21" t="s">
        <v>35</v>
      </c>
      <c r="S292" s="8" t="s">
        <v>232</v>
      </c>
      <c r="T292" s="7" t="s">
        <v>226</v>
      </c>
    </row>
    <row r="293" spans="1:20" ht="28">
      <c r="A293" s="74" t="s">
        <v>407</v>
      </c>
      <c r="B293" s="68" t="s">
        <v>35</v>
      </c>
      <c r="C293" s="134" t="s">
        <v>7</v>
      </c>
      <c r="D293" s="134" t="s">
        <v>222</v>
      </c>
      <c r="E293" s="132">
        <f t="shared" si="50"/>
        <v>23.04</v>
      </c>
      <c r="F293" s="139">
        <f>$O$296-P293*($O$296-$O$278)</f>
        <v>20.45</v>
      </c>
      <c r="G293" s="149"/>
      <c r="H293" s="82" t="str">
        <f t="shared" si="39"/>
        <v>0 percent up in Aquitanian international stage</v>
      </c>
      <c r="I293" s="142" t="str">
        <f t="shared" si="40"/>
        <v>100 percent up in Aquitanian international stage</v>
      </c>
      <c r="J293" s="7">
        <v>0</v>
      </c>
      <c r="K293" s="129">
        <f t="shared" si="41"/>
        <v>0</v>
      </c>
      <c r="L293" s="8" t="s">
        <v>35</v>
      </c>
      <c r="M293" s="5" t="s">
        <v>224</v>
      </c>
      <c r="N293" s="5" t="s">
        <v>546</v>
      </c>
      <c r="O293" s="84">
        <f>Master_Chronostrat!I19</f>
        <v>23.04</v>
      </c>
      <c r="P293" s="20">
        <v>1</v>
      </c>
      <c r="Q293" s="143">
        <f t="shared" si="42"/>
        <v>100</v>
      </c>
      <c r="R293" s="21" t="s">
        <v>35</v>
      </c>
      <c r="S293" s="8" t="s">
        <v>224</v>
      </c>
      <c r="T293" s="7" t="s">
        <v>226</v>
      </c>
    </row>
    <row r="294" spans="1:20" ht="28">
      <c r="A294" s="74" t="s">
        <v>407</v>
      </c>
      <c r="B294" s="68" t="s">
        <v>547</v>
      </c>
      <c r="C294" s="134"/>
      <c r="D294" s="134" t="s">
        <v>222</v>
      </c>
      <c r="E294" s="132">
        <f t="shared" si="50"/>
        <v>23.04</v>
      </c>
      <c r="F294" s="139">
        <f>$O$278-P294*($O$278-$O$259)</f>
        <v>15.99</v>
      </c>
      <c r="G294" s="149"/>
      <c r="H294" s="82" t="str">
        <f t="shared" si="39"/>
        <v>0 percent up in Aquitanian international stage</v>
      </c>
      <c r="I294" s="142" t="str">
        <f t="shared" si="40"/>
        <v>100 percent up in Burdigalian international stage</v>
      </c>
      <c r="J294" s="7">
        <v>0</v>
      </c>
      <c r="K294" s="129">
        <f t="shared" si="41"/>
        <v>0</v>
      </c>
      <c r="L294" s="8" t="s">
        <v>35</v>
      </c>
      <c r="M294" s="5" t="s">
        <v>82</v>
      </c>
      <c r="N294" s="5" t="s">
        <v>82</v>
      </c>
      <c r="O294" s="84">
        <f>Master_Chronostrat!I19</f>
        <v>23.04</v>
      </c>
      <c r="P294" s="20">
        <v>1</v>
      </c>
      <c r="Q294" s="143">
        <f t="shared" si="42"/>
        <v>100</v>
      </c>
      <c r="R294" s="21" t="s">
        <v>32</v>
      </c>
      <c r="S294" s="8" t="s">
        <v>232</v>
      </c>
      <c r="T294" s="7" t="s">
        <v>226</v>
      </c>
    </row>
    <row r="295" spans="1:20" ht="28">
      <c r="A295" s="74" t="s">
        <v>407</v>
      </c>
      <c r="B295" s="68" t="s">
        <v>34</v>
      </c>
      <c r="C295" s="134" t="s">
        <v>5</v>
      </c>
      <c r="D295" s="134" t="s">
        <v>222</v>
      </c>
      <c r="E295" s="132">
        <f t="shared" si="50"/>
        <v>23.04</v>
      </c>
      <c r="F295" s="139">
        <f>$O$206-P295*($O$206-$O$198)</f>
        <v>5.335</v>
      </c>
      <c r="G295" s="149"/>
      <c r="H295" s="82" t="str">
        <f t="shared" si="39"/>
        <v>0 percent up in Aquitanian international stage</v>
      </c>
      <c r="I295" s="142" t="str">
        <f t="shared" si="40"/>
        <v>100 percent up in Messinian international stage</v>
      </c>
      <c r="J295" s="7">
        <v>0</v>
      </c>
      <c r="K295" s="129">
        <f t="shared" si="41"/>
        <v>0</v>
      </c>
      <c r="L295" s="8" t="s">
        <v>35</v>
      </c>
      <c r="M295" s="5" t="s">
        <v>224</v>
      </c>
      <c r="N295" s="5" t="s">
        <v>548</v>
      </c>
      <c r="O295" s="84">
        <f>Master_Chronostrat!I19</f>
        <v>23.04</v>
      </c>
      <c r="P295" s="20">
        <v>1</v>
      </c>
      <c r="Q295" s="143">
        <f t="shared" si="42"/>
        <v>100</v>
      </c>
      <c r="R295" s="21" t="s">
        <v>28</v>
      </c>
      <c r="S295" s="8" t="s">
        <v>239</v>
      </c>
      <c r="T295" s="7" t="s">
        <v>226</v>
      </c>
    </row>
    <row r="296" spans="1:20" ht="28">
      <c r="A296" s="74" t="s">
        <v>407</v>
      </c>
      <c r="B296" s="68" t="s">
        <v>33</v>
      </c>
      <c r="C296" s="134" t="s">
        <v>405</v>
      </c>
      <c r="D296" s="134" t="s">
        <v>222</v>
      </c>
      <c r="E296" s="132">
        <f t="shared" si="50"/>
        <v>23.04</v>
      </c>
      <c r="F296" s="139">
        <f>$O$4-P296*($O$4-$O$3)</f>
        <v>0</v>
      </c>
      <c r="G296" s="149"/>
      <c r="H296" s="82" t="str">
        <f t="shared" si="39"/>
        <v>0 percent up in Aquitanian international stage</v>
      </c>
      <c r="I296" s="142" t="str">
        <f t="shared" si="40"/>
        <v>100 percent up in Meghalayan international stage</v>
      </c>
      <c r="J296" s="7">
        <v>0</v>
      </c>
      <c r="K296" s="129">
        <f t="shared" si="41"/>
        <v>0</v>
      </c>
      <c r="L296" s="8" t="s">
        <v>35</v>
      </c>
      <c r="M296" s="5" t="s">
        <v>224</v>
      </c>
      <c r="N296" s="5" t="s">
        <v>549</v>
      </c>
      <c r="O296" s="84">
        <f>Master_Chronostrat!I19</f>
        <v>23.04</v>
      </c>
      <c r="P296" s="20">
        <v>1</v>
      </c>
      <c r="Q296" s="143">
        <f t="shared" si="42"/>
        <v>100</v>
      </c>
      <c r="R296" s="21" t="s">
        <v>13</v>
      </c>
      <c r="S296" s="8" t="s">
        <v>239</v>
      </c>
      <c r="T296" s="7" t="s">
        <v>226</v>
      </c>
    </row>
    <row r="297" spans="1:20" ht="28">
      <c r="A297" s="81" t="s">
        <v>550</v>
      </c>
      <c r="B297" s="75" t="s">
        <v>551</v>
      </c>
      <c r="C297" s="5"/>
      <c r="D297" s="5" t="s">
        <v>264</v>
      </c>
      <c r="E297" s="132">
        <f t="shared" ref="E297:E311" si="51">$O$311-J297*($O$311-$O$296)</f>
        <v>24.439568994413406</v>
      </c>
      <c r="F297" s="139">
        <f>$O$311-P297*($O$311-$O$296)</f>
        <v>23.04</v>
      </c>
      <c r="G297" s="149"/>
      <c r="H297" s="82" t="str">
        <f t="shared" si="39"/>
        <v>67 percent up in Chattian international stage</v>
      </c>
      <c r="I297" s="142" t="str">
        <f t="shared" si="40"/>
        <v>100 percent up in Chattian international stage</v>
      </c>
      <c r="J297" s="7">
        <v>0.67039106145251393</v>
      </c>
      <c r="K297" s="129">
        <f t="shared" si="41"/>
        <v>67</v>
      </c>
      <c r="L297" s="8" t="s">
        <v>36</v>
      </c>
      <c r="M297" s="5" t="s">
        <v>82</v>
      </c>
      <c r="N297" s="5" t="s">
        <v>82</v>
      </c>
      <c r="O297" s="83"/>
      <c r="P297" s="20">
        <v>1</v>
      </c>
      <c r="Q297" s="143">
        <f t="shared" si="42"/>
        <v>100</v>
      </c>
      <c r="R297" s="21" t="s">
        <v>36</v>
      </c>
      <c r="S297" s="8" t="s">
        <v>272</v>
      </c>
      <c r="T297" s="7" t="s">
        <v>226</v>
      </c>
    </row>
    <row r="298" spans="1:20" ht="28">
      <c r="A298" s="81" t="s">
        <v>550</v>
      </c>
      <c r="B298" s="75" t="s">
        <v>552</v>
      </c>
      <c r="C298" s="5"/>
      <c r="D298" s="5" t="s">
        <v>244</v>
      </c>
      <c r="E298" s="132">
        <f t="shared" si="51"/>
        <v>24.439568994413406</v>
      </c>
      <c r="F298" s="139">
        <f>$O$296-P298*($O$296-$O$278)</f>
        <v>20.619346153846156</v>
      </c>
      <c r="G298" s="149"/>
      <c r="H298" s="82" t="str">
        <f t="shared" si="39"/>
        <v>67 percent up in Chattian international stage</v>
      </c>
      <c r="I298" s="142" t="str">
        <f t="shared" si="40"/>
        <v>93.5 percent up in Aquitanian international stage</v>
      </c>
      <c r="J298" s="7">
        <v>0.67039106145251393</v>
      </c>
      <c r="K298" s="129">
        <f t="shared" si="41"/>
        <v>67</v>
      </c>
      <c r="L298" s="8" t="s">
        <v>36</v>
      </c>
      <c r="M298" s="5" t="s">
        <v>82</v>
      </c>
      <c r="N298" s="5" t="s">
        <v>82</v>
      </c>
      <c r="O298" s="83"/>
      <c r="P298" s="20">
        <v>0.93461538461538396</v>
      </c>
      <c r="Q298" s="143">
        <f t="shared" si="42"/>
        <v>93.5</v>
      </c>
      <c r="R298" s="21" t="s">
        <v>35</v>
      </c>
      <c r="S298" s="8" t="s">
        <v>246</v>
      </c>
      <c r="T298" s="7" t="s">
        <v>226</v>
      </c>
    </row>
    <row r="299" spans="1:20" ht="28">
      <c r="A299" s="81" t="s">
        <v>550</v>
      </c>
      <c r="B299" s="75" t="s">
        <v>553</v>
      </c>
      <c r="C299" s="5"/>
      <c r="D299" s="5" t="s">
        <v>554</v>
      </c>
      <c r="E299" s="132">
        <f t="shared" si="51"/>
        <v>24.439568994413406</v>
      </c>
      <c r="F299" s="139">
        <f>$O$311-P299*($O$311-$O$296)</f>
        <v>23.04</v>
      </c>
      <c r="G299" s="149"/>
      <c r="H299" s="82" t="str">
        <f t="shared" si="39"/>
        <v>67 percent up in Chattian international stage</v>
      </c>
      <c r="I299" s="142" t="str">
        <f t="shared" si="40"/>
        <v>100 percent up in Chattian international stage</v>
      </c>
      <c r="J299" s="7">
        <v>0.67039106145251393</v>
      </c>
      <c r="K299" s="129">
        <f t="shared" si="41"/>
        <v>67</v>
      </c>
      <c r="L299" s="8" t="s">
        <v>36</v>
      </c>
      <c r="M299" s="5" t="s">
        <v>82</v>
      </c>
      <c r="N299" s="5" t="s">
        <v>82</v>
      </c>
      <c r="O299" s="83"/>
      <c r="P299" s="20">
        <v>1</v>
      </c>
      <c r="Q299" s="143">
        <f t="shared" si="42"/>
        <v>100</v>
      </c>
      <c r="R299" s="21" t="s">
        <v>36</v>
      </c>
      <c r="S299" s="8" t="s">
        <v>272</v>
      </c>
      <c r="T299" s="7" t="s">
        <v>226</v>
      </c>
    </row>
    <row r="300" spans="1:20" ht="28">
      <c r="A300" s="81" t="s">
        <v>550</v>
      </c>
      <c r="B300" s="75" t="s">
        <v>555</v>
      </c>
      <c r="C300" s="5"/>
      <c r="D300" s="5" t="s">
        <v>554</v>
      </c>
      <c r="E300" s="132">
        <f t="shared" si="51"/>
        <v>24.439568994413406</v>
      </c>
      <c r="F300" s="139">
        <f>$O$311-P300*($O$311-$O$296)</f>
        <v>23.04</v>
      </c>
      <c r="G300" s="149"/>
      <c r="H300" s="82" t="str">
        <f t="shared" si="39"/>
        <v>67 percent up in Chattian international stage</v>
      </c>
      <c r="I300" s="142" t="str">
        <f t="shared" si="40"/>
        <v>100 percent up in Chattian international stage</v>
      </c>
      <c r="J300" s="7">
        <v>0.67039106145251393</v>
      </c>
      <c r="K300" s="129">
        <f t="shared" si="41"/>
        <v>67</v>
      </c>
      <c r="L300" s="8" t="s">
        <v>36</v>
      </c>
      <c r="M300" s="5" t="s">
        <v>82</v>
      </c>
      <c r="N300" s="5" t="s">
        <v>82</v>
      </c>
      <c r="O300" s="83"/>
      <c r="P300" s="20">
        <v>1</v>
      </c>
      <c r="Q300" s="143">
        <f t="shared" si="42"/>
        <v>100</v>
      </c>
      <c r="R300" s="21" t="s">
        <v>36</v>
      </c>
      <c r="S300" s="8" t="s">
        <v>272</v>
      </c>
      <c r="T300" s="7" t="s">
        <v>226</v>
      </c>
    </row>
    <row r="301" spans="1:20" ht="28">
      <c r="A301" s="81" t="s">
        <v>550</v>
      </c>
      <c r="B301" s="76" t="s">
        <v>556</v>
      </c>
      <c r="C301" s="5"/>
      <c r="D301" s="5" t="s">
        <v>557</v>
      </c>
      <c r="E301" s="132">
        <f t="shared" si="51"/>
        <v>25.163074999999999</v>
      </c>
      <c r="F301" s="139">
        <f>$O$311-P301*($O$311-$O$296)</f>
        <v>23.04</v>
      </c>
      <c r="G301" s="149"/>
      <c r="H301" s="82" t="str">
        <f t="shared" si="39"/>
        <v>50 percent up in Chattian international stage</v>
      </c>
      <c r="I301" s="142" t="str">
        <f t="shared" si="40"/>
        <v>100 percent up in Chattian international stage</v>
      </c>
      <c r="J301" s="7">
        <v>0.5</v>
      </c>
      <c r="K301" s="129">
        <f t="shared" si="41"/>
        <v>50</v>
      </c>
      <c r="L301" s="8" t="s">
        <v>36</v>
      </c>
      <c r="M301" s="5" t="s">
        <v>82</v>
      </c>
      <c r="N301" s="5" t="s">
        <v>82</v>
      </c>
      <c r="O301" s="83"/>
      <c r="P301" s="20">
        <v>1</v>
      </c>
      <c r="Q301" s="143">
        <f t="shared" si="42"/>
        <v>100</v>
      </c>
      <c r="R301" s="21" t="s">
        <v>36</v>
      </c>
      <c r="S301" s="8" t="s">
        <v>272</v>
      </c>
      <c r="T301" s="7" t="s">
        <v>226</v>
      </c>
    </row>
    <row r="302" spans="1:20" ht="28">
      <c r="A302" s="81" t="s">
        <v>550</v>
      </c>
      <c r="B302" s="75" t="s">
        <v>558</v>
      </c>
      <c r="C302" s="5"/>
      <c r="D302" s="5" t="s">
        <v>244</v>
      </c>
      <c r="E302" s="132">
        <f t="shared" si="51"/>
        <v>25.625644413407819</v>
      </c>
      <c r="F302" s="139">
        <f>$O$311-P302*($O$311-$O$296)</f>
        <v>24.439568994413406</v>
      </c>
      <c r="G302" s="149"/>
      <c r="H302" s="82" t="str">
        <f t="shared" si="39"/>
        <v>39.1 percent up in Chattian international stage</v>
      </c>
      <c r="I302" s="142" t="str">
        <f t="shared" si="40"/>
        <v>67 percent up in Chattian international stage</v>
      </c>
      <c r="J302" s="7">
        <v>0.39106145251396629</v>
      </c>
      <c r="K302" s="129">
        <f t="shared" si="41"/>
        <v>39.1</v>
      </c>
      <c r="L302" s="8" t="s">
        <v>36</v>
      </c>
      <c r="M302" s="5" t="s">
        <v>82</v>
      </c>
      <c r="N302" s="5" t="s">
        <v>82</v>
      </c>
      <c r="O302" s="83"/>
      <c r="P302" s="20">
        <v>0.67039106145251393</v>
      </c>
      <c r="Q302" s="143">
        <f t="shared" si="42"/>
        <v>67</v>
      </c>
      <c r="R302" s="21" t="s">
        <v>36</v>
      </c>
      <c r="S302" s="8" t="s">
        <v>259</v>
      </c>
      <c r="T302" s="7">
        <v>0.27932960893854758</v>
      </c>
    </row>
    <row r="303" spans="1:20" ht="28">
      <c r="A303" s="81" t="s">
        <v>550</v>
      </c>
      <c r="B303" s="76" t="s">
        <v>559</v>
      </c>
      <c r="C303" s="5"/>
      <c r="D303" s="5" t="s">
        <v>236</v>
      </c>
      <c r="E303" s="132">
        <f t="shared" si="51"/>
        <v>26.179146275605213</v>
      </c>
      <c r="F303" s="139">
        <f>$O$311-P303*($O$311-$O$296)</f>
        <v>23.04</v>
      </c>
      <c r="G303" s="149"/>
      <c r="H303" s="82" t="str">
        <f t="shared" si="39"/>
        <v>26.1 percent up in Chattian international stage</v>
      </c>
      <c r="I303" s="142" t="str">
        <f t="shared" si="40"/>
        <v>100 percent up in Chattian international stage</v>
      </c>
      <c r="J303" s="7">
        <v>0.26070763500931082</v>
      </c>
      <c r="K303" s="129">
        <f t="shared" si="41"/>
        <v>26.1</v>
      </c>
      <c r="L303" s="8" t="s">
        <v>36</v>
      </c>
      <c r="M303" s="5" t="s">
        <v>82</v>
      </c>
      <c r="N303" s="5" t="s">
        <v>82</v>
      </c>
      <c r="O303" s="83"/>
      <c r="P303" s="20">
        <v>1</v>
      </c>
      <c r="Q303" s="143">
        <f t="shared" si="42"/>
        <v>100</v>
      </c>
      <c r="R303" s="21" t="s">
        <v>36</v>
      </c>
      <c r="S303" s="8" t="s">
        <v>272</v>
      </c>
      <c r="T303" s="7" t="s">
        <v>226</v>
      </c>
    </row>
    <row r="304" spans="1:20" ht="28">
      <c r="A304" s="81" t="s">
        <v>550</v>
      </c>
      <c r="B304" s="76" t="s">
        <v>560</v>
      </c>
      <c r="C304" s="5"/>
      <c r="D304" s="5" t="s">
        <v>368</v>
      </c>
      <c r="E304" s="132">
        <f t="shared" si="51"/>
        <v>26.574504748603353</v>
      </c>
      <c r="F304" s="139">
        <f>$O$278-P304*($O$278-$O$259)</f>
        <v>16.52</v>
      </c>
      <c r="G304" s="149"/>
      <c r="H304" s="82" t="str">
        <f t="shared" si="39"/>
        <v>16.8 percent up in Chattian international stage</v>
      </c>
      <c r="I304" s="142" t="str">
        <f t="shared" si="40"/>
        <v>88.1 percent up in Burdigalian international stage</v>
      </c>
      <c r="J304" s="7">
        <v>0.16759776536312831</v>
      </c>
      <c r="K304" s="129">
        <f t="shared" si="41"/>
        <v>16.8</v>
      </c>
      <c r="L304" s="8" t="s">
        <v>36</v>
      </c>
      <c r="M304" s="5" t="s">
        <v>82</v>
      </c>
      <c r="N304" s="5" t="s">
        <v>82</v>
      </c>
      <c r="O304" s="83"/>
      <c r="P304" s="20">
        <v>0.88116591928251131</v>
      </c>
      <c r="Q304" s="143">
        <f t="shared" si="42"/>
        <v>88.1</v>
      </c>
      <c r="R304" s="21" t="s">
        <v>32</v>
      </c>
      <c r="S304" s="8" t="s">
        <v>246</v>
      </c>
      <c r="T304" s="7" t="s">
        <v>226</v>
      </c>
    </row>
    <row r="305" spans="1:20" ht="28">
      <c r="A305" s="81" t="s">
        <v>550</v>
      </c>
      <c r="B305" s="76" t="s">
        <v>561</v>
      </c>
      <c r="C305" s="5"/>
      <c r="D305" s="5" t="s">
        <v>236</v>
      </c>
      <c r="E305" s="132">
        <f t="shared" si="51"/>
        <v>26.969863221601489</v>
      </c>
      <c r="F305" s="139">
        <f>$O$311-P305*($O$311-$O$296)</f>
        <v>26.179146275605213</v>
      </c>
      <c r="G305" s="149"/>
      <c r="H305" s="82" t="str">
        <f t="shared" si="39"/>
        <v>7.4 percent up in Chattian international stage</v>
      </c>
      <c r="I305" s="142" t="str">
        <f t="shared" si="40"/>
        <v>26.1 percent up in Chattian international stage</v>
      </c>
      <c r="J305" s="7">
        <v>7.4487895716945807E-2</v>
      </c>
      <c r="K305" s="129">
        <f t="shared" si="41"/>
        <v>7.4</v>
      </c>
      <c r="L305" s="8" t="s">
        <v>36</v>
      </c>
      <c r="M305" s="5" t="s">
        <v>82</v>
      </c>
      <c r="N305" s="5" t="s">
        <v>82</v>
      </c>
      <c r="O305" s="83"/>
      <c r="P305" s="20">
        <v>0.26070763500931082</v>
      </c>
      <c r="Q305" s="143">
        <f t="shared" si="42"/>
        <v>26.1</v>
      </c>
      <c r="R305" s="21" t="s">
        <v>36</v>
      </c>
      <c r="S305" s="8" t="s">
        <v>259</v>
      </c>
      <c r="T305" s="7">
        <v>0.18621973929236507</v>
      </c>
    </row>
    <row r="306" spans="1:20" ht="28">
      <c r="A306" s="81" t="s">
        <v>550</v>
      </c>
      <c r="B306" s="76" t="s">
        <v>562</v>
      </c>
      <c r="C306" s="5"/>
      <c r="D306" s="5" t="s">
        <v>82</v>
      </c>
      <c r="E306" s="132">
        <f t="shared" si="51"/>
        <v>27.286149999999999</v>
      </c>
      <c r="F306" s="139">
        <f>$O$296-P306*($O$296-$O$278)</f>
        <v>20.45</v>
      </c>
      <c r="G306" s="149"/>
      <c r="H306" s="82" t="str">
        <f t="shared" si="39"/>
        <v>0 percent up in Chattian international stage</v>
      </c>
      <c r="I306" s="142" t="str">
        <f t="shared" si="40"/>
        <v>100 percent up in Aquitanian international stage</v>
      </c>
      <c r="J306" s="7">
        <v>0</v>
      </c>
      <c r="K306" s="129">
        <f t="shared" si="41"/>
        <v>0</v>
      </c>
      <c r="L306" s="8" t="s">
        <v>36</v>
      </c>
      <c r="M306" s="5" t="s">
        <v>82</v>
      </c>
      <c r="N306" s="5" t="s">
        <v>82</v>
      </c>
      <c r="O306" s="83"/>
      <c r="P306" s="20">
        <v>1</v>
      </c>
      <c r="Q306" s="143">
        <f t="shared" si="42"/>
        <v>100</v>
      </c>
      <c r="R306" s="21" t="s">
        <v>35</v>
      </c>
      <c r="S306" s="8" t="s">
        <v>232</v>
      </c>
      <c r="T306" s="7" t="s">
        <v>226</v>
      </c>
    </row>
    <row r="307" spans="1:20" ht="28">
      <c r="A307" s="81" t="s">
        <v>550</v>
      </c>
      <c r="B307" s="76" t="s">
        <v>563</v>
      </c>
      <c r="C307" s="5"/>
      <c r="D307" s="5" t="s">
        <v>82</v>
      </c>
      <c r="E307" s="132">
        <f t="shared" si="51"/>
        <v>27.286149999999999</v>
      </c>
      <c r="F307" s="139">
        <f>$O$311-P307*($O$311-$O$296)</f>
        <v>23.04</v>
      </c>
      <c r="G307" s="149"/>
      <c r="H307" s="82" t="str">
        <f t="shared" si="39"/>
        <v>0 percent up in Chattian international stage</v>
      </c>
      <c r="I307" s="142" t="str">
        <f t="shared" si="40"/>
        <v>100 percent up in Chattian international stage</v>
      </c>
      <c r="J307" s="7">
        <v>0</v>
      </c>
      <c r="K307" s="129">
        <f t="shared" si="41"/>
        <v>0</v>
      </c>
      <c r="L307" s="8" t="s">
        <v>36</v>
      </c>
      <c r="M307" s="5" t="s">
        <v>82</v>
      </c>
      <c r="N307" s="5" t="s">
        <v>82</v>
      </c>
      <c r="O307" s="83"/>
      <c r="P307" s="20">
        <v>1</v>
      </c>
      <c r="Q307" s="143">
        <f t="shared" si="42"/>
        <v>100</v>
      </c>
      <c r="R307" s="21" t="s">
        <v>36</v>
      </c>
      <c r="S307" s="8" t="s">
        <v>232</v>
      </c>
      <c r="T307" s="7" t="s">
        <v>226</v>
      </c>
    </row>
    <row r="308" spans="1:20" ht="28">
      <c r="A308" s="81" t="s">
        <v>550</v>
      </c>
      <c r="B308" s="77" t="s">
        <v>564</v>
      </c>
      <c r="C308" s="5"/>
      <c r="D308" s="5" t="s">
        <v>506</v>
      </c>
      <c r="E308" s="132">
        <f t="shared" si="51"/>
        <v>27.286149999999999</v>
      </c>
      <c r="F308" s="139">
        <f>$O$311-P308*($O$311-$O$296)</f>
        <v>23.04</v>
      </c>
      <c r="G308" s="149"/>
      <c r="H308" s="82" t="str">
        <f t="shared" si="39"/>
        <v>0 percent up in Chattian international stage</v>
      </c>
      <c r="I308" s="142" t="str">
        <f t="shared" si="40"/>
        <v>100 percent up in Chattian international stage</v>
      </c>
      <c r="J308" s="7">
        <v>0</v>
      </c>
      <c r="K308" s="129">
        <f t="shared" si="41"/>
        <v>0</v>
      </c>
      <c r="L308" s="8" t="s">
        <v>36</v>
      </c>
      <c r="M308" s="5" t="s">
        <v>82</v>
      </c>
      <c r="N308" s="5" t="s">
        <v>82</v>
      </c>
      <c r="O308" s="83"/>
      <c r="P308" s="20">
        <v>1</v>
      </c>
      <c r="Q308" s="143">
        <f t="shared" si="42"/>
        <v>100</v>
      </c>
      <c r="R308" s="21" t="s">
        <v>36</v>
      </c>
      <c r="S308" s="8" t="s">
        <v>232</v>
      </c>
      <c r="T308" s="7" t="s">
        <v>226</v>
      </c>
    </row>
    <row r="309" spans="1:20" ht="28">
      <c r="A309" s="81" t="s">
        <v>550</v>
      </c>
      <c r="B309" s="76" t="s">
        <v>565</v>
      </c>
      <c r="C309" s="5"/>
      <c r="D309" s="5" t="s">
        <v>557</v>
      </c>
      <c r="E309" s="132">
        <f t="shared" si="51"/>
        <v>27.286149999999999</v>
      </c>
      <c r="F309" s="139">
        <f>$O$311-P309*($O$311-$O$296)</f>
        <v>25.163074999999999</v>
      </c>
      <c r="G309" s="149"/>
      <c r="H309" s="82" t="str">
        <f t="shared" si="39"/>
        <v>0 percent up in Chattian international stage</v>
      </c>
      <c r="I309" s="142" t="str">
        <f t="shared" si="40"/>
        <v>50 percent up in Chattian international stage</v>
      </c>
      <c r="J309" s="7">
        <v>0</v>
      </c>
      <c r="K309" s="129">
        <f t="shared" si="41"/>
        <v>0</v>
      </c>
      <c r="L309" s="8" t="s">
        <v>36</v>
      </c>
      <c r="M309" s="5" t="s">
        <v>82</v>
      </c>
      <c r="N309" s="5" t="s">
        <v>82</v>
      </c>
      <c r="O309" s="83"/>
      <c r="P309" s="20">
        <v>0.5</v>
      </c>
      <c r="Q309" s="143">
        <f t="shared" si="42"/>
        <v>50</v>
      </c>
      <c r="R309" s="21" t="s">
        <v>36</v>
      </c>
      <c r="S309" s="8" t="s">
        <v>230</v>
      </c>
      <c r="T309" s="7" t="s">
        <v>226</v>
      </c>
    </row>
    <row r="310" spans="1:20" ht="28">
      <c r="A310" s="81" t="s">
        <v>550</v>
      </c>
      <c r="B310" s="76" t="s">
        <v>36</v>
      </c>
      <c r="C310" s="134" t="s">
        <v>7</v>
      </c>
      <c r="D310" s="134" t="s">
        <v>222</v>
      </c>
      <c r="E310" s="132">
        <f t="shared" si="51"/>
        <v>27.286149999999999</v>
      </c>
      <c r="F310" s="139">
        <f>$O$311-P310*($O$311-$O$296)</f>
        <v>23.04</v>
      </c>
      <c r="G310" s="149"/>
      <c r="H310" s="82" t="str">
        <f t="shared" si="39"/>
        <v>0 percent up in Chattian international stage</v>
      </c>
      <c r="I310" s="142" t="str">
        <f t="shared" si="40"/>
        <v>100 percent up in Chattian international stage</v>
      </c>
      <c r="J310" s="7">
        <v>0</v>
      </c>
      <c r="K310" s="129">
        <f t="shared" si="41"/>
        <v>0</v>
      </c>
      <c r="L310" s="8" t="s">
        <v>36</v>
      </c>
      <c r="M310" s="5" t="s">
        <v>224</v>
      </c>
      <c r="N310" s="5" t="s">
        <v>566</v>
      </c>
      <c r="O310" s="84">
        <f>Master_Chronostrat!I20</f>
        <v>27.286149999999999</v>
      </c>
      <c r="P310" s="20">
        <v>1</v>
      </c>
      <c r="Q310" s="143">
        <f t="shared" si="42"/>
        <v>100</v>
      </c>
      <c r="R310" s="21" t="s">
        <v>36</v>
      </c>
      <c r="S310" s="8" t="s">
        <v>224</v>
      </c>
      <c r="T310" s="7" t="s">
        <v>226</v>
      </c>
    </row>
    <row r="311" spans="1:20" ht="28">
      <c r="A311" s="81" t="s">
        <v>550</v>
      </c>
      <c r="B311" s="76" t="s">
        <v>567</v>
      </c>
      <c r="C311" s="5"/>
      <c r="D311" s="5" t="s">
        <v>82</v>
      </c>
      <c r="E311" s="132">
        <f t="shared" si="51"/>
        <v>27.286149999999999</v>
      </c>
      <c r="F311" s="139">
        <f>$O$311-P311*($O$311-$O$296)</f>
        <v>23.04</v>
      </c>
      <c r="G311" s="149"/>
      <c r="H311" s="82" t="str">
        <f t="shared" si="39"/>
        <v>0 percent up in Chattian international stage</v>
      </c>
      <c r="I311" s="142" t="str">
        <f t="shared" si="40"/>
        <v>100 percent up in Chattian international stage</v>
      </c>
      <c r="J311" s="7">
        <v>0</v>
      </c>
      <c r="K311" s="129">
        <f t="shared" si="41"/>
        <v>0</v>
      </c>
      <c r="L311" s="8" t="s">
        <v>36</v>
      </c>
      <c r="M311" s="5" t="s">
        <v>82</v>
      </c>
      <c r="N311" s="5" t="s">
        <v>82</v>
      </c>
      <c r="O311" s="84">
        <f>Master_Chronostrat!I20</f>
        <v>27.286149999999999</v>
      </c>
      <c r="P311" s="20">
        <v>1</v>
      </c>
      <c r="Q311" s="143">
        <f t="shared" si="42"/>
        <v>100</v>
      </c>
      <c r="R311" s="21" t="s">
        <v>36</v>
      </c>
      <c r="S311" s="8" t="s">
        <v>232</v>
      </c>
      <c r="T311" s="7" t="s">
        <v>226</v>
      </c>
    </row>
    <row r="312" spans="1:20" ht="28">
      <c r="A312" s="81" t="s">
        <v>550</v>
      </c>
      <c r="B312" s="75" t="s">
        <v>568</v>
      </c>
      <c r="C312" s="5"/>
      <c r="D312" s="5" t="s">
        <v>322</v>
      </c>
      <c r="E312" s="132">
        <f>$O$337-J312*($O$337-$O$311)</f>
        <v>28.008193272727276</v>
      </c>
      <c r="F312" s="139">
        <f>$O$296-P312*($O$296-$O$278)</f>
        <v>21.017807692307692</v>
      </c>
      <c r="G312" s="149"/>
      <c r="H312" s="82" t="str">
        <f t="shared" si="39"/>
        <v>89.1 percent up in Rupelian international stage</v>
      </c>
      <c r="I312" s="142" t="str">
        <f t="shared" si="40"/>
        <v>78.1 percent up in Aquitanian international stage</v>
      </c>
      <c r="J312" s="7">
        <v>0.89090909090909065</v>
      </c>
      <c r="K312" s="129">
        <f t="shared" si="41"/>
        <v>89.1</v>
      </c>
      <c r="L312" s="8" t="s">
        <v>38</v>
      </c>
      <c r="M312" s="5" t="s">
        <v>82</v>
      </c>
      <c r="N312" s="5" t="s">
        <v>82</v>
      </c>
      <c r="O312" s="83"/>
      <c r="P312" s="20">
        <v>0.78076923076923077</v>
      </c>
      <c r="Q312" s="143">
        <f t="shared" si="42"/>
        <v>78.099999999999994</v>
      </c>
      <c r="R312" s="21" t="s">
        <v>35</v>
      </c>
      <c r="S312" s="8" t="s">
        <v>246</v>
      </c>
      <c r="T312" s="7" t="s">
        <v>226</v>
      </c>
    </row>
    <row r="313" spans="1:20" ht="28">
      <c r="A313" s="81" t="s">
        <v>550</v>
      </c>
      <c r="B313" s="75" t="s">
        <v>569</v>
      </c>
      <c r="C313" s="5"/>
      <c r="D313" s="5" t="s">
        <v>264</v>
      </c>
      <c r="E313" s="132">
        <f t="shared" ref="E313:E336" si="52">$O$337-J313*($O$337-$O$296)</f>
        <v>24.620346181818185</v>
      </c>
      <c r="F313" s="139">
        <f>$O$311-P313*($O$311-$O$296)</f>
        <v>23.04</v>
      </c>
      <c r="G313" s="149"/>
      <c r="H313" s="82" t="str">
        <f t="shared" si="39"/>
        <v>85.5 percent up in Rupelian international stage</v>
      </c>
      <c r="I313" s="142" t="str">
        <f t="shared" si="40"/>
        <v>100 percent up in Chattian international stage</v>
      </c>
      <c r="J313" s="7">
        <v>0.85454545454545439</v>
      </c>
      <c r="K313" s="129">
        <f t="shared" si="41"/>
        <v>85.5</v>
      </c>
      <c r="L313" s="8" t="s">
        <v>38</v>
      </c>
      <c r="M313" s="5" t="s">
        <v>82</v>
      </c>
      <c r="N313" s="5" t="s">
        <v>82</v>
      </c>
      <c r="O313" s="83"/>
      <c r="P313" s="20">
        <v>1</v>
      </c>
      <c r="Q313" s="143">
        <f t="shared" si="42"/>
        <v>100</v>
      </c>
      <c r="R313" s="21" t="s">
        <v>36</v>
      </c>
      <c r="S313" s="8" t="s">
        <v>246</v>
      </c>
      <c r="T313" s="7" t="s">
        <v>226</v>
      </c>
    </row>
    <row r="314" spans="1:20" ht="28">
      <c r="A314" s="81" t="s">
        <v>550</v>
      </c>
      <c r="B314" s="76" t="s">
        <v>570</v>
      </c>
      <c r="C314" s="5"/>
      <c r="D314" s="5" t="s">
        <v>368</v>
      </c>
      <c r="E314" s="132">
        <f t="shared" si="52"/>
        <v>26.200692363636367</v>
      </c>
      <c r="F314" s="139">
        <f>$O$311-P314*($O$311-$O$296)</f>
        <v>26.574504748603353</v>
      </c>
      <c r="G314" s="149"/>
      <c r="H314" s="82" t="str">
        <f t="shared" si="39"/>
        <v>70.9 percent up in Rupelian international stage</v>
      </c>
      <c r="I314" s="142" t="str">
        <f t="shared" si="40"/>
        <v>16.8 percent up in Chattian international stage</v>
      </c>
      <c r="J314" s="7">
        <v>0.70909090909090877</v>
      </c>
      <c r="K314" s="129">
        <f t="shared" si="41"/>
        <v>70.900000000000006</v>
      </c>
      <c r="L314" s="8" t="s">
        <v>38</v>
      </c>
      <c r="M314" s="5" t="s">
        <v>82</v>
      </c>
      <c r="N314" s="5" t="s">
        <v>82</v>
      </c>
      <c r="O314" s="83"/>
      <c r="P314" s="20">
        <v>0.16759776536312831</v>
      </c>
      <c r="Q314" s="143">
        <f t="shared" si="42"/>
        <v>16.8</v>
      </c>
      <c r="R314" s="21" t="s">
        <v>36</v>
      </c>
      <c r="S314" s="8" t="s">
        <v>246</v>
      </c>
      <c r="T314" s="7" t="s">
        <v>226</v>
      </c>
    </row>
    <row r="315" spans="1:20" ht="28">
      <c r="A315" s="81" t="s">
        <v>550</v>
      </c>
      <c r="B315" s="76" t="s">
        <v>571</v>
      </c>
      <c r="C315" s="5"/>
      <c r="D315" s="5" t="s">
        <v>244</v>
      </c>
      <c r="E315" s="132">
        <f t="shared" si="52"/>
        <v>27.18840872727273</v>
      </c>
      <c r="F315" s="139">
        <f>$O$278-P315*($O$278-$O$259)</f>
        <v>19.02</v>
      </c>
      <c r="G315" s="149"/>
      <c r="H315" s="82" t="str">
        <f t="shared" si="39"/>
        <v>61.8 percent up in Rupelian international stage</v>
      </c>
      <c r="I315" s="142" t="str">
        <f t="shared" si="40"/>
        <v>32.1 percent up in Burdigalian international stage</v>
      </c>
      <c r="J315" s="7">
        <v>0.61818181818181794</v>
      </c>
      <c r="K315" s="129">
        <f t="shared" si="41"/>
        <v>61.8</v>
      </c>
      <c r="L315" s="8" t="s">
        <v>38</v>
      </c>
      <c r="M315" s="5" t="s">
        <v>82</v>
      </c>
      <c r="N315" s="5" t="s">
        <v>82</v>
      </c>
      <c r="O315" s="83"/>
      <c r="P315" s="20">
        <v>0.32062780269058294</v>
      </c>
      <c r="Q315" s="143">
        <f t="shared" si="42"/>
        <v>32.1</v>
      </c>
      <c r="R315" s="21" t="s">
        <v>32</v>
      </c>
      <c r="S315" s="8" t="s">
        <v>246</v>
      </c>
      <c r="T315" s="7" t="s">
        <v>226</v>
      </c>
    </row>
    <row r="316" spans="1:20" ht="28">
      <c r="A316" s="81"/>
      <c r="B316" s="188" t="s">
        <v>2177</v>
      </c>
      <c r="C316" s="5"/>
      <c r="D316" s="5"/>
      <c r="E316" s="132">
        <f t="shared" ref="E316" si="53">$O$337-J316*($O$337-$O$296)</f>
        <v>26.734059199999997</v>
      </c>
      <c r="F316" s="139">
        <f>$O$311-P316*($O$311-$O$296)</f>
        <v>25.8849205</v>
      </c>
      <c r="G316" s="149" t="s">
        <v>2178</v>
      </c>
      <c r="H316" s="82" t="str">
        <f t="shared" ref="H316" si="54">CONCATENATE(K316," percent up in ",L316," international stage")</f>
        <v>66 percent up in Rupelian international stage</v>
      </c>
      <c r="I316" s="142" t="str">
        <f t="shared" ref="I316" si="55">CONCATENATE(Q316," percent up in ",R316," international stage")</f>
        <v>33 percent up in Chattian international stage</v>
      </c>
      <c r="J316" s="7">
        <v>0.66</v>
      </c>
      <c r="K316" s="129">
        <f t="shared" ref="K316" si="56">ROUND(J316*100,1)</f>
        <v>66</v>
      </c>
      <c r="L316" s="8" t="s">
        <v>38</v>
      </c>
      <c r="M316" s="5" t="s">
        <v>82</v>
      </c>
      <c r="N316" s="5" t="s">
        <v>82</v>
      </c>
      <c r="O316" s="83"/>
      <c r="P316" s="20">
        <v>0.33</v>
      </c>
      <c r="Q316" s="143">
        <f t="shared" ref="Q316" si="57">ROUND(P316*100,1)</f>
        <v>33</v>
      </c>
      <c r="R316" s="21" t="s">
        <v>36</v>
      </c>
      <c r="S316" s="8"/>
    </row>
    <row r="317" spans="1:20" ht="28">
      <c r="A317" s="81" t="s">
        <v>550</v>
      </c>
      <c r="B317" s="75" t="s">
        <v>572</v>
      </c>
      <c r="C317" s="5"/>
      <c r="D317" s="5" t="s">
        <v>244</v>
      </c>
      <c r="E317" s="132">
        <f t="shared" si="52"/>
        <v>27.78103854545455</v>
      </c>
      <c r="F317" s="139">
        <f>$O$311-P317*($O$311-$O$296)</f>
        <v>25.625644413407819</v>
      </c>
      <c r="G317" s="149"/>
      <c r="H317" s="82" t="str">
        <f t="shared" si="39"/>
        <v>56.4 percent up in Rupelian international stage</v>
      </c>
      <c r="I317" s="142" t="str">
        <f t="shared" si="40"/>
        <v>39.1 percent up in Chattian international stage</v>
      </c>
      <c r="J317" s="7">
        <v>0.56363636363636327</v>
      </c>
      <c r="K317" s="129">
        <f t="shared" si="41"/>
        <v>56.4</v>
      </c>
      <c r="L317" s="8" t="s">
        <v>38</v>
      </c>
      <c r="M317" s="5" t="s">
        <v>82</v>
      </c>
      <c r="N317" s="5" t="s">
        <v>82</v>
      </c>
      <c r="O317" s="83"/>
      <c r="P317" s="20">
        <v>0.39106145251396629</v>
      </c>
      <c r="Q317" s="143">
        <f t="shared" si="42"/>
        <v>39.1</v>
      </c>
      <c r="R317" s="21" t="s">
        <v>36</v>
      </c>
      <c r="S317" s="8" t="s">
        <v>246</v>
      </c>
      <c r="T317" s="7" t="s">
        <v>226</v>
      </c>
    </row>
    <row r="318" spans="1:20" ht="28">
      <c r="A318" s="81" t="s">
        <v>550</v>
      </c>
      <c r="B318" s="76" t="s">
        <v>573</v>
      </c>
      <c r="C318" s="5"/>
      <c r="D318" s="5" t="s">
        <v>244</v>
      </c>
      <c r="E318" s="132">
        <f t="shared" si="52"/>
        <v>30.151557818181818</v>
      </c>
      <c r="F318" s="139">
        <f>$O$337-P318*($O$337-$O$296)</f>
        <v>27.18840872727273</v>
      </c>
      <c r="G318" s="149"/>
      <c r="H318" s="82" t="str">
        <f t="shared" si="39"/>
        <v>34.5 percent up in Rupelian international stage</v>
      </c>
      <c r="I318" s="142" t="str">
        <f t="shared" si="40"/>
        <v>61.8 percent up in Rupelian international stage</v>
      </c>
      <c r="J318" s="7">
        <v>0.34545454545454524</v>
      </c>
      <c r="K318" s="129">
        <f t="shared" si="41"/>
        <v>34.5</v>
      </c>
      <c r="L318" s="8" t="s">
        <v>38</v>
      </c>
      <c r="M318" s="5" t="s">
        <v>82</v>
      </c>
      <c r="N318" s="5" t="s">
        <v>82</v>
      </c>
      <c r="O318" s="83"/>
      <c r="P318" s="20">
        <v>0.61818181818181794</v>
      </c>
      <c r="Q318" s="143">
        <f t="shared" si="42"/>
        <v>61.8</v>
      </c>
      <c r="R318" s="21" t="s">
        <v>38</v>
      </c>
      <c r="S318" s="8" t="s">
        <v>259</v>
      </c>
      <c r="T318" s="7">
        <v>0.27272727272727254</v>
      </c>
    </row>
    <row r="319" spans="1:20" ht="28">
      <c r="A319" s="81" t="s">
        <v>550</v>
      </c>
      <c r="B319" s="77" t="s">
        <v>574</v>
      </c>
      <c r="C319" s="5"/>
      <c r="D319" s="5" t="s">
        <v>506</v>
      </c>
      <c r="E319" s="132">
        <f t="shared" si="52"/>
        <v>32.126990545454547</v>
      </c>
      <c r="F319" s="139">
        <f>$O$311-P319*($O$311-$O$296)</f>
        <v>25.151214245810053</v>
      </c>
      <c r="G319" s="149"/>
      <c r="H319" s="82" t="str">
        <f t="shared" si="39"/>
        <v>16.4 percent up in Rupelian international stage</v>
      </c>
      <c r="I319" s="142" t="str">
        <f t="shared" si="40"/>
        <v>50.3 percent up in Chattian international stage</v>
      </c>
      <c r="J319" s="7">
        <v>0.16363636363636336</v>
      </c>
      <c r="K319" s="129">
        <f t="shared" si="41"/>
        <v>16.399999999999999</v>
      </c>
      <c r="L319" s="8" t="s">
        <v>38</v>
      </c>
      <c r="M319" s="5" t="s">
        <v>82</v>
      </c>
      <c r="N319" s="5" t="s">
        <v>82</v>
      </c>
      <c r="O319" s="83"/>
      <c r="P319" s="20">
        <v>0.50279329608938561</v>
      </c>
      <c r="Q319" s="143">
        <f t="shared" si="42"/>
        <v>50.3</v>
      </c>
      <c r="R319" s="21" t="s">
        <v>36</v>
      </c>
      <c r="S319" s="8" t="s">
        <v>246</v>
      </c>
      <c r="T319" s="7" t="s">
        <v>226</v>
      </c>
    </row>
    <row r="320" spans="1:20" ht="28">
      <c r="A320" s="81" t="s">
        <v>550</v>
      </c>
      <c r="B320" s="76" t="s">
        <v>575</v>
      </c>
      <c r="C320" s="5"/>
      <c r="D320" s="5" t="s">
        <v>244</v>
      </c>
      <c r="E320" s="132">
        <f t="shared" si="52"/>
        <v>33.114706909090913</v>
      </c>
      <c r="F320" s="139">
        <f>$O$337-P320*($O$337-$O$296)</f>
        <v>30.151557818181821</v>
      </c>
      <c r="G320" s="149"/>
      <c r="H320" s="82" t="str">
        <f t="shared" si="39"/>
        <v>7.3 percent up in Rupelian international stage</v>
      </c>
      <c r="I320" s="142" t="str">
        <f t="shared" si="40"/>
        <v>34.5 percent up in Rupelian international stage</v>
      </c>
      <c r="J320" s="7">
        <v>7.2727272727272418E-2</v>
      </c>
      <c r="K320" s="129">
        <f t="shared" si="41"/>
        <v>7.3</v>
      </c>
      <c r="L320" s="8" t="s">
        <v>38</v>
      </c>
      <c r="M320" s="5" t="s">
        <v>82</v>
      </c>
      <c r="N320" s="5" t="s">
        <v>82</v>
      </c>
      <c r="O320" s="83"/>
      <c r="P320" s="20">
        <v>0.34545454545454518</v>
      </c>
      <c r="Q320" s="143">
        <f t="shared" si="42"/>
        <v>34.5</v>
      </c>
      <c r="R320" s="21" t="s">
        <v>38</v>
      </c>
      <c r="S320" s="8" t="s">
        <v>259</v>
      </c>
      <c r="T320" s="7">
        <v>0.2727272727272731</v>
      </c>
    </row>
    <row r="321" spans="1:20" ht="28">
      <c r="A321" s="81" t="s">
        <v>550</v>
      </c>
      <c r="B321" s="76" t="s">
        <v>576</v>
      </c>
      <c r="C321" s="5"/>
      <c r="D321" s="5" t="s">
        <v>234</v>
      </c>
      <c r="E321" s="132">
        <f t="shared" si="52"/>
        <v>33.114706909090913</v>
      </c>
      <c r="F321" s="139">
        <f>$O$296-P321*($O$296-$O$278)</f>
        <v>22.013961538461537</v>
      </c>
      <c r="G321" s="149"/>
      <c r="H321" s="82" t="str">
        <f t="shared" si="39"/>
        <v>7.3 percent up in Rupelian international stage</v>
      </c>
      <c r="I321" s="142" t="str">
        <f t="shared" si="40"/>
        <v>39.6 percent up in Aquitanian international stage</v>
      </c>
      <c r="J321" s="7">
        <v>7.2727272727272418E-2</v>
      </c>
      <c r="K321" s="129">
        <f t="shared" si="41"/>
        <v>7.3</v>
      </c>
      <c r="L321" s="8" t="s">
        <v>38</v>
      </c>
      <c r="M321" s="5" t="s">
        <v>82</v>
      </c>
      <c r="N321" s="5" t="s">
        <v>82</v>
      </c>
      <c r="O321" s="83"/>
      <c r="P321" s="20">
        <v>0.39615384615384636</v>
      </c>
      <c r="Q321" s="143">
        <f t="shared" si="42"/>
        <v>39.6</v>
      </c>
      <c r="R321" s="21" t="s">
        <v>35</v>
      </c>
      <c r="S321" s="8" t="s">
        <v>246</v>
      </c>
      <c r="T321" s="7" t="s">
        <v>226</v>
      </c>
    </row>
    <row r="322" spans="1:20" ht="28">
      <c r="A322" s="81" t="s">
        <v>550</v>
      </c>
      <c r="B322" s="75" t="s">
        <v>577</v>
      </c>
      <c r="C322" s="5"/>
      <c r="D322" s="5" t="s">
        <v>554</v>
      </c>
      <c r="E322" s="132">
        <f t="shared" si="52"/>
        <v>33.707336727272725</v>
      </c>
      <c r="F322" s="139">
        <f>$O$311-P322*($O$311-$O$296)</f>
        <v>23.806995437616386</v>
      </c>
      <c r="G322" s="149"/>
      <c r="H322" s="82" t="str">
        <f t="shared" si="39"/>
        <v>1.8 percent up in Rupelian international stage</v>
      </c>
      <c r="I322" s="142" t="str">
        <f t="shared" si="40"/>
        <v>81.9 percent up in Chattian international stage</v>
      </c>
      <c r="J322" s="7">
        <v>1.818181818181841E-2</v>
      </c>
      <c r="K322" s="129">
        <f t="shared" si="41"/>
        <v>1.8</v>
      </c>
      <c r="L322" s="8" t="s">
        <v>38</v>
      </c>
      <c r="M322" s="5" t="s">
        <v>82</v>
      </c>
      <c r="N322" s="5" t="s">
        <v>82</v>
      </c>
      <c r="O322" s="83"/>
      <c r="P322" s="20">
        <v>0.81936685288640609</v>
      </c>
      <c r="Q322" s="143">
        <f t="shared" si="42"/>
        <v>81.900000000000006</v>
      </c>
      <c r="R322" s="21" t="s">
        <v>36</v>
      </c>
      <c r="S322" s="8" t="s">
        <v>246</v>
      </c>
      <c r="T322" s="7" t="s">
        <v>226</v>
      </c>
    </row>
    <row r="323" spans="1:20" ht="28">
      <c r="A323" s="81" t="s">
        <v>550</v>
      </c>
      <c r="B323" s="75" t="s">
        <v>578</v>
      </c>
      <c r="C323" s="5"/>
      <c r="D323" s="5" t="s">
        <v>264</v>
      </c>
      <c r="E323" s="132">
        <f t="shared" si="52"/>
        <v>33.707336727272725</v>
      </c>
      <c r="F323" s="139">
        <f>$O$337-P323*($O$337-$O$296)</f>
        <v>24.620346181818185</v>
      </c>
      <c r="G323" s="149"/>
      <c r="H323" s="82" t="str">
        <f t="shared" si="39"/>
        <v>1.8 percent up in Rupelian international stage</v>
      </c>
      <c r="I323" s="142" t="str">
        <f t="shared" si="40"/>
        <v>85.5 percent up in Rupelian international stage</v>
      </c>
      <c r="J323" s="7">
        <v>1.818181818181841E-2</v>
      </c>
      <c r="K323" s="129">
        <f t="shared" si="41"/>
        <v>1.8</v>
      </c>
      <c r="L323" s="8" t="s">
        <v>38</v>
      </c>
      <c r="M323" s="5" t="s">
        <v>82</v>
      </c>
      <c r="N323" s="5" t="s">
        <v>82</v>
      </c>
      <c r="O323" s="83"/>
      <c r="P323" s="20">
        <v>0.85454545454545439</v>
      </c>
      <c r="Q323" s="143">
        <f t="shared" si="42"/>
        <v>85.5</v>
      </c>
      <c r="R323" s="21" t="s">
        <v>38</v>
      </c>
      <c r="S323" s="8" t="s">
        <v>259</v>
      </c>
      <c r="T323" s="7">
        <v>0.83636363636363531</v>
      </c>
    </row>
    <row r="324" spans="1:20" ht="28">
      <c r="A324" s="81" t="s">
        <v>550</v>
      </c>
      <c r="B324" s="75" t="s">
        <v>579</v>
      </c>
      <c r="C324" s="5"/>
      <c r="D324" s="5" t="s">
        <v>270</v>
      </c>
      <c r="E324" s="132">
        <f t="shared" si="52"/>
        <v>33.904879999999999</v>
      </c>
      <c r="F324" s="139">
        <f>$O$337-P324*($O$337-$O$296)</f>
        <v>28.472439999999999</v>
      </c>
      <c r="G324" s="149"/>
      <c r="H324" s="82" t="str">
        <f t="shared" si="39"/>
        <v>0 percent up in Rupelian international stage</v>
      </c>
      <c r="I324" s="142" t="str">
        <f t="shared" si="40"/>
        <v>50 percent up in Rupelian international stage</v>
      </c>
      <c r="J324" s="7">
        <v>0</v>
      </c>
      <c r="K324" s="129">
        <f t="shared" si="41"/>
        <v>0</v>
      </c>
      <c r="L324" s="8" t="s">
        <v>38</v>
      </c>
      <c r="M324" s="5" t="s">
        <v>82</v>
      </c>
      <c r="N324" s="5" t="s">
        <v>82</v>
      </c>
      <c r="O324" s="83"/>
      <c r="P324" s="20">
        <v>0.5</v>
      </c>
      <c r="Q324" s="143">
        <f t="shared" si="42"/>
        <v>50</v>
      </c>
      <c r="R324" s="21" t="s">
        <v>38</v>
      </c>
      <c r="S324" s="8" t="s">
        <v>230</v>
      </c>
      <c r="T324" s="7" t="s">
        <v>226</v>
      </c>
    </row>
    <row r="325" spans="1:20" ht="28">
      <c r="A325" s="81" t="s">
        <v>550</v>
      </c>
      <c r="B325" s="77" t="s">
        <v>580</v>
      </c>
      <c r="C325" s="5"/>
      <c r="D325" s="5" t="s">
        <v>292</v>
      </c>
      <c r="E325" s="132">
        <f t="shared" si="52"/>
        <v>33.904879999999999</v>
      </c>
      <c r="F325" s="139">
        <f>$O$337-P325*($O$337-$O$296)</f>
        <v>23.04</v>
      </c>
      <c r="G325" s="149"/>
      <c r="H325" s="82" t="str">
        <f t="shared" si="39"/>
        <v>0 percent up in Rupelian international stage</v>
      </c>
      <c r="I325" s="142" t="str">
        <f t="shared" si="40"/>
        <v>100 percent up in Rupelian international stage</v>
      </c>
      <c r="J325" s="7">
        <v>0</v>
      </c>
      <c r="K325" s="129">
        <f t="shared" si="41"/>
        <v>0</v>
      </c>
      <c r="L325" s="8" t="s">
        <v>38</v>
      </c>
      <c r="M325" s="5" t="s">
        <v>82</v>
      </c>
      <c r="N325" s="5" t="s">
        <v>82</v>
      </c>
      <c r="O325" s="83"/>
      <c r="P325" s="20">
        <v>1</v>
      </c>
      <c r="Q325" s="143">
        <f t="shared" si="42"/>
        <v>100</v>
      </c>
      <c r="R325" s="21" t="s">
        <v>38</v>
      </c>
      <c r="S325" s="8" t="s">
        <v>232</v>
      </c>
      <c r="T325" s="7" t="s">
        <v>226</v>
      </c>
    </row>
    <row r="326" spans="1:20" ht="28">
      <c r="A326" s="81" t="s">
        <v>550</v>
      </c>
      <c r="B326" s="76" t="s">
        <v>581</v>
      </c>
      <c r="C326" s="5"/>
      <c r="D326" s="5" t="s">
        <v>270</v>
      </c>
      <c r="E326" s="132">
        <f t="shared" si="52"/>
        <v>33.904879999999999</v>
      </c>
      <c r="F326" s="139">
        <f>$O$337-P326*($O$337-$O$296)</f>
        <v>23.04</v>
      </c>
      <c r="G326" s="149"/>
      <c r="H326" s="82" t="str">
        <f t="shared" si="39"/>
        <v>0 percent up in Rupelian international stage</v>
      </c>
      <c r="I326" s="142" t="str">
        <f t="shared" si="40"/>
        <v>100 percent up in Rupelian international stage</v>
      </c>
      <c r="J326" s="7">
        <v>0</v>
      </c>
      <c r="K326" s="129">
        <f t="shared" si="41"/>
        <v>0</v>
      </c>
      <c r="L326" s="8" t="s">
        <v>38</v>
      </c>
      <c r="M326" s="5" t="s">
        <v>82</v>
      </c>
      <c r="N326" s="5" t="s">
        <v>82</v>
      </c>
      <c r="O326" s="83"/>
      <c r="P326" s="20">
        <v>1</v>
      </c>
      <c r="Q326" s="143">
        <f t="shared" si="42"/>
        <v>100</v>
      </c>
      <c r="R326" s="21" t="s">
        <v>38</v>
      </c>
      <c r="S326" s="8" t="s">
        <v>232</v>
      </c>
      <c r="T326" s="7" t="s">
        <v>226</v>
      </c>
    </row>
    <row r="327" spans="1:20" ht="28">
      <c r="A327" s="81" t="s">
        <v>550</v>
      </c>
      <c r="B327" s="75" t="s">
        <v>582</v>
      </c>
      <c r="C327" s="5"/>
      <c r="D327" s="5" t="s">
        <v>270</v>
      </c>
      <c r="E327" s="132">
        <f t="shared" si="52"/>
        <v>33.904879999999999</v>
      </c>
      <c r="F327" s="139">
        <f>$O$337-P327*($O$337-$O$296)</f>
        <v>23.04</v>
      </c>
      <c r="G327" s="149"/>
      <c r="H327" s="82" t="str">
        <f t="shared" si="39"/>
        <v>0 percent up in Rupelian international stage</v>
      </c>
      <c r="I327" s="142" t="str">
        <f t="shared" si="40"/>
        <v>100 percent up in Rupelian international stage</v>
      </c>
      <c r="J327" s="7">
        <v>0</v>
      </c>
      <c r="K327" s="129">
        <f t="shared" si="41"/>
        <v>0</v>
      </c>
      <c r="L327" s="8" t="s">
        <v>38</v>
      </c>
      <c r="M327" s="5" t="s">
        <v>82</v>
      </c>
      <c r="N327" s="5" t="s">
        <v>82</v>
      </c>
      <c r="O327" s="83"/>
      <c r="P327" s="20">
        <v>1</v>
      </c>
      <c r="Q327" s="143">
        <f t="shared" si="42"/>
        <v>100</v>
      </c>
      <c r="R327" s="21" t="s">
        <v>38</v>
      </c>
      <c r="S327" s="8" t="s">
        <v>232</v>
      </c>
      <c r="T327" s="7" t="s">
        <v>226</v>
      </c>
    </row>
    <row r="328" spans="1:20" ht="28">
      <c r="A328" s="81" t="s">
        <v>550</v>
      </c>
      <c r="B328" s="76" t="s">
        <v>583</v>
      </c>
      <c r="C328" s="5"/>
      <c r="D328" s="5" t="s">
        <v>82</v>
      </c>
      <c r="E328" s="132">
        <f t="shared" si="52"/>
        <v>33.904879999999999</v>
      </c>
      <c r="F328" s="139">
        <f>$O$311-P328*($O$311-$O$296)</f>
        <v>23.04</v>
      </c>
      <c r="G328" s="149"/>
      <c r="H328" s="82" t="str">
        <f t="shared" si="39"/>
        <v>0 percent up in Rupelian international stage</v>
      </c>
      <c r="I328" s="142" t="str">
        <f t="shared" si="40"/>
        <v>100 percent up in Chattian international stage</v>
      </c>
      <c r="J328" s="7">
        <v>0</v>
      </c>
      <c r="K328" s="129">
        <f t="shared" si="41"/>
        <v>0</v>
      </c>
      <c r="L328" s="8" t="s">
        <v>38</v>
      </c>
      <c r="M328" s="5" t="s">
        <v>82</v>
      </c>
      <c r="N328" s="5" t="s">
        <v>82</v>
      </c>
      <c r="O328" s="83"/>
      <c r="P328" s="20">
        <v>1</v>
      </c>
      <c r="Q328" s="143">
        <f t="shared" si="42"/>
        <v>100</v>
      </c>
      <c r="R328" s="21" t="s">
        <v>36</v>
      </c>
      <c r="S328" s="8" t="s">
        <v>232</v>
      </c>
      <c r="T328" s="7" t="s">
        <v>226</v>
      </c>
    </row>
    <row r="329" spans="1:20" ht="28">
      <c r="A329" s="81" t="s">
        <v>550</v>
      </c>
      <c r="B329" s="75" t="s">
        <v>584</v>
      </c>
      <c r="C329" s="5"/>
      <c r="D329" s="5" t="s">
        <v>82</v>
      </c>
      <c r="E329" s="132">
        <f t="shared" si="52"/>
        <v>33.904879999999999</v>
      </c>
      <c r="F329" s="139">
        <f>$O$311-P329*($O$311-$O$296)</f>
        <v>23.04</v>
      </c>
      <c r="G329" s="149"/>
      <c r="H329" s="82" t="str">
        <f t="shared" ref="H329:H394" si="58">CONCATENATE(K329," percent up in ",L329," international stage")</f>
        <v>0 percent up in Rupelian international stage</v>
      </c>
      <c r="I329" s="142" t="str">
        <f t="shared" ref="I329:I394" si="59">CONCATENATE(Q329," percent up in ",R329," international stage")</f>
        <v>100 percent up in Chattian international stage</v>
      </c>
      <c r="J329" s="7">
        <v>0</v>
      </c>
      <c r="K329" s="129">
        <f t="shared" ref="K329:K394" si="60">ROUND(J329*100,1)</f>
        <v>0</v>
      </c>
      <c r="L329" s="8" t="s">
        <v>38</v>
      </c>
      <c r="M329" s="5" t="s">
        <v>82</v>
      </c>
      <c r="N329" s="5" t="s">
        <v>82</v>
      </c>
      <c r="O329" s="83"/>
      <c r="P329" s="20">
        <v>1</v>
      </c>
      <c r="Q329" s="143">
        <f t="shared" ref="Q329:Q394" si="61">ROUND(P329*100,1)</f>
        <v>100</v>
      </c>
      <c r="R329" s="21" t="s">
        <v>36</v>
      </c>
      <c r="S329" s="8" t="s">
        <v>232</v>
      </c>
      <c r="T329" s="7" t="s">
        <v>226</v>
      </c>
    </row>
    <row r="330" spans="1:20" ht="28">
      <c r="A330" s="81" t="s">
        <v>550</v>
      </c>
      <c r="B330" s="78" t="s">
        <v>585</v>
      </c>
      <c r="C330" s="5"/>
      <c r="D330" s="5" t="s">
        <v>270</v>
      </c>
      <c r="E330" s="132">
        <f t="shared" si="52"/>
        <v>33.904879999999999</v>
      </c>
      <c r="F330" s="139">
        <f>$O$337-P330*($O$337-$O$296)</f>
        <v>28.571211636363635</v>
      </c>
      <c r="G330" s="149"/>
      <c r="H330" s="82" t="str">
        <f t="shared" si="58"/>
        <v>0 percent up in Rupelian international stage</v>
      </c>
      <c r="I330" s="142" t="str">
        <f t="shared" si="59"/>
        <v>49.1 percent up in Rupelian international stage</v>
      </c>
      <c r="J330" s="7">
        <v>0</v>
      </c>
      <c r="K330" s="129">
        <f t="shared" si="60"/>
        <v>0</v>
      </c>
      <c r="L330" s="8" t="s">
        <v>38</v>
      </c>
      <c r="M330" s="5" t="s">
        <v>82</v>
      </c>
      <c r="N330" s="5" t="s">
        <v>82</v>
      </c>
      <c r="O330" s="83"/>
      <c r="P330" s="20">
        <v>0.4909090909090908</v>
      </c>
      <c r="Q330" s="143">
        <f t="shared" si="61"/>
        <v>49.1</v>
      </c>
      <c r="R330" s="21" t="s">
        <v>38</v>
      </c>
      <c r="S330" s="8" t="s">
        <v>230</v>
      </c>
      <c r="T330" s="7" t="s">
        <v>226</v>
      </c>
    </row>
    <row r="331" spans="1:20" ht="28">
      <c r="A331" s="81" t="s">
        <v>550</v>
      </c>
      <c r="B331" s="76" t="s">
        <v>586</v>
      </c>
      <c r="C331" s="5"/>
      <c r="D331" s="5" t="s">
        <v>82</v>
      </c>
      <c r="E331" s="132">
        <f t="shared" si="52"/>
        <v>33.904879999999999</v>
      </c>
      <c r="F331" s="139">
        <f>$O$337-P331*($O$337-$O$296)</f>
        <v>23.04</v>
      </c>
      <c r="G331" s="149"/>
      <c r="H331" s="82" t="str">
        <f t="shared" si="58"/>
        <v>0 percent up in Rupelian international stage</v>
      </c>
      <c r="I331" s="142" t="str">
        <f t="shared" si="59"/>
        <v>100 percent up in Rupelian international stage</v>
      </c>
      <c r="J331" s="7">
        <v>0</v>
      </c>
      <c r="K331" s="129">
        <f t="shared" si="60"/>
        <v>0</v>
      </c>
      <c r="L331" s="8" t="s">
        <v>38</v>
      </c>
      <c r="M331" s="5" t="s">
        <v>82</v>
      </c>
      <c r="N331" s="5" t="s">
        <v>82</v>
      </c>
      <c r="O331" s="83"/>
      <c r="P331" s="20">
        <v>1</v>
      </c>
      <c r="Q331" s="143">
        <f t="shared" si="61"/>
        <v>100</v>
      </c>
      <c r="R331" s="21" t="s">
        <v>38</v>
      </c>
      <c r="S331" s="8" t="s">
        <v>232</v>
      </c>
      <c r="T331" s="7" t="s">
        <v>226</v>
      </c>
    </row>
    <row r="332" spans="1:20" ht="28">
      <c r="A332" s="81" t="s">
        <v>550</v>
      </c>
      <c r="B332" s="76" t="s">
        <v>587</v>
      </c>
      <c r="C332" s="5"/>
      <c r="D332" s="5" t="s">
        <v>82</v>
      </c>
      <c r="E332" s="132">
        <f t="shared" si="52"/>
        <v>33.904879999999999</v>
      </c>
      <c r="F332" s="139">
        <f>$O$337-P332*($O$337-$O$296)</f>
        <v>23.04</v>
      </c>
      <c r="G332" s="149"/>
      <c r="H332" s="82" t="str">
        <f t="shared" si="58"/>
        <v>0 percent up in Rupelian international stage</v>
      </c>
      <c r="I332" s="142" t="str">
        <f t="shared" si="59"/>
        <v>100 percent up in Rupelian international stage</v>
      </c>
      <c r="J332" s="7">
        <v>0</v>
      </c>
      <c r="K332" s="129">
        <f t="shared" si="60"/>
        <v>0</v>
      </c>
      <c r="L332" s="8" t="s">
        <v>38</v>
      </c>
      <c r="M332" s="5" t="s">
        <v>82</v>
      </c>
      <c r="N332" s="5" t="s">
        <v>82</v>
      </c>
      <c r="O332" s="83"/>
      <c r="P332" s="20">
        <v>1</v>
      </c>
      <c r="Q332" s="143">
        <f t="shared" si="61"/>
        <v>100</v>
      </c>
      <c r="R332" s="21" t="s">
        <v>38</v>
      </c>
      <c r="S332" s="8" t="s">
        <v>232</v>
      </c>
      <c r="T332" s="7" t="s">
        <v>226</v>
      </c>
    </row>
    <row r="333" spans="1:20" ht="28">
      <c r="A333" s="81" t="s">
        <v>550</v>
      </c>
      <c r="B333" s="76" t="s">
        <v>588</v>
      </c>
      <c r="C333" s="5"/>
      <c r="D333" s="5" t="s">
        <v>82</v>
      </c>
      <c r="E333" s="132">
        <f t="shared" si="52"/>
        <v>33.904879999999999</v>
      </c>
      <c r="F333" s="139">
        <f>$O$337-P333*($O$337-$O$296)</f>
        <v>23.04</v>
      </c>
      <c r="G333" s="149"/>
      <c r="H333" s="82" t="str">
        <f t="shared" si="58"/>
        <v>0 percent up in Rupelian international stage</v>
      </c>
      <c r="I333" s="142" t="str">
        <f t="shared" si="59"/>
        <v>100 percent up in Rupelian international stage</v>
      </c>
      <c r="J333" s="7">
        <v>0</v>
      </c>
      <c r="K333" s="129">
        <f t="shared" si="60"/>
        <v>0</v>
      </c>
      <c r="L333" s="8" t="s">
        <v>38</v>
      </c>
      <c r="M333" s="5" t="s">
        <v>82</v>
      </c>
      <c r="N333" s="5" t="s">
        <v>82</v>
      </c>
      <c r="O333" s="83"/>
      <c r="P333" s="20">
        <v>1</v>
      </c>
      <c r="Q333" s="143">
        <f t="shared" si="61"/>
        <v>100</v>
      </c>
      <c r="R333" s="21" t="s">
        <v>38</v>
      </c>
      <c r="S333" s="8" t="s">
        <v>232</v>
      </c>
      <c r="T333" s="7" t="s">
        <v>226</v>
      </c>
    </row>
    <row r="334" spans="1:20" ht="28">
      <c r="A334" s="81" t="s">
        <v>550</v>
      </c>
      <c r="B334" s="76" t="s">
        <v>589</v>
      </c>
      <c r="C334" s="5"/>
      <c r="D334" s="5" t="s">
        <v>236</v>
      </c>
      <c r="E334" s="132">
        <f t="shared" si="52"/>
        <v>33.904879999999999</v>
      </c>
      <c r="F334" s="139">
        <f>$O$311-P334*($O$311-$O$296)</f>
        <v>26.969863221601489</v>
      </c>
      <c r="G334" s="149"/>
      <c r="H334" s="82" t="str">
        <f t="shared" si="58"/>
        <v>0 percent up in Rupelian international stage</v>
      </c>
      <c r="I334" s="142" t="str">
        <f t="shared" si="59"/>
        <v>7.4 percent up in Chattian international stage</v>
      </c>
      <c r="J334" s="7">
        <v>0</v>
      </c>
      <c r="K334" s="129">
        <f t="shared" si="60"/>
        <v>0</v>
      </c>
      <c r="L334" s="8" t="s">
        <v>38</v>
      </c>
      <c r="M334" s="5" t="s">
        <v>82</v>
      </c>
      <c r="N334" s="5" t="s">
        <v>82</v>
      </c>
      <c r="O334" s="83"/>
      <c r="P334" s="20">
        <v>7.4487895716945765E-2</v>
      </c>
      <c r="Q334" s="143">
        <f t="shared" si="61"/>
        <v>7.4</v>
      </c>
      <c r="R334" s="21" t="s">
        <v>36</v>
      </c>
      <c r="S334" s="8" t="s">
        <v>246</v>
      </c>
      <c r="T334" s="7" t="s">
        <v>226</v>
      </c>
    </row>
    <row r="335" spans="1:20" ht="28">
      <c r="A335" s="81" t="s">
        <v>550</v>
      </c>
      <c r="B335" s="76" t="s">
        <v>38</v>
      </c>
      <c r="C335" s="134" t="s">
        <v>7</v>
      </c>
      <c r="D335" s="134" t="s">
        <v>222</v>
      </c>
      <c r="E335" s="132">
        <f t="shared" si="52"/>
        <v>33.904879999999999</v>
      </c>
      <c r="F335" s="139">
        <f>$O$337-P335*($O$337-$O$296)</f>
        <v>23.04</v>
      </c>
      <c r="G335" s="149"/>
      <c r="H335" s="82" t="str">
        <f t="shared" si="58"/>
        <v>0 percent up in Rupelian international stage</v>
      </c>
      <c r="I335" s="142" t="str">
        <f t="shared" si="59"/>
        <v>100 percent up in Rupelian international stage</v>
      </c>
      <c r="J335" s="7">
        <v>0</v>
      </c>
      <c r="K335" s="129">
        <f t="shared" si="60"/>
        <v>0</v>
      </c>
      <c r="L335" s="8" t="s">
        <v>38</v>
      </c>
      <c r="M335" s="5" t="s">
        <v>224</v>
      </c>
      <c r="N335" s="5" t="s">
        <v>590</v>
      </c>
      <c r="O335" s="84">
        <f>Master_Chronostrat!I21</f>
        <v>33.904879999999999</v>
      </c>
      <c r="P335" s="20">
        <v>1</v>
      </c>
      <c r="Q335" s="143">
        <f t="shared" si="61"/>
        <v>100</v>
      </c>
      <c r="R335" s="21" t="s">
        <v>38</v>
      </c>
      <c r="S335" s="8" t="s">
        <v>224</v>
      </c>
      <c r="T335" s="7" t="s">
        <v>226</v>
      </c>
    </row>
    <row r="336" spans="1:20" ht="28">
      <c r="A336" s="81" t="s">
        <v>550</v>
      </c>
      <c r="B336" s="76" t="s">
        <v>591</v>
      </c>
      <c r="C336" s="5"/>
      <c r="D336" s="5" t="s">
        <v>82</v>
      </c>
      <c r="E336" s="132">
        <f t="shared" si="52"/>
        <v>33.904879999999999</v>
      </c>
      <c r="F336" s="139">
        <f>$O$337-P336*($O$337-$O$296)</f>
        <v>23.04</v>
      </c>
      <c r="G336" s="149"/>
      <c r="H336" s="82" t="str">
        <f t="shared" si="58"/>
        <v>0 percent up in Rupelian international stage</v>
      </c>
      <c r="I336" s="142" t="str">
        <f t="shared" si="59"/>
        <v>100 percent up in Rupelian international stage</v>
      </c>
      <c r="J336" s="7">
        <v>0</v>
      </c>
      <c r="K336" s="129">
        <f t="shared" si="60"/>
        <v>0</v>
      </c>
      <c r="L336" s="8" t="s">
        <v>38</v>
      </c>
      <c r="M336" s="5" t="s">
        <v>82</v>
      </c>
      <c r="N336" s="5" t="s">
        <v>82</v>
      </c>
      <c r="O336" s="84">
        <f>Master_Chronostrat!I21</f>
        <v>33.904879999999999</v>
      </c>
      <c r="P336" s="20">
        <v>1</v>
      </c>
      <c r="Q336" s="143">
        <f t="shared" si="61"/>
        <v>100</v>
      </c>
      <c r="R336" s="21" t="s">
        <v>38</v>
      </c>
      <c r="S336" s="8" t="s">
        <v>232</v>
      </c>
      <c r="T336" s="7" t="s">
        <v>226</v>
      </c>
    </row>
    <row r="337" spans="1:20" ht="28">
      <c r="A337" s="81" t="s">
        <v>550</v>
      </c>
      <c r="B337" s="76" t="s">
        <v>37</v>
      </c>
      <c r="C337" s="134" t="s">
        <v>5</v>
      </c>
      <c r="D337" s="134" t="s">
        <v>222</v>
      </c>
      <c r="E337" s="132">
        <f>$O$337-J337*($O$337-$O$311)</f>
        <v>33.904879999999999</v>
      </c>
      <c r="F337" s="139">
        <f>$O$311-P337*($O$311-$O$296)</f>
        <v>23.04</v>
      </c>
      <c r="G337" s="149"/>
      <c r="H337" s="82" t="str">
        <f t="shared" si="58"/>
        <v>0 percent up in Rupelian international stage</v>
      </c>
      <c r="I337" s="142" t="str">
        <f t="shared" si="59"/>
        <v>100 percent up in Chattian international stage</v>
      </c>
      <c r="J337" s="7">
        <v>0</v>
      </c>
      <c r="K337" s="129">
        <f t="shared" si="60"/>
        <v>0</v>
      </c>
      <c r="L337" s="8" t="s">
        <v>38</v>
      </c>
      <c r="M337" s="5" t="s">
        <v>224</v>
      </c>
      <c r="N337" s="5" t="s">
        <v>592</v>
      </c>
      <c r="O337" s="84">
        <f>Master_Chronostrat!I21</f>
        <v>33.904879999999999</v>
      </c>
      <c r="P337" s="20">
        <v>1</v>
      </c>
      <c r="Q337" s="143">
        <f t="shared" si="61"/>
        <v>100</v>
      </c>
      <c r="R337" s="21" t="s">
        <v>36</v>
      </c>
      <c r="S337" s="8" t="s">
        <v>239</v>
      </c>
      <c r="T337" s="7" t="s">
        <v>226</v>
      </c>
    </row>
    <row r="338" spans="1:20" ht="28">
      <c r="A338" s="81" t="s">
        <v>550</v>
      </c>
      <c r="B338" s="75" t="s">
        <v>593</v>
      </c>
      <c r="C338" s="5"/>
      <c r="D338" s="5" t="s">
        <v>236</v>
      </c>
      <c r="E338" s="132">
        <f t="shared" ref="E338:E354" si="62">$O$354-J338*($O$354-$O$337)</f>
        <v>34.366106666666667</v>
      </c>
      <c r="F338" s="139">
        <f>$O$296-P338*($O$296-$O$278)</f>
        <v>21.715115384615384</v>
      </c>
      <c r="G338" s="149"/>
      <c r="H338" s="82" t="str">
        <f t="shared" si="58"/>
        <v>87.9 percent up in Priabonian international stage</v>
      </c>
      <c r="I338" s="142" t="str">
        <f t="shared" si="59"/>
        <v>51.2 percent up in Aquitanian international stage</v>
      </c>
      <c r="J338" s="7">
        <v>0.87878787878787934</v>
      </c>
      <c r="K338" s="129">
        <f t="shared" si="60"/>
        <v>87.9</v>
      </c>
      <c r="L338" s="8" t="s">
        <v>39</v>
      </c>
      <c r="M338" s="5" t="s">
        <v>82</v>
      </c>
      <c r="N338" s="5" t="s">
        <v>82</v>
      </c>
      <c r="O338" s="83"/>
      <c r="P338" s="20">
        <v>0.51153846153846194</v>
      </c>
      <c r="Q338" s="143">
        <f t="shared" si="61"/>
        <v>51.2</v>
      </c>
      <c r="R338" s="21" t="s">
        <v>35</v>
      </c>
      <c r="S338" s="8" t="s">
        <v>246</v>
      </c>
      <c r="T338" s="7" t="s">
        <v>226</v>
      </c>
    </row>
    <row r="339" spans="1:20" ht="28">
      <c r="A339" s="81" t="s">
        <v>550</v>
      </c>
      <c r="B339" s="76" t="s">
        <v>594</v>
      </c>
      <c r="C339" s="5"/>
      <c r="D339" s="5" t="s">
        <v>234</v>
      </c>
      <c r="E339" s="132">
        <f t="shared" si="62"/>
        <v>35.173253333333335</v>
      </c>
      <c r="F339" s="139">
        <f>$O$337-P339*($O$337-$O$296)</f>
        <v>33.114706909090913</v>
      </c>
      <c r="G339" s="149"/>
      <c r="H339" s="82" t="str">
        <f t="shared" si="58"/>
        <v>66.7 percent up in Priabonian international stage</v>
      </c>
      <c r="I339" s="142" t="str">
        <f t="shared" si="59"/>
        <v>7.3 percent up in Rupelian international stage</v>
      </c>
      <c r="J339" s="7">
        <v>0.66666666666666674</v>
      </c>
      <c r="K339" s="129">
        <f t="shared" si="60"/>
        <v>66.7</v>
      </c>
      <c r="L339" s="8" t="s">
        <v>39</v>
      </c>
      <c r="M339" s="5" t="s">
        <v>82</v>
      </c>
      <c r="N339" s="5" t="s">
        <v>82</v>
      </c>
      <c r="O339" s="83"/>
      <c r="P339" s="20">
        <v>7.2727272727272474E-2</v>
      </c>
      <c r="Q339" s="143">
        <f t="shared" si="61"/>
        <v>7.3</v>
      </c>
      <c r="R339" s="21" t="s">
        <v>38</v>
      </c>
      <c r="S339" s="8" t="s">
        <v>246</v>
      </c>
      <c r="T339" s="7" t="s">
        <v>226</v>
      </c>
    </row>
    <row r="340" spans="1:20" ht="28">
      <c r="A340" s="81" t="s">
        <v>550</v>
      </c>
      <c r="B340" s="75" t="s">
        <v>595</v>
      </c>
      <c r="C340" s="5"/>
      <c r="D340" s="5" t="s">
        <v>554</v>
      </c>
      <c r="E340" s="132">
        <f t="shared" si="62"/>
        <v>35.288560000000004</v>
      </c>
      <c r="F340" s="139">
        <f>$O$337-P340*($O$337-$O$296)</f>
        <v>33.707336727272725</v>
      </c>
      <c r="G340" s="149"/>
      <c r="H340" s="82" t="str">
        <f t="shared" si="58"/>
        <v>63.6 percent up in Priabonian international stage</v>
      </c>
      <c r="I340" s="142" t="str">
        <f t="shared" si="59"/>
        <v>1.8 percent up in Rupelian international stage</v>
      </c>
      <c r="J340" s="7">
        <v>0.63636363636363602</v>
      </c>
      <c r="K340" s="129">
        <f t="shared" si="60"/>
        <v>63.6</v>
      </c>
      <c r="L340" s="8" t="s">
        <v>39</v>
      </c>
      <c r="M340" s="5" t="s">
        <v>82</v>
      </c>
      <c r="N340" s="5" t="s">
        <v>82</v>
      </c>
      <c r="O340" s="83"/>
      <c r="P340" s="20">
        <v>1.8181818181818441E-2</v>
      </c>
      <c r="Q340" s="143">
        <f t="shared" si="61"/>
        <v>1.8</v>
      </c>
      <c r="R340" s="21" t="s">
        <v>38</v>
      </c>
      <c r="S340" s="8" t="s">
        <v>246</v>
      </c>
      <c r="T340" s="7" t="s">
        <v>226</v>
      </c>
    </row>
    <row r="341" spans="1:20" ht="28">
      <c r="A341" s="81" t="s">
        <v>550</v>
      </c>
      <c r="B341" s="75" t="s">
        <v>596</v>
      </c>
      <c r="C341" s="5"/>
      <c r="D341" s="5" t="s">
        <v>368</v>
      </c>
      <c r="E341" s="132">
        <f t="shared" si="62"/>
        <v>36.326319999999996</v>
      </c>
      <c r="F341" s="139">
        <f>$O$337-P341*($O$337-$O$296)</f>
        <v>26.200692363636364</v>
      </c>
      <c r="G341" s="149"/>
      <c r="H341" s="82" t="str">
        <f t="shared" si="58"/>
        <v>36.4 percent up in Priabonian international stage</v>
      </c>
      <c r="I341" s="142" t="str">
        <f t="shared" si="59"/>
        <v>70.9 percent up in Rupelian international stage</v>
      </c>
      <c r="J341" s="7">
        <v>0.36363636363636398</v>
      </c>
      <c r="K341" s="129">
        <f t="shared" si="60"/>
        <v>36.4</v>
      </c>
      <c r="L341" s="8" t="s">
        <v>39</v>
      </c>
      <c r="M341" s="5" t="s">
        <v>82</v>
      </c>
      <c r="N341" s="5" t="s">
        <v>82</v>
      </c>
      <c r="O341" s="83"/>
      <c r="P341" s="20">
        <v>0.70909090909090888</v>
      </c>
      <c r="Q341" s="143">
        <f t="shared" si="61"/>
        <v>70.900000000000006</v>
      </c>
      <c r="R341" s="21" t="s">
        <v>38</v>
      </c>
      <c r="S341" s="8" t="s">
        <v>246</v>
      </c>
      <c r="T341" s="7" t="s">
        <v>226</v>
      </c>
    </row>
    <row r="342" spans="1:20" ht="28">
      <c r="A342" s="81" t="s">
        <v>550</v>
      </c>
      <c r="B342" s="76" t="s">
        <v>597</v>
      </c>
      <c r="C342" s="5"/>
      <c r="D342" s="5" t="s">
        <v>368</v>
      </c>
      <c r="E342" s="132">
        <f t="shared" si="62"/>
        <v>36.326319999999996</v>
      </c>
      <c r="F342" s="139">
        <f>$O$337-P342*($O$337-$O$296)</f>
        <v>32.126990545454547</v>
      </c>
      <c r="G342" s="149"/>
      <c r="H342" s="82" t="str">
        <f t="shared" si="58"/>
        <v>36.4 percent up in Priabonian international stage</v>
      </c>
      <c r="I342" s="142" t="str">
        <f t="shared" si="59"/>
        <v>16.4 percent up in Rupelian international stage</v>
      </c>
      <c r="J342" s="7">
        <v>0.36363636363636398</v>
      </c>
      <c r="K342" s="129">
        <f t="shared" si="60"/>
        <v>36.4</v>
      </c>
      <c r="L342" s="8" t="s">
        <v>39</v>
      </c>
      <c r="M342" s="5" t="s">
        <v>82</v>
      </c>
      <c r="N342" s="5" t="s">
        <v>82</v>
      </c>
      <c r="O342" s="83"/>
      <c r="P342" s="20">
        <v>0.16363636363636339</v>
      </c>
      <c r="Q342" s="143">
        <f t="shared" si="61"/>
        <v>16.399999999999999</v>
      </c>
      <c r="R342" s="21" t="s">
        <v>38</v>
      </c>
      <c r="S342" s="8" t="s">
        <v>246</v>
      </c>
      <c r="T342" s="7" t="s">
        <v>226</v>
      </c>
    </row>
    <row r="343" spans="1:20" ht="28">
      <c r="A343" s="81" t="s">
        <v>550</v>
      </c>
      <c r="B343" s="75" t="s">
        <v>598</v>
      </c>
      <c r="C343" s="5"/>
      <c r="D343" s="5" t="s">
        <v>322</v>
      </c>
      <c r="E343" s="132">
        <f t="shared" si="62"/>
        <v>36.326319999999996</v>
      </c>
      <c r="F343" s="139">
        <f>$O$337-P343*($O$337-$O$296)</f>
        <v>24.225259636363639</v>
      </c>
      <c r="G343" s="149"/>
      <c r="H343" s="82" t="str">
        <f t="shared" si="58"/>
        <v>36.4 percent up in Priabonian international stage</v>
      </c>
      <c r="I343" s="142" t="str">
        <f t="shared" si="59"/>
        <v>89.1 percent up in Rupelian international stage</v>
      </c>
      <c r="J343" s="7">
        <v>0.36363636363636398</v>
      </c>
      <c r="K343" s="129">
        <f t="shared" si="60"/>
        <v>36.4</v>
      </c>
      <c r="L343" s="8" t="s">
        <v>39</v>
      </c>
      <c r="M343" s="5" t="s">
        <v>82</v>
      </c>
      <c r="N343" s="5" t="s">
        <v>82</v>
      </c>
      <c r="O343" s="83"/>
      <c r="P343" s="20">
        <v>0.89090909090909065</v>
      </c>
      <c r="Q343" s="143">
        <f t="shared" si="61"/>
        <v>89.1</v>
      </c>
      <c r="R343" s="21" t="s">
        <v>38</v>
      </c>
      <c r="S343" s="8" t="s">
        <v>246</v>
      </c>
      <c r="T343" s="7" t="s">
        <v>226</v>
      </c>
    </row>
    <row r="344" spans="1:20" ht="28">
      <c r="A344" s="81" t="s">
        <v>550</v>
      </c>
      <c r="B344" s="75" t="s">
        <v>599</v>
      </c>
      <c r="C344" s="5"/>
      <c r="D344" s="5" t="s">
        <v>322</v>
      </c>
      <c r="E344" s="132">
        <f t="shared" si="62"/>
        <v>37.248773333333325</v>
      </c>
      <c r="F344" s="139">
        <f>$O$354-P344*($O$354-$O$337)</f>
        <v>35.865093333333334</v>
      </c>
      <c r="G344" s="149"/>
      <c r="H344" s="82" t="str">
        <f t="shared" si="58"/>
        <v>12.1 percent up in Priabonian international stage</v>
      </c>
      <c r="I344" s="142" t="str">
        <f t="shared" si="59"/>
        <v>48.5 percent up in Priabonian international stage</v>
      </c>
      <c r="J344" s="7">
        <v>0.12121212121212277</v>
      </c>
      <c r="K344" s="129">
        <f t="shared" si="60"/>
        <v>12.1</v>
      </c>
      <c r="L344" s="8" t="s">
        <v>39</v>
      </c>
      <c r="M344" s="5" t="s">
        <v>82</v>
      </c>
      <c r="N344" s="5" t="s">
        <v>82</v>
      </c>
      <c r="O344" s="83"/>
      <c r="P344" s="20">
        <v>0.48484848484848464</v>
      </c>
      <c r="Q344" s="143">
        <f t="shared" si="61"/>
        <v>48.5</v>
      </c>
      <c r="R344" s="21" t="s">
        <v>39</v>
      </c>
      <c r="S344" s="8" t="s">
        <v>259</v>
      </c>
      <c r="T344" s="7">
        <v>0.36363636363636281</v>
      </c>
    </row>
    <row r="345" spans="1:20" ht="28">
      <c r="A345" s="81" t="s">
        <v>550</v>
      </c>
      <c r="B345" s="76" t="s">
        <v>600</v>
      </c>
      <c r="C345" s="5"/>
      <c r="D345" s="5" t="s">
        <v>244</v>
      </c>
      <c r="E345" s="132">
        <f t="shared" si="62"/>
        <v>37.479386666666663</v>
      </c>
      <c r="F345" s="139">
        <f>$O$337-P345*($O$337-$O$296)</f>
        <v>33.114706909090913</v>
      </c>
      <c r="G345" s="149"/>
      <c r="H345" s="82" t="str">
        <f t="shared" si="58"/>
        <v>6.1 percent up in Priabonian international stage</v>
      </c>
      <c r="I345" s="142" t="str">
        <f t="shared" si="59"/>
        <v>7.3 percent up in Rupelian international stage</v>
      </c>
      <c r="J345" s="7">
        <v>6.060606060606144E-2</v>
      </c>
      <c r="K345" s="129">
        <f t="shared" si="60"/>
        <v>6.1</v>
      </c>
      <c r="L345" s="8" t="s">
        <v>39</v>
      </c>
      <c r="M345" s="5" t="s">
        <v>82</v>
      </c>
      <c r="N345" s="5" t="s">
        <v>82</v>
      </c>
      <c r="O345" s="83"/>
      <c r="P345" s="20">
        <v>7.2727272727272474E-2</v>
      </c>
      <c r="Q345" s="143">
        <f t="shared" si="61"/>
        <v>7.3</v>
      </c>
      <c r="R345" s="21" t="s">
        <v>38</v>
      </c>
      <c r="S345" s="8" t="s">
        <v>246</v>
      </c>
      <c r="T345" s="7" t="s">
        <v>226</v>
      </c>
    </row>
    <row r="346" spans="1:20" ht="28">
      <c r="A346" s="81" t="s">
        <v>550</v>
      </c>
      <c r="B346" s="75" t="s">
        <v>601</v>
      </c>
      <c r="C346" s="5"/>
      <c r="D346" s="5" t="s">
        <v>236</v>
      </c>
      <c r="E346" s="132">
        <f t="shared" si="62"/>
        <v>37.479386666666663</v>
      </c>
      <c r="F346" s="139">
        <f>$O$354-P346*($O$354-$O$337)</f>
        <v>36.326319999999996</v>
      </c>
      <c r="G346" s="149"/>
      <c r="H346" s="82" t="str">
        <f t="shared" si="58"/>
        <v>6.1 percent up in Priabonian international stage</v>
      </c>
      <c r="I346" s="142" t="str">
        <f t="shared" si="59"/>
        <v>36.4 percent up in Priabonian international stage</v>
      </c>
      <c r="J346" s="7">
        <v>6.060606060606144E-2</v>
      </c>
      <c r="K346" s="129">
        <f t="shared" si="60"/>
        <v>6.1</v>
      </c>
      <c r="L346" s="8" t="s">
        <v>39</v>
      </c>
      <c r="M346" s="5" t="s">
        <v>82</v>
      </c>
      <c r="N346" s="5" t="s">
        <v>82</v>
      </c>
      <c r="O346" s="83"/>
      <c r="P346" s="20">
        <v>0.36363636363636404</v>
      </c>
      <c r="Q346" s="143">
        <f t="shared" si="61"/>
        <v>36.4</v>
      </c>
      <c r="R346" s="21" t="s">
        <v>39</v>
      </c>
      <c r="S346" s="8" t="s">
        <v>259</v>
      </c>
      <c r="T346" s="7">
        <v>0.30303030303030265</v>
      </c>
    </row>
    <row r="347" spans="1:20" ht="28">
      <c r="A347" s="81" t="s">
        <v>550</v>
      </c>
      <c r="B347" s="75" t="s">
        <v>602</v>
      </c>
      <c r="C347" s="5"/>
      <c r="D347" s="5" t="s">
        <v>264</v>
      </c>
      <c r="E347" s="132">
        <f t="shared" si="62"/>
        <v>37.71</v>
      </c>
      <c r="F347" s="139">
        <f>$O$337-P347*($O$337-$O$296)</f>
        <v>33.707336727272725</v>
      </c>
      <c r="G347" s="149"/>
      <c r="H347" s="82" t="str">
        <f t="shared" si="58"/>
        <v>0 percent up in Priabonian international stage</v>
      </c>
      <c r="I347" s="142" t="str">
        <f t="shared" si="59"/>
        <v>1.8 percent up in Rupelian international stage</v>
      </c>
      <c r="J347" s="7">
        <v>0</v>
      </c>
      <c r="K347" s="129">
        <f t="shared" si="60"/>
        <v>0</v>
      </c>
      <c r="L347" s="8" t="s">
        <v>39</v>
      </c>
      <c r="M347" s="5" t="s">
        <v>82</v>
      </c>
      <c r="N347" s="5" t="s">
        <v>82</v>
      </c>
      <c r="O347" s="83"/>
      <c r="P347" s="20">
        <v>1.8181818181818441E-2</v>
      </c>
      <c r="Q347" s="143">
        <f t="shared" si="61"/>
        <v>1.8</v>
      </c>
      <c r="R347" s="21" t="s">
        <v>38</v>
      </c>
      <c r="S347" s="8" t="s">
        <v>246</v>
      </c>
      <c r="T347" s="7" t="s">
        <v>226</v>
      </c>
    </row>
    <row r="348" spans="1:20" ht="28">
      <c r="A348" s="81" t="s">
        <v>550</v>
      </c>
      <c r="B348" s="75" t="s">
        <v>603</v>
      </c>
      <c r="C348" s="5"/>
      <c r="D348" s="5" t="s">
        <v>554</v>
      </c>
      <c r="E348" s="132">
        <f t="shared" si="62"/>
        <v>37.71</v>
      </c>
      <c r="F348" s="139">
        <f t="shared" ref="F348:F354" si="63">$O$354-P348*($O$354-$O$337)</f>
        <v>33.904879999999999</v>
      </c>
      <c r="G348" s="149"/>
      <c r="H348" s="82" t="str">
        <f t="shared" si="58"/>
        <v>0 percent up in Priabonian international stage</v>
      </c>
      <c r="I348" s="142" t="str">
        <f t="shared" si="59"/>
        <v>100 percent up in Priabonian international stage</v>
      </c>
      <c r="J348" s="7">
        <v>0</v>
      </c>
      <c r="K348" s="129">
        <f t="shared" si="60"/>
        <v>0</v>
      </c>
      <c r="L348" s="8" t="s">
        <v>39</v>
      </c>
      <c r="M348" s="5" t="s">
        <v>82</v>
      </c>
      <c r="N348" s="5" t="s">
        <v>82</v>
      </c>
      <c r="O348" s="83"/>
      <c r="P348" s="20">
        <v>1</v>
      </c>
      <c r="Q348" s="143">
        <f t="shared" si="61"/>
        <v>100</v>
      </c>
      <c r="R348" s="21" t="s">
        <v>39</v>
      </c>
      <c r="S348" s="8" t="s">
        <v>232</v>
      </c>
      <c r="T348" s="7" t="s">
        <v>226</v>
      </c>
    </row>
    <row r="349" spans="1:20" ht="28">
      <c r="A349" s="81" t="s">
        <v>550</v>
      </c>
      <c r="B349" s="76" t="s">
        <v>604</v>
      </c>
      <c r="C349" s="5"/>
      <c r="D349" s="5" t="s">
        <v>82</v>
      </c>
      <c r="E349" s="132">
        <f t="shared" si="62"/>
        <v>37.71</v>
      </c>
      <c r="F349" s="139">
        <f t="shared" si="63"/>
        <v>33.904879999999999</v>
      </c>
      <c r="G349" s="149"/>
      <c r="H349" s="82" t="str">
        <f t="shared" si="58"/>
        <v>0 percent up in Priabonian international stage</v>
      </c>
      <c r="I349" s="142" t="str">
        <f t="shared" si="59"/>
        <v>100 percent up in Priabonian international stage</v>
      </c>
      <c r="J349" s="7">
        <v>0</v>
      </c>
      <c r="K349" s="129">
        <f t="shared" si="60"/>
        <v>0</v>
      </c>
      <c r="L349" s="8" t="s">
        <v>39</v>
      </c>
      <c r="M349" s="5" t="s">
        <v>82</v>
      </c>
      <c r="N349" s="5" t="s">
        <v>82</v>
      </c>
      <c r="O349" s="83"/>
      <c r="P349" s="20">
        <v>1</v>
      </c>
      <c r="Q349" s="143">
        <f t="shared" si="61"/>
        <v>100</v>
      </c>
      <c r="R349" s="21" t="s">
        <v>39</v>
      </c>
      <c r="S349" s="8" t="s">
        <v>232</v>
      </c>
      <c r="T349" s="7" t="s">
        <v>226</v>
      </c>
    </row>
    <row r="350" spans="1:20" ht="28">
      <c r="A350" s="81" t="s">
        <v>550</v>
      </c>
      <c r="B350" s="76" t="s">
        <v>605</v>
      </c>
      <c r="C350" s="5"/>
      <c r="D350" s="5" t="s">
        <v>270</v>
      </c>
      <c r="E350" s="132">
        <f t="shared" si="62"/>
        <v>37.71</v>
      </c>
      <c r="F350" s="139">
        <f t="shared" si="63"/>
        <v>33.904879999999999</v>
      </c>
      <c r="G350" s="149"/>
      <c r="H350" s="82" t="str">
        <f t="shared" si="58"/>
        <v>0 percent up in Priabonian international stage</v>
      </c>
      <c r="I350" s="142" t="str">
        <f t="shared" si="59"/>
        <v>100 percent up in Priabonian international stage</v>
      </c>
      <c r="J350" s="7">
        <v>0</v>
      </c>
      <c r="K350" s="129">
        <f t="shared" si="60"/>
        <v>0</v>
      </c>
      <c r="L350" s="8" t="s">
        <v>39</v>
      </c>
      <c r="M350" s="5" t="s">
        <v>82</v>
      </c>
      <c r="N350" s="5" t="s">
        <v>82</v>
      </c>
      <c r="O350" s="83"/>
      <c r="P350" s="20">
        <v>1</v>
      </c>
      <c r="Q350" s="143">
        <f t="shared" si="61"/>
        <v>100</v>
      </c>
      <c r="R350" s="21" t="s">
        <v>39</v>
      </c>
      <c r="S350" s="8" t="s">
        <v>232</v>
      </c>
      <c r="T350" s="7" t="s">
        <v>226</v>
      </c>
    </row>
    <row r="351" spans="1:20" ht="28">
      <c r="A351" s="81" t="s">
        <v>550</v>
      </c>
      <c r="B351" s="76" t="s">
        <v>606</v>
      </c>
      <c r="C351" s="5"/>
      <c r="D351" s="5" t="s">
        <v>236</v>
      </c>
      <c r="E351" s="132">
        <f t="shared" si="62"/>
        <v>37.71</v>
      </c>
      <c r="F351" s="139">
        <f t="shared" si="63"/>
        <v>33.904879999999999</v>
      </c>
      <c r="G351" s="149"/>
      <c r="H351" s="82" t="str">
        <f t="shared" si="58"/>
        <v>0 percent up in Priabonian international stage</v>
      </c>
      <c r="I351" s="142" t="str">
        <f t="shared" si="59"/>
        <v>100 percent up in Priabonian international stage</v>
      </c>
      <c r="J351" s="7">
        <v>0</v>
      </c>
      <c r="K351" s="129">
        <f t="shared" si="60"/>
        <v>0</v>
      </c>
      <c r="L351" s="8" t="s">
        <v>39</v>
      </c>
      <c r="M351" s="5" t="s">
        <v>82</v>
      </c>
      <c r="N351" s="5" t="s">
        <v>82</v>
      </c>
      <c r="O351" s="83"/>
      <c r="P351" s="20">
        <v>1</v>
      </c>
      <c r="Q351" s="143">
        <f t="shared" si="61"/>
        <v>100</v>
      </c>
      <c r="R351" s="21" t="s">
        <v>39</v>
      </c>
      <c r="S351" s="8" t="s">
        <v>232</v>
      </c>
      <c r="T351" s="7" t="s">
        <v>226</v>
      </c>
    </row>
    <row r="352" spans="1:20" ht="28">
      <c r="A352" s="81" t="s">
        <v>550</v>
      </c>
      <c r="B352" s="75" t="s">
        <v>607</v>
      </c>
      <c r="C352" s="5"/>
      <c r="D352" s="5" t="s">
        <v>554</v>
      </c>
      <c r="E352" s="132">
        <f t="shared" si="62"/>
        <v>37.71</v>
      </c>
      <c r="F352" s="139">
        <f t="shared" si="63"/>
        <v>35.288560000000004</v>
      </c>
      <c r="G352" s="149"/>
      <c r="H352" s="82" t="str">
        <f t="shared" si="58"/>
        <v>0 percent up in Priabonian international stage</v>
      </c>
      <c r="I352" s="142" t="str">
        <f t="shared" si="59"/>
        <v>63.6 percent up in Priabonian international stage</v>
      </c>
      <c r="J352" s="7">
        <v>0</v>
      </c>
      <c r="K352" s="129">
        <f t="shared" si="60"/>
        <v>0</v>
      </c>
      <c r="L352" s="8" t="s">
        <v>39</v>
      </c>
      <c r="M352" s="5" t="s">
        <v>82</v>
      </c>
      <c r="N352" s="5" t="s">
        <v>82</v>
      </c>
      <c r="O352" s="83"/>
      <c r="P352" s="20">
        <v>0.63636363636363602</v>
      </c>
      <c r="Q352" s="143">
        <f t="shared" si="61"/>
        <v>63.6</v>
      </c>
      <c r="R352" s="21" t="s">
        <v>39</v>
      </c>
      <c r="S352" s="8" t="s">
        <v>230</v>
      </c>
      <c r="T352" s="7" t="s">
        <v>226</v>
      </c>
    </row>
    <row r="353" spans="1:20" ht="28">
      <c r="A353" s="81" t="s">
        <v>550</v>
      </c>
      <c r="B353" s="76" t="s">
        <v>39</v>
      </c>
      <c r="C353" s="134" t="s">
        <v>7</v>
      </c>
      <c r="D353" s="134" t="s">
        <v>222</v>
      </c>
      <c r="E353" s="132">
        <f t="shared" si="62"/>
        <v>37.71</v>
      </c>
      <c r="F353" s="139">
        <f t="shared" si="63"/>
        <v>33.904879999999999</v>
      </c>
      <c r="G353" s="149"/>
      <c r="H353" s="82" t="str">
        <f t="shared" si="58"/>
        <v>0 percent up in Priabonian international stage</v>
      </c>
      <c r="I353" s="142" t="str">
        <f t="shared" si="59"/>
        <v>100 percent up in Priabonian international stage</v>
      </c>
      <c r="J353" s="7">
        <v>0</v>
      </c>
      <c r="K353" s="129">
        <f t="shared" si="60"/>
        <v>0</v>
      </c>
      <c r="L353" s="8" t="s">
        <v>39</v>
      </c>
      <c r="M353" s="5" t="s">
        <v>224</v>
      </c>
      <c r="N353" s="5" t="s">
        <v>608</v>
      </c>
      <c r="O353" s="84">
        <f>Master_Chronostrat!I22</f>
        <v>37.71</v>
      </c>
      <c r="P353" s="20">
        <v>1</v>
      </c>
      <c r="Q353" s="143">
        <f t="shared" si="61"/>
        <v>100</v>
      </c>
      <c r="R353" s="21" t="s">
        <v>39</v>
      </c>
      <c r="S353" s="8" t="s">
        <v>224</v>
      </c>
      <c r="T353" s="7" t="s">
        <v>226</v>
      </c>
    </row>
    <row r="354" spans="1:20" ht="28">
      <c r="A354" s="81" t="s">
        <v>550</v>
      </c>
      <c r="B354" s="76" t="s">
        <v>609</v>
      </c>
      <c r="C354" s="5"/>
      <c r="D354" s="5" t="s">
        <v>82</v>
      </c>
      <c r="E354" s="132">
        <f t="shared" si="62"/>
        <v>37.71</v>
      </c>
      <c r="F354" s="139">
        <f t="shared" si="63"/>
        <v>33.904879999999999</v>
      </c>
      <c r="G354" s="149"/>
      <c r="H354" s="82" t="str">
        <f t="shared" si="58"/>
        <v>0 percent up in Priabonian international stage</v>
      </c>
      <c r="I354" s="142" t="str">
        <f t="shared" si="59"/>
        <v>100 percent up in Priabonian international stage</v>
      </c>
      <c r="J354" s="7">
        <v>0</v>
      </c>
      <c r="K354" s="129">
        <f t="shared" si="60"/>
        <v>0</v>
      </c>
      <c r="L354" s="8" t="s">
        <v>39</v>
      </c>
      <c r="M354" s="5" t="s">
        <v>82</v>
      </c>
      <c r="N354" s="5" t="s">
        <v>82</v>
      </c>
      <c r="O354" s="84">
        <f>Master_Chronostrat!I22</f>
        <v>37.71</v>
      </c>
      <c r="P354" s="20">
        <v>1</v>
      </c>
      <c r="Q354" s="143">
        <f t="shared" si="61"/>
        <v>100</v>
      </c>
      <c r="R354" s="21" t="s">
        <v>39</v>
      </c>
      <c r="S354" s="8" t="s">
        <v>232</v>
      </c>
      <c r="T354" s="7" t="s">
        <v>226</v>
      </c>
    </row>
    <row r="355" spans="1:20" ht="28">
      <c r="A355" s="81" t="s">
        <v>550</v>
      </c>
      <c r="B355" s="76" t="s">
        <v>610</v>
      </c>
      <c r="C355" s="5"/>
      <c r="D355" s="5" t="s">
        <v>270</v>
      </c>
      <c r="E355" s="132">
        <f t="shared" ref="E355:E361" si="64">$O$361-J355*($O$361-$O$354)</f>
        <v>39.369999999999997</v>
      </c>
      <c r="F355" s="139">
        <f>$O$361-P355*($O$361-$O$354)</f>
        <v>37.71</v>
      </c>
      <c r="G355" s="149"/>
      <c r="H355" s="82" t="str">
        <f t="shared" si="58"/>
        <v>50 percent up in Bartonian international stage</v>
      </c>
      <c r="I355" s="142" t="str">
        <f t="shared" si="59"/>
        <v>100 percent up in Bartonian international stage</v>
      </c>
      <c r="J355" s="7">
        <v>0.50000000000000111</v>
      </c>
      <c r="K355" s="129">
        <f t="shared" si="60"/>
        <v>50</v>
      </c>
      <c r="L355" s="8" t="s">
        <v>40</v>
      </c>
      <c r="M355" s="5" t="s">
        <v>82</v>
      </c>
      <c r="N355" s="5" t="s">
        <v>82</v>
      </c>
      <c r="O355" s="83"/>
      <c r="P355" s="20">
        <v>1</v>
      </c>
      <c r="Q355" s="143">
        <f t="shared" si="61"/>
        <v>100</v>
      </c>
      <c r="R355" s="21" t="s">
        <v>40</v>
      </c>
      <c r="S355" s="8" t="s">
        <v>272</v>
      </c>
      <c r="T355" s="7" t="s">
        <v>226</v>
      </c>
    </row>
    <row r="356" spans="1:20" ht="28">
      <c r="A356" s="81" t="s">
        <v>550</v>
      </c>
      <c r="B356" s="76" t="s">
        <v>611</v>
      </c>
      <c r="C356" s="5"/>
      <c r="D356" s="5" t="s">
        <v>244</v>
      </c>
      <c r="E356" s="132">
        <f t="shared" si="64"/>
        <v>40.615000000000002</v>
      </c>
      <c r="F356" s="139">
        <f>$O$354-P356*($O$354-$O$337)</f>
        <v>37.479386666666663</v>
      </c>
      <c r="G356" s="149"/>
      <c r="H356" s="82" t="str">
        <f t="shared" si="58"/>
        <v>12.5 percent up in Bartonian international stage</v>
      </c>
      <c r="I356" s="142" t="str">
        <f t="shared" si="59"/>
        <v>6.1 percent up in Priabonian international stage</v>
      </c>
      <c r="J356" s="7">
        <v>0.12499999999999978</v>
      </c>
      <c r="K356" s="129">
        <f t="shared" si="60"/>
        <v>12.5</v>
      </c>
      <c r="L356" s="8" t="s">
        <v>40</v>
      </c>
      <c r="M356" s="5" t="s">
        <v>82</v>
      </c>
      <c r="N356" s="5" t="s">
        <v>82</v>
      </c>
      <c r="O356" s="83"/>
      <c r="P356" s="20">
        <v>6.0606060606061392E-2</v>
      </c>
      <c r="Q356" s="143">
        <f t="shared" si="61"/>
        <v>6.1</v>
      </c>
      <c r="R356" s="21" t="s">
        <v>39</v>
      </c>
      <c r="S356" s="8" t="s">
        <v>246</v>
      </c>
      <c r="T356" s="7" t="s">
        <v>226</v>
      </c>
    </row>
    <row r="357" spans="1:20" ht="28">
      <c r="A357" s="81" t="s">
        <v>550</v>
      </c>
      <c r="B357" s="76" t="s">
        <v>612</v>
      </c>
      <c r="C357" s="5"/>
      <c r="D357" s="5" t="s">
        <v>236</v>
      </c>
      <c r="E357" s="132">
        <f t="shared" si="64"/>
        <v>40.615000000000002</v>
      </c>
      <c r="F357" s="139">
        <f>$O$361-P357*($O$361-$O$354)</f>
        <v>37.71</v>
      </c>
      <c r="G357" s="149"/>
      <c r="H357" s="82" t="str">
        <f t="shared" si="58"/>
        <v>12.5 percent up in Bartonian international stage</v>
      </c>
      <c r="I357" s="142" t="str">
        <f t="shared" si="59"/>
        <v>100 percent up in Bartonian international stage</v>
      </c>
      <c r="J357" s="7">
        <v>0.12499999999999978</v>
      </c>
      <c r="K357" s="129">
        <f t="shared" si="60"/>
        <v>12.5</v>
      </c>
      <c r="L357" s="8" t="s">
        <v>40</v>
      </c>
      <c r="M357" s="5" t="s">
        <v>82</v>
      </c>
      <c r="N357" s="5" t="s">
        <v>82</v>
      </c>
      <c r="O357" s="83"/>
      <c r="P357" s="20">
        <v>1</v>
      </c>
      <c r="Q357" s="143">
        <f t="shared" si="61"/>
        <v>100</v>
      </c>
      <c r="R357" s="21" t="s">
        <v>40</v>
      </c>
      <c r="S357" s="8" t="s">
        <v>272</v>
      </c>
      <c r="T357" s="7" t="s">
        <v>226</v>
      </c>
    </row>
    <row r="358" spans="1:20" ht="28">
      <c r="A358" s="81" t="s">
        <v>550</v>
      </c>
      <c r="B358" s="79" t="s">
        <v>613</v>
      </c>
      <c r="C358" s="5"/>
      <c r="D358" s="5" t="s">
        <v>270</v>
      </c>
      <c r="E358" s="132">
        <f t="shared" si="64"/>
        <v>41.03</v>
      </c>
      <c r="F358" s="139">
        <f>$O$361-P358*($O$361-$O$354)</f>
        <v>37.71</v>
      </c>
      <c r="G358" s="149"/>
      <c r="H358" s="82" t="str">
        <f t="shared" si="58"/>
        <v>0 percent up in Bartonian international stage</v>
      </c>
      <c r="I358" s="142" t="str">
        <f t="shared" si="59"/>
        <v>100 percent up in Bartonian international stage</v>
      </c>
      <c r="J358" s="7">
        <v>0</v>
      </c>
      <c r="K358" s="129">
        <f t="shared" si="60"/>
        <v>0</v>
      </c>
      <c r="L358" s="8" t="s">
        <v>40</v>
      </c>
      <c r="M358" s="5" t="s">
        <v>82</v>
      </c>
      <c r="N358" s="5" t="s">
        <v>82</v>
      </c>
      <c r="O358" s="83"/>
      <c r="P358" s="20">
        <v>1</v>
      </c>
      <c r="Q358" s="143">
        <f t="shared" si="61"/>
        <v>100</v>
      </c>
      <c r="R358" s="21" t="s">
        <v>40</v>
      </c>
      <c r="S358" s="8" t="s">
        <v>232</v>
      </c>
      <c r="T358" s="7" t="s">
        <v>226</v>
      </c>
    </row>
    <row r="359" spans="1:20" ht="28">
      <c r="A359" s="81" t="s">
        <v>550</v>
      </c>
      <c r="B359" s="76" t="s">
        <v>614</v>
      </c>
      <c r="C359" s="5"/>
      <c r="D359" s="5" t="s">
        <v>270</v>
      </c>
      <c r="E359" s="132">
        <f t="shared" si="64"/>
        <v>41.03</v>
      </c>
      <c r="F359" s="139">
        <f>$O$361-P359*($O$361-$O$354)</f>
        <v>39.369999999999997</v>
      </c>
      <c r="G359" s="149"/>
      <c r="H359" s="82" t="str">
        <f t="shared" si="58"/>
        <v>0 percent up in Bartonian international stage</v>
      </c>
      <c r="I359" s="142" t="str">
        <f t="shared" si="59"/>
        <v>50 percent up in Bartonian international stage</v>
      </c>
      <c r="J359" s="7">
        <v>0</v>
      </c>
      <c r="K359" s="129">
        <f t="shared" si="60"/>
        <v>0</v>
      </c>
      <c r="L359" s="8" t="s">
        <v>40</v>
      </c>
      <c r="M359" s="5" t="s">
        <v>82</v>
      </c>
      <c r="N359" s="5" t="s">
        <v>82</v>
      </c>
      <c r="O359" s="83"/>
      <c r="P359" s="20">
        <v>0.50000000000000111</v>
      </c>
      <c r="Q359" s="143">
        <f t="shared" si="61"/>
        <v>50</v>
      </c>
      <c r="R359" s="21" t="s">
        <v>40</v>
      </c>
      <c r="S359" s="8" t="s">
        <v>230</v>
      </c>
      <c r="T359" s="7" t="s">
        <v>226</v>
      </c>
    </row>
    <row r="360" spans="1:20" ht="28">
      <c r="A360" s="81" t="s">
        <v>550</v>
      </c>
      <c r="B360" s="75" t="s">
        <v>615</v>
      </c>
      <c r="C360" s="5"/>
      <c r="D360" s="5" t="s">
        <v>554</v>
      </c>
      <c r="E360" s="132">
        <f t="shared" si="64"/>
        <v>41.03</v>
      </c>
      <c r="F360" s="139">
        <f>$O$361-P360*($O$361-$O$354)</f>
        <v>37.71</v>
      </c>
      <c r="G360" s="149"/>
      <c r="H360" s="82" t="str">
        <f t="shared" si="58"/>
        <v>0 percent up in Bartonian international stage</v>
      </c>
      <c r="I360" s="142" t="str">
        <f t="shared" si="59"/>
        <v>100 percent up in Bartonian international stage</v>
      </c>
      <c r="J360" s="7">
        <v>0</v>
      </c>
      <c r="K360" s="129">
        <f t="shared" si="60"/>
        <v>0</v>
      </c>
      <c r="L360" s="8" t="s">
        <v>40</v>
      </c>
      <c r="M360" s="5" t="s">
        <v>82</v>
      </c>
      <c r="N360" s="5" t="s">
        <v>82</v>
      </c>
      <c r="O360" s="83"/>
      <c r="P360" s="20">
        <v>1</v>
      </c>
      <c r="Q360" s="143">
        <f t="shared" si="61"/>
        <v>100</v>
      </c>
      <c r="R360" s="21" t="s">
        <v>40</v>
      </c>
      <c r="S360" s="8" t="s">
        <v>232</v>
      </c>
      <c r="T360" s="7" t="s">
        <v>226</v>
      </c>
    </row>
    <row r="361" spans="1:20" ht="28">
      <c r="A361" s="81" t="s">
        <v>550</v>
      </c>
      <c r="B361" s="76" t="s">
        <v>40</v>
      </c>
      <c r="C361" s="134"/>
      <c r="D361" s="134" t="s">
        <v>222</v>
      </c>
      <c r="E361" s="132">
        <f t="shared" si="64"/>
        <v>41.03</v>
      </c>
      <c r="F361" s="139">
        <f>$O$361-P361*($O$361-$O$354)</f>
        <v>37.71</v>
      </c>
      <c r="G361" s="149"/>
      <c r="H361" s="82" t="str">
        <f t="shared" si="58"/>
        <v>0 percent up in Bartonian international stage</v>
      </c>
      <c r="I361" s="142" t="str">
        <f t="shared" si="59"/>
        <v>100 percent up in Bartonian international stage</v>
      </c>
      <c r="J361" s="7">
        <v>0</v>
      </c>
      <c r="K361" s="129">
        <f t="shared" si="60"/>
        <v>0</v>
      </c>
      <c r="L361" s="8" t="s">
        <v>40</v>
      </c>
      <c r="M361" s="5" t="s">
        <v>224</v>
      </c>
      <c r="N361" s="5" t="s">
        <v>616</v>
      </c>
      <c r="O361" s="84">
        <f>Master_Chronostrat!I23</f>
        <v>41.03</v>
      </c>
      <c r="P361" s="20">
        <v>1</v>
      </c>
      <c r="Q361" s="143">
        <f t="shared" si="61"/>
        <v>100</v>
      </c>
      <c r="R361" s="21" t="s">
        <v>40</v>
      </c>
      <c r="S361" s="8" t="s">
        <v>224</v>
      </c>
      <c r="T361" s="7" t="s">
        <v>226</v>
      </c>
    </row>
    <row r="362" spans="1:20" ht="28">
      <c r="A362" s="81" t="s">
        <v>550</v>
      </c>
      <c r="B362" s="75" t="s">
        <v>617</v>
      </c>
      <c r="C362" s="5"/>
      <c r="D362" s="5" t="s">
        <v>322</v>
      </c>
      <c r="E362" s="132">
        <f t="shared" ref="E362:E382" si="65">$O$382-J362*($O$382-$O$361)</f>
        <v>42.403795121951219</v>
      </c>
      <c r="F362" s="139">
        <f>$O$354-P362*($O$354-$O$337)</f>
        <v>36.326319999999996</v>
      </c>
      <c r="G362" s="149"/>
      <c r="H362" s="82" t="str">
        <f t="shared" si="58"/>
        <v>80.5 percent up in Lutetian international stage</v>
      </c>
      <c r="I362" s="142" t="str">
        <f t="shared" si="59"/>
        <v>36.4 percent up in Priabonian international stage</v>
      </c>
      <c r="J362" s="7">
        <v>0.80487804878048763</v>
      </c>
      <c r="K362" s="129">
        <f t="shared" si="60"/>
        <v>80.5</v>
      </c>
      <c r="L362" s="8" t="s">
        <v>41</v>
      </c>
      <c r="M362" s="5" t="s">
        <v>82</v>
      </c>
      <c r="N362" s="5" t="s">
        <v>82</v>
      </c>
      <c r="O362" s="83"/>
      <c r="P362" s="20">
        <v>0.36363636363636404</v>
      </c>
      <c r="Q362" s="143">
        <f t="shared" si="61"/>
        <v>36.4</v>
      </c>
      <c r="R362" s="21" t="s">
        <v>39</v>
      </c>
      <c r="S362" s="8" t="s">
        <v>246</v>
      </c>
      <c r="T362" s="7" t="s">
        <v>226</v>
      </c>
    </row>
    <row r="363" spans="1:20" ht="28">
      <c r="A363" s="81" t="s">
        <v>550</v>
      </c>
      <c r="B363" s="75" t="s">
        <v>618</v>
      </c>
      <c r="C363" s="5"/>
      <c r="D363" s="5" t="s">
        <v>264</v>
      </c>
      <c r="E363" s="132">
        <f t="shared" si="65"/>
        <v>43.004830487804881</v>
      </c>
      <c r="F363" s="139">
        <f>$O$361-P363*($O$361-$O$354)</f>
        <v>37.71</v>
      </c>
      <c r="G363" s="149"/>
      <c r="H363" s="82" t="str">
        <f t="shared" si="58"/>
        <v>72 percent up in Lutetian international stage</v>
      </c>
      <c r="I363" s="142" t="str">
        <f t="shared" si="59"/>
        <v>100 percent up in Bartonian international stage</v>
      </c>
      <c r="J363" s="7">
        <v>0.71951219512195075</v>
      </c>
      <c r="K363" s="129">
        <f t="shared" si="60"/>
        <v>72</v>
      </c>
      <c r="L363" s="8" t="s">
        <v>41</v>
      </c>
      <c r="M363" s="5" t="s">
        <v>82</v>
      </c>
      <c r="N363" s="5" t="s">
        <v>82</v>
      </c>
      <c r="O363" s="83"/>
      <c r="P363" s="20">
        <v>1</v>
      </c>
      <c r="Q363" s="143">
        <f t="shared" si="61"/>
        <v>100</v>
      </c>
      <c r="R363" s="21" t="s">
        <v>40</v>
      </c>
      <c r="S363" s="8" t="s">
        <v>246</v>
      </c>
      <c r="T363" s="7" t="s">
        <v>226</v>
      </c>
    </row>
    <row r="364" spans="1:20" ht="28">
      <c r="A364" s="81" t="s">
        <v>550</v>
      </c>
      <c r="B364" s="76" t="s">
        <v>619</v>
      </c>
      <c r="C364" s="5"/>
      <c r="D364" s="5" t="s">
        <v>270</v>
      </c>
      <c r="E364" s="132">
        <f t="shared" si="65"/>
        <v>43.94931463414634</v>
      </c>
      <c r="F364" s="139">
        <f>$O$382-P364*($O$382-$O$361)</f>
        <v>41.03</v>
      </c>
      <c r="G364" s="149"/>
      <c r="H364" s="82" t="str">
        <f t="shared" si="58"/>
        <v>58.5 percent up in Lutetian international stage</v>
      </c>
      <c r="I364" s="142" t="str">
        <f t="shared" si="59"/>
        <v>100 percent up in Lutetian international stage</v>
      </c>
      <c r="J364" s="7">
        <v>0.58536585365853688</v>
      </c>
      <c r="K364" s="129">
        <f t="shared" si="60"/>
        <v>58.5</v>
      </c>
      <c r="L364" s="8" t="s">
        <v>41</v>
      </c>
      <c r="M364" s="5" t="s">
        <v>82</v>
      </c>
      <c r="N364" s="5" t="s">
        <v>82</v>
      </c>
      <c r="O364" s="83"/>
      <c r="P364" s="20">
        <v>1</v>
      </c>
      <c r="Q364" s="143">
        <f t="shared" si="61"/>
        <v>100</v>
      </c>
      <c r="R364" s="21" t="s">
        <v>41</v>
      </c>
      <c r="S364" s="8" t="s">
        <v>272</v>
      </c>
      <c r="T364" s="7" t="s">
        <v>226</v>
      </c>
    </row>
    <row r="365" spans="1:20" ht="28">
      <c r="A365" s="81" t="s">
        <v>550</v>
      </c>
      <c r="B365" s="76" t="s">
        <v>620</v>
      </c>
      <c r="C365" s="5"/>
      <c r="D365" s="5" t="s">
        <v>236</v>
      </c>
      <c r="E365" s="132">
        <f t="shared" si="65"/>
        <v>44.121039024390242</v>
      </c>
      <c r="F365" s="139">
        <f>$O$361-P365*($O$361-$O$354)</f>
        <v>40.615000000000002</v>
      </c>
      <c r="G365" s="149"/>
      <c r="H365" s="82" t="str">
        <f t="shared" si="58"/>
        <v>56.1 percent up in Lutetian international stage</v>
      </c>
      <c r="I365" s="142" t="str">
        <f t="shared" si="59"/>
        <v>12.5 percent up in Bartonian international stage</v>
      </c>
      <c r="J365" s="7">
        <v>0.56097560975609762</v>
      </c>
      <c r="K365" s="129">
        <f t="shared" si="60"/>
        <v>56.1</v>
      </c>
      <c r="L365" s="8" t="s">
        <v>41</v>
      </c>
      <c r="M365" s="5" t="s">
        <v>82</v>
      </c>
      <c r="N365" s="5" t="s">
        <v>82</v>
      </c>
      <c r="O365" s="83"/>
      <c r="P365" s="20">
        <v>0.12499999999999972</v>
      </c>
      <c r="Q365" s="143">
        <f t="shared" si="61"/>
        <v>12.5</v>
      </c>
      <c r="R365" s="21" t="s">
        <v>40</v>
      </c>
      <c r="S365" s="8" t="s">
        <v>246</v>
      </c>
      <c r="T365" s="7" t="s">
        <v>226</v>
      </c>
    </row>
    <row r="366" spans="1:20" ht="28">
      <c r="A366" s="81" t="s">
        <v>550</v>
      </c>
      <c r="B366" s="75" t="s">
        <v>621</v>
      </c>
      <c r="C366" s="5"/>
      <c r="D366" s="5" t="s">
        <v>554</v>
      </c>
      <c r="E366" s="132">
        <f t="shared" si="65"/>
        <v>44.782177926829263</v>
      </c>
      <c r="F366" s="139">
        <f>$O$278-P366*($O$278-$O$259)</f>
        <v>19.62</v>
      </c>
      <c r="G366" s="149"/>
      <c r="H366" s="82" t="str">
        <f t="shared" si="58"/>
        <v>46.7 percent up in Lutetian international stage</v>
      </c>
      <c r="I366" s="142" t="str">
        <f t="shared" si="59"/>
        <v>18.6 percent up in Burdigalian international stage</v>
      </c>
      <c r="J366" s="7">
        <v>0.46707317073170784</v>
      </c>
      <c r="K366" s="129">
        <f t="shared" si="60"/>
        <v>46.7</v>
      </c>
      <c r="L366" s="8" t="s">
        <v>41</v>
      </c>
      <c r="M366" s="5" t="s">
        <v>82</v>
      </c>
      <c r="N366" s="5" t="s">
        <v>82</v>
      </c>
      <c r="O366" s="83"/>
      <c r="P366" s="20">
        <v>0.18609865470851983</v>
      </c>
      <c r="Q366" s="143">
        <f t="shared" si="61"/>
        <v>18.600000000000001</v>
      </c>
      <c r="R366" s="21" t="s">
        <v>32</v>
      </c>
      <c r="S366" s="8" t="s">
        <v>246</v>
      </c>
      <c r="T366" s="7" t="s">
        <v>226</v>
      </c>
    </row>
    <row r="367" spans="1:20" ht="28">
      <c r="A367" s="81" t="s">
        <v>550</v>
      </c>
      <c r="B367" s="76" t="s">
        <v>622</v>
      </c>
      <c r="C367" s="5"/>
      <c r="D367" s="5" t="s">
        <v>244</v>
      </c>
      <c r="E367" s="132">
        <f t="shared" si="65"/>
        <v>45.323109756097558</v>
      </c>
      <c r="F367" s="139">
        <f>$O$361-P367*($O$361-$O$354)</f>
        <v>40.615000000000002</v>
      </c>
      <c r="G367" s="149"/>
      <c r="H367" s="82" t="str">
        <f t="shared" si="58"/>
        <v>39 percent up in Lutetian international stage</v>
      </c>
      <c r="I367" s="142" t="str">
        <f t="shared" si="59"/>
        <v>12.5 percent up in Bartonian international stage</v>
      </c>
      <c r="J367" s="7">
        <v>0.39024390243902463</v>
      </c>
      <c r="K367" s="129">
        <f t="shared" si="60"/>
        <v>39</v>
      </c>
      <c r="L367" s="8" t="s">
        <v>41</v>
      </c>
      <c r="M367" s="5" t="s">
        <v>82</v>
      </c>
      <c r="N367" s="5" t="s">
        <v>82</v>
      </c>
      <c r="O367" s="83"/>
      <c r="P367" s="20">
        <v>0.12499999999999972</v>
      </c>
      <c r="Q367" s="143">
        <f t="shared" si="61"/>
        <v>12.5</v>
      </c>
      <c r="R367" s="21" t="s">
        <v>40</v>
      </c>
      <c r="S367" s="8" t="s">
        <v>246</v>
      </c>
      <c r="T367" s="7" t="s">
        <v>226</v>
      </c>
    </row>
    <row r="368" spans="1:20" ht="28">
      <c r="A368" s="81" t="s">
        <v>550</v>
      </c>
      <c r="B368" s="75" t="s">
        <v>623</v>
      </c>
      <c r="C368" s="5"/>
      <c r="D368" s="5" t="s">
        <v>554</v>
      </c>
      <c r="E368" s="132">
        <f t="shared" si="65"/>
        <v>46.010007317073175</v>
      </c>
      <c r="F368" s="139">
        <f>$O$382-P368*($O$382-$O$361)</f>
        <v>41.03</v>
      </c>
      <c r="G368" s="149"/>
      <c r="H368" s="82" t="str">
        <f t="shared" si="58"/>
        <v>29.3 percent up in Lutetian international stage</v>
      </c>
      <c r="I368" s="142" t="str">
        <f t="shared" si="59"/>
        <v>100 percent up in Lutetian international stage</v>
      </c>
      <c r="J368" s="7">
        <v>0.292682926829268</v>
      </c>
      <c r="K368" s="129">
        <f t="shared" si="60"/>
        <v>29.3</v>
      </c>
      <c r="L368" s="8" t="s">
        <v>41</v>
      </c>
      <c r="M368" s="5" t="s">
        <v>82</v>
      </c>
      <c r="N368" s="5" t="s">
        <v>82</v>
      </c>
      <c r="O368" s="83"/>
      <c r="P368" s="20">
        <v>1</v>
      </c>
      <c r="Q368" s="143">
        <f t="shared" si="61"/>
        <v>100</v>
      </c>
      <c r="R368" s="21" t="s">
        <v>41</v>
      </c>
      <c r="S368" s="8" t="s">
        <v>272</v>
      </c>
      <c r="T368" s="7" t="s">
        <v>226</v>
      </c>
    </row>
    <row r="369" spans="1:20" ht="28">
      <c r="A369" s="81" t="s">
        <v>550</v>
      </c>
      <c r="B369" s="76" t="s">
        <v>624</v>
      </c>
      <c r="C369" s="5"/>
      <c r="D369" s="5" t="s">
        <v>236</v>
      </c>
      <c r="E369" s="132">
        <f t="shared" si="65"/>
        <v>46.696904878048784</v>
      </c>
      <c r="F369" s="139">
        <f>$O$382-P369*($O$382-$O$361)</f>
        <v>44.121039024390242</v>
      </c>
      <c r="G369" s="149"/>
      <c r="H369" s="82" t="str">
        <f t="shared" si="58"/>
        <v>19.5 percent up in Lutetian international stage</v>
      </c>
      <c r="I369" s="142" t="str">
        <f t="shared" si="59"/>
        <v>56.1 percent up in Lutetian international stage</v>
      </c>
      <c r="J369" s="7">
        <v>0.19512195121951226</v>
      </c>
      <c r="K369" s="129">
        <f t="shared" si="60"/>
        <v>19.5</v>
      </c>
      <c r="L369" s="8" t="s">
        <v>41</v>
      </c>
      <c r="M369" s="5" t="s">
        <v>82</v>
      </c>
      <c r="N369" s="5" t="s">
        <v>82</v>
      </c>
      <c r="O369" s="83"/>
      <c r="P369" s="20">
        <v>0.5609756097560975</v>
      </c>
      <c r="Q369" s="143">
        <f t="shared" si="61"/>
        <v>56.1</v>
      </c>
      <c r="R369" s="21" t="s">
        <v>41</v>
      </c>
      <c r="S369" s="8" t="s">
        <v>259</v>
      </c>
      <c r="T369" s="7">
        <v>0.36585365853658453</v>
      </c>
    </row>
    <row r="370" spans="1:20" ht="28">
      <c r="A370" s="81" t="s">
        <v>550</v>
      </c>
      <c r="B370" s="76" t="s">
        <v>625</v>
      </c>
      <c r="C370" s="5"/>
      <c r="D370" s="5" t="s">
        <v>270</v>
      </c>
      <c r="E370" s="132">
        <f t="shared" si="65"/>
        <v>46.868629268292686</v>
      </c>
      <c r="F370" s="139">
        <f>$O$382-P370*($O$382-$O$361)</f>
        <v>43.94931463414634</v>
      </c>
      <c r="G370" s="149"/>
      <c r="H370" s="82" t="str">
        <f t="shared" si="58"/>
        <v>17.1 percent up in Lutetian international stage</v>
      </c>
      <c r="I370" s="142" t="str">
        <f t="shared" si="59"/>
        <v>58.5 percent up in Lutetian international stage</v>
      </c>
      <c r="J370" s="7">
        <v>0.17073170731707299</v>
      </c>
      <c r="K370" s="129">
        <f t="shared" si="60"/>
        <v>17.100000000000001</v>
      </c>
      <c r="L370" s="8" t="s">
        <v>41</v>
      </c>
      <c r="M370" s="5" t="s">
        <v>82</v>
      </c>
      <c r="N370" s="5" t="s">
        <v>82</v>
      </c>
      <c r="O370" s="83"/>
      <c r="P370" s="20">
        <v>0.58536585365853688</v>
      </c>
      <c r="Q370" s="143">
        <f t="shared" si="61"/>
        <v>58.5</v>
      </c>
      <c r="R370" s="21" t="s">
        <v>41</v>
      </c>
      <c r="S370" s="8" t="s">
        <v>259</v>
      </c>
      <c r="T370" s="7">
        <v>0.41463414634146345</v>
      </c>
    </row>
    <row r="371" spans="1:20" ht="28">
      <c r="A371" s="81" t="s">
        <v>550</v>
      </c>
      <c r="B371" s="75" t="s">
        <v>626</v>
      </c>
      <c r="C371" s="5"/>
      <c r="D371" s="5" t="s">
        <v>322</v>
      </c>
      <c r="E371" s="132">
        <f t="shared" si="65"/>
        <v>47.555526829268295</v>
      </c>
      <c r="F371" s="139">
        <f>$O$382-P371*($O$382-$O$361)</f>
        <v>42.403795121951219</v>
      </c>
      <c r="G371" s="149"/>
      <c r="H371" s="82" t="str">
        <f t="shared" si="58"/>
        <v>7.3 percent up in Lutetian international stage</v>
      </c>
      <c r="I371" s="142" t="str">
        <f t="shared" si="59"/>
        <v>80.5 percent up in Lutetian international stage</v>
      </c>
      <c r="J371" s="7">
        <v>7.3170731707317249E-2</v>
      </c>
      <c r="K371" s="129">
        <f t="shared" si="60"/>
        <v>7.3</v>
      </c>
      <c r="L371" s="8" t="s">
        <v>41</v>
      </c>
      <c r="M371" s="5" t="s">
        <v>82</v>
      </c>
      <c r="N371" s="5" t="s">
        <v>82</v>
      </c>
      <c r="O371" s="83"/>
      <c r="P371" s="20">
        <v>0.80487804878048774</v>
      </c>
      <c r="Q371" s="143">
        <f t="shared" si="61"/>
        <v>80.5</v>
      </c>
      <c r="R371" s="21" t="s">
        <v>41</v>
      </c>
      <c r="S371" s="8" t="s">
        <v>259</v>
      </c>
      <c r="T371" s="7">
        <v>0.73170731707317016</v>
      </c>
    </row>
    <row r="372" spans="1:20" ht="28">
      <c r="A372" s="81" t="s">
        <v>550</v>
      </c>
      <c r="B372" s="75" t="s">
        <v>627</v>
      </c>
      <c r="C372" s="5"/>
      <c r="D372" s="5" t="s">
        <v>234</v>
      </c>
      <c r="E372" s="132">
        <f t="shared" si="65"/>
        <v>47.555526829268295</v>
      </c>
      <c r="F372" s="139">
        <f>$O$354-P372*($O$354-$O$337)</f>
        <v>35.173253333333335</v>
      </c>
      <c r="G372" s="149"/>
      <c r="H372" s="82" t="str">
        <f t="shared" si="58"/>
        <v>7.3 percent up in Lutetian international stage</v>
      </c>
      <c r="I372" s="142" t="str">
        <f t="shared" si="59"/>
        <v>66.7 percent up in Priabonian international stage</v>
      </c>
      <c r="J372" s="7">
        <v>7.3170731707317249E-2</v>
      </c>
      <c r="K372" s="129">
        <f t="shared" si="60"/>
        <v>7.3</v>
      </c>
      <c r="L372" s="8" t="s">
        <v>41</v>
      </c>
      <c r="M372" s="5" t="s">
        <v>82</v>
      </c>
      <c r="N372" s="5" t="s">
        <v>82</v>
      </c>
      <c r="O372" s="83"/>
      <c r="P372" s="20">
        <v>0.66666666666666663</v>
      </c>
      <c r="Q372" s="143">
        <f t="shared" si="61"/>
        <v>66.7</v>
      </c>
      <c r="R372" s="21" t="s">
        <v>39</v>
      </c>
      <c r="S372" s="8" t="s">
        <v>246</v>
      </c>
      <c r="T372" s="7" t="s">
        <v>226</v>
      </c>
    </row>
    <row r="373" spans="1:20" ht="28">
      <c r="A373" s="81" t="s">
        <v>550</v>
      </c>
      <c r="B373" s="76" t="s">
        <v>628</v>
      </c>
      <c r="C373" s="5"/>
      <c r="D373" s="5" t="s">
        <v>234</v>
      </c>
      <c r="E373" s="132">
        <f t="shared" si="65"/>
        <v>47.555526829268295</v>
      </c>
      <c r="F373" s="139">
        <f>$O$354-P373*($O$354-$O$337)</f>
        <v>35.173253333333335</v>
      </c>
      <c r="G373" s="149"/>
      <c r="H373" s="82" t="str">
        <f t="shared" si="58"/>
        <v>7.3 percent up in Lutetian international stage</v>
      </c>
      <c r="I373" s="142" t="str">
        <f t="shared" si="59"/>
        <v>66.7 percent up in Priabonian international stage</v>
      </c>
      <c r="J373" s="7">
        <v>7.3170731707317249E-2</v>
      </c>
      <c r="K373" s="129">
        <f t="shared" si="60"/>
        <v>7.3</v>
      </c>
      <c r="L373" s="8" t="s">
        <v>41</v>
      </c>
      <c r="M373" s="5" t="s">
        <v>82</v>
      </c>
      <c r="N373" s="5" t="s">
        <v>82</v>
      </c>
      <c r="O373" s="83"/>
      <c r="P373" s="20">
        <v>0.66666666666666663</v>
      </c>
      <c r="Q373" s="143">
        <f t="shared" si="61"/>
        <v>66.7</v>
      </c>
      <c r="R373" s="21" t="s">
        <v>39</v>
      </c>
      <c r="S373" s="8" t="s">
        <v>246</v>
      </c>
      <c r="T373" s="7" t="s">
        <v>226</v>
      </c>
    </row>
    <row r="374" spans="1:20" ht="28">
      <c r="A374" s="81" t="s">
        <v>550</v>
      </c>
      <c r="B374" s="75" t="s">
        <v>629</v>
      </c>
      <c r="C374" s="5"/>
      <c r="D374" s="5" t="s">
        <v>264</v>
      </c>
      <c r="E374" s="132">
        <f t="shared" si="65"/>
        <v>47.984837804878048</v>
      </c>
      <c r="F374" s="139">
        <f>$O$382-P374*($O$382-$O$361)</f>
        <v>43.004830487804881</v>
      </c>
      <c r="G374" s="149"/>
      <c r="H374" s="82" t="str">
        <f t="shared" si="58"/>
        <v>1.2 percent up in Lutetian international stage</v>
      </c>
      <c r="I374" s="142" t="str">
        <f t="shared" si="59"/>
        <v>72 percent up in Lutetian international stage</v>
      </c>
      <c r="J374" s="7">
        <v>1.2195121951219634E-2</v>
      </c>
      <c r="K374" s="129">
        <f t="shared" si="60"/>
        <v>1.2</v>
      </c>
      <c r="L374" s="8" t="s">
        <v>41</v>
      </c>
      <c r="M374" s="5" t="s">
        <v>82</v>
      </c>
      <c r="N374" s="5" t="s">
        <v>82</v>
      </c>
      <c r="O374" s="83"/>
      <c r="P374" s="20">
        <v>0.71951219512195075</v>
      </c>
      <c r="Q374" s="143">
        <f t="shared" si="61"/>
        <v>72</v>
      </c>
      <c r="R374" s="21" t="s">
        <v>41</v>
      </c>
      <c r="S374" s="8" t="s">
        <v>259</v>
      </c>
      <c r="T374" s="7">
        <v>0.70731707317073178</v>
      </c>
    </row>
    <row r="375" spans="1:20" ht="28">
      <c r="A375" s="81" t="s">
        <v>550</v>
      </c>
      <c r="B375" s="75" t="s">
        <v>630</v>
      </c>
      <c r="C375" s="5"/>
      <c r="D375" s="5" t="s">
        <v>236</v>
      </c>
      <c r="E375" s="132">
        <f t="shared" si="65"/>
        <v>48.070700000000002</v>
      </c>
      <c r="F375" s="139">
        <f>$O$354-P375*($O$354-$O$337)</f>
        <v>33.904879999999999</v>
      </c>
      <c r="G375" s="149"/>
      <c r="H375" s="82" t="str">
        <f t="shared" si="58"/>
        <v>0 percent up in Lutetian international stage</v>
      </c>
      <c r="I375" s="142" t="str">
        <f t="shared" si="59"/>
        <v>100 percent up in Priabonian international stage</v>
      </c>
      <c r="J375" s="7">
        <v>0</v>
      </c>
      <c r="K375" s="129">
        <f t="shared" si="60"/>
        <v>0</v>
      </c>
      <c r="L375" s="8" t="s">
        <v>41</v>
      </c>
      <c r="M375" s="5" t="s">
        <v>82</v>
      </c>
      <c r="N375" s="5" t="s">
        <v>82</v>
      </c>
      <c r="O375" s="83"/>
      <c r="P375" s="20">
        <v>1</v>
      </c>
      <c r="Q375" s="143">
        <f t="shared" si="61"/>
        <v>100</v>
      </c>
      <c r="R375" s="21" t="s">
        <v>39</v>
      </c>
      <c r="S375" s="8" t="s">
        <v>232</v>
      </c>
      <c r="T375" s="7" t="s">
        <v>226</v>
      </c>
    </row>
    <row r="376" spans="1:20" ht="28">
      <c r="A376" s="81" t="s">
        <v>550</v>
      </c>
      <c r="B376" s="76" t="s">
        <v>631</v>
      </c>
      <c r="C376" s="5"/>
      <c r="D376" s="5" t="s">
        <v>270</v>
      </c>
      <c r="E376" s="132">
        <f t="shared" si="65"/>
        <v>48.070700000000002</v>
      </c>
      <c r="F376" s="139">
        <f>$O$361-P376*($O$361-$O$354)</f>
        <v>37.71</v>
      </c>
      <c r="G376" s="149"/>
      <c r="H376" s="82" t="str">
        <f t="shared" si="58"/>
        <v>0 percent up in Lutetian international stage</v>
      </c>
      <c r="I376" s="142" t="str">
        <f t="shared" si="59"/>
        <v>100 percent up in Bartonian international stage</v>
      </c>
      <c r="J376" s="7">
        <v>0</v>
      </c>
      <c r="K376" s="129">
        <f t="shared" si="60"/>
        <v>0</v>
      </c>
      <c r="L376" s="8" t="s">
        <v>41</v>
      </c>
      <c r="M376" s="5" t="s">
        <v>82</v>
      </c>
      <c r="N376" s="5" t="s">
        <v>82</v>
      </c>
      <c r="O376" s="83"/>
      <c r="P376" s="20">
        <v>1</v>
      </c>
      <c r="Q376" s="143">
        <f t="shared" si="61"/>
        <v>100</v>
      </c>
      <c r="R376" s="21" t="s">
        <v>40</v>
      </c>
      <c r="S376" s="8" t="s">
        <v>232</v>
      </c>
      <c r="T376" s="7" t="s">
        <v>226</v>
      </c>
    </row>
    <row r="377" spans="1:20" ht="28">
      <c r="A377" s="81" t="s">
        <v>550</v>
      </c>
      <c r="B377" s="76" t="s">
        <v>632</v>
      </c>
      <c r="C377" s="5"/>
      <c r="D377" s="5" t="s">
        <v>270</v>
      </c>
      <c r="E377" s="132">
        <f t="shared" si="65"/>
        <v>48.070700000000002</v>
      </c>
      <c r="F377" s="139">
        <f>$O$382-P377*($O$382-$O$361)</f>
        <v>46.868629268292686</v>
      </c>
      <c r="G377" s="149"/>
      <c r="H377" s="82" t="str">
        <f t="shared" si="58"/>
        <v>0 percent up in Lutetian international stage</v>
      </c>
      <c r="I377" s="142" t="str">
        <f t="shared" si="59"/>
        <v>17.1 percent up in Lutetian international stage</v>
      </c>
      <c r="J377" s="7">
        <v>0</v>
      </c>
      <c r="K377" s="129">
        <f t="shared" si="60"/>
        <v>0</v>
      </c>
      <c r="L377" s="8" t="s">
        <v>41</v>
      </c>
      <c r="M377" s="5" t="s">
        <v>82</v>
      </c>
      <c r="N377" s="5" t="s">
        <v>82</v>
      </c>
      <c r="O377" s="83"/>
      <c r="P377" s="20">
        <v>0.17073170731707293</v>
      </c>
      <c r="Q377" s="143">
        <f t="shared" si="61"/>
        <v>17.100000000000001</v>
      </c>
      <c r="R377" s="21" t="s">
        <v>41</v>
      </c>
      <c r="S377" s="8" t="s">
        <v>230</v>
      </c>
      <c r="T377" s="7" t="s">
        <v>226</v>
      </c>
    </row>
    <row r="378" spans="1:20" ht="28">
      <c r="A378" s="81" t="s">
        <v>550</v>
      </c>
      <c r="B378" s="76" t="s">
        <v>633</v>
      </c>
      <c r="C378" s="5"/>
      <c r="D378" s="5" t="s">
        <v>82</v>
      </c>
      <c r="E378" s="132">
        <f t="shared" si="65"/>
        <v>48.070700000000002</v>
      </c>
      <c r="F378" s="139">
        <f>$O$361-P378*($O$361-$O$354)</f>
        <v>37.71</v>
      </c>
      <c r="G378" s="149"/>
      <c r="H378" s="82" t="str">
        <f t="shared" si="58"/>
        <v>0 percent up in Lutetian international stage</v>
      </c>
      <c r="I378" s="142" t="str">
        <f t="shared" si="59"/>
        <v>100 percent up in Bartonian international stage</v>
      </c>
      <c r="J378" s="7">
        <v>0</v>
      </c>
      <c r="K378" s="129">
        <f t="shared" si="60"/>
        <v>0</v>
      </c>
      <c r="L378" s="8" t="s">
        <v>41</v>
      </c>
      <c r="M378" s="5" t="s">
        <v>82</v>
      </c>
      <c r="N378" s="5" t="s">
        <v>82</v>
      </c>
      <c r="O378" s="83"/>
      <c r="P378" s="20">
        <v>1</v>
      </c>
      <c r="Q378" s="143">
        <f t="shared" si="61"/>
        <v>100</v>
      </c>
      <c r="R378" s="21" t="s">
        <v>40</v>
      </c>
      <c r="S378" s="8" t="s">
        <v>232</v>
      </c>
      <c r="T378" s="7" t="s">
        <v>226</v>
      </c>
    </row>
    <row r="379" spans="1:20" ht="28">
      <c r="A379" s="81"/>
      <c r="B379" s="76" t="s">
        <v>2158</v>
      </c>
      <c r="C379" s="5"/>
      <c r="D379" s="5"/>
      <c r="E379" s="132">
        <f t="shared" si="65"/>
        <v>44.550350000000002</v>
      </c>
      <c r="F379" s="139">
        <f>$O$382-P379*($O$382-$O$361)</f>
        <v>41.03</v>
      </c>
      <c r="G379" s="149"/>
      <c r="H379" s="82" t="str">
        <f t="shared" si="58"/>
        <v>50 percent up in Lutetian international stage</v>
      </c>
      <c r="I379" s="142" t="str">
        <f t="shared" si="59"/>
        <v>100 percent up in Lutetian international stage</v>
      </c>
      <c r="J379" s="7">
        <v>0.5</v>
      </c>
      <c r="K379" s="129">
        <f t="shared" si="60"/>
        <v>50</v>
      </c>
      <c r="L379" s="8" t="s">
        <v>41</v>
      </c>
      <c r="M379" s="5"/>
      <c r="O379" s="83"/>
      <c r="P379" s="20">
        <v>1</v>
      </c>
      <c r="Q379" s="143">
        <f t="shared" ref="Q379:Q380" si="66">ROUND(P379*100,1)</f>
        <v>100</v>
      </c>
      <c r="R379" s="21" t="s">
        <v>41</v>
      </c>
      <c r="S379" s="8"/>
    </row>
    <row r="380" spans="1:20" ht="28">
      <c r="A380" s="81"/>
      <c r="B380" s="76" t="s">
        <v>2159</v>
      </c>
      <c r="C380" s="5"/>
      <c r="D380" s="5"/>
      <c r="E380" s="132">
        <f t="shared" ref="E380" si="67">$O$382-J380*($O$382-$O$361)</f>
        <v>48.070700000000002</v>
      </c>
      <c r="F380" s="139">
        <f>$O$382-P380*($O$382-$O$361)</f>
        <v>44.550350000000002</v>
      </c>
      <c r="G380" s="149"/>
      <c r="H380" s="82" t="str">
        <f t="shared" ref="H380" si="68">CONCATENATE(K380," percent up in ",L380," international stage")</f>
        <v>0 percent up in Lutetian international stage</v>
      </c>
      <c r="I380" s="142" t="str">
        <f t="shared" ref="I380" si="69">CONCATENATE(Q380," percent up in ",R380," international stage")</f>
        <v>50 percent up in Lutetian international stage</v>
      </c>
      <c r="J380" s="7">
        <v>0</v>
      </c>
      <c r="K380" s="129">
        <f t="shared" ref="K380" si="70">ROUND(J380*100,1)</f>
        <v>0</v>
      </c>
      <c r="L380" s="8" t="s">
        <v>41</v>
      </c>
      <c r="M380" s="5"/>
      <c r="O380" s="83"/>
      <c r="P380" s="20">
        <v>0.5</v>
      </c>
      <c r="Q380" s="143">
        <f t="shared" si="66"/>
        <v>50</v>
      </c>
      <c r="R380" s="21" t="s">
        <v>41</v>
      </c>
      <c r="S380" s="8"/>
    </row>
    <row r="381" spans="1:20" ht="28">
      <c r="A381" s="81" t="s">
        <v>550</v>
      </c>
      <c r="B381" s="76" t="s">
        <v>41</v>
      </c>
      <c r="C381" s="134"/>
      <c r="D381" s="134" t="s">
        <v>222</v>
      </c>
      <c r="E381" s="132">
        <f t="shared" si="65"/>
        <v>48.070700000000002</v>
      </c>
      <c r="F381" s="139">
        <f>$O$382-P381*($O$382-$O$361)</f>
        <v>41.03</v>
      </c>
      <c r="G381" s="149"/>
      <c r="H381" s="82" t="str">
        <f t="shared" si="58"/>
        <v>0 percent up in Lutetian international stage</v>
      </c>
      <c r="I381" s="142" t="str">
        <f t="shared" si="59"/>
        <v>100 percent up in Lutetian international stage</v>
      </c>
      <c r="J381" s="7">
        <v>0</v>
      </c>
      <c r="K381" s="129">
        <f t="shared" si="60"/>
        <v>0</v>
      </c>
      <c r="L381" s="8" t="s">
        <v>41</v>
      </c>
      <c r="M381" s="5" t="s">
        <v>224</v>
      </c>
      <c r="N381" s="5" t="s">
        <v>634</v>
      </c>
      <c r="O381" s="84">
        <f>Master_Chronostrat!I24</f>
        <v>48.070700000000002</v>
      </c>
      <c r="P381" s="20">
        <v>1</v>
      </c>
      <c r="Q381" s="143">
        <f t="shared" si="61"/>
        <v>100</v>
      </c>
      <c r="R381" s="21" t="s">
        <v>41</v>
      </c>
      <c r="S381" s="8" t="s">
        <v>224</v>
      </c>
      <c r="T381" s="7" t="s">
        <v>226</v>
      </c>
    </row>
    <row r="382" spans="1:20" ht="28">
      <c r="A382" s="81" t="s">
        <v>550</v>
      </c>
      <c r="B382" s="76" t="s">
        <v>635</v>
      </c>
      <c r="C382" s="5"/>
      <c r="D382" s="5" t="s">
        <v>82</v>
      </c>
      <c r="E382" s="132">
        <f t="shared" si="65"/>
        <v>48.070700000000002</v>
      </c>
      <c r="F382" s="139">
        <f>$O$361-P382*($O$361-$O$354)</f>
        <v>37.71</v>
      </c>
      <c r="G382" s="149"/>
      <c r="H382" s="82" t="str">
        <f t="shared" si="58"/>
        <v>0 percent up in Lutetian international stage</v>
      </c>
      <c r="I382" s="142" t="str">
        <f t="shared" si="59"/>
        <v>100 percent up in Bartonian international stage</v>
      </c>
      <c r="J382" s="7">
        <v>0</v>
      </c>
      <c r="K382" s="129">
        <f t="shared" si="60"/>
        <v>0</v>
      </c>
      <c r="L382" s="8" t="s">
        <v>41</v>
      </c>
      <c r="M382" s="5" t="s">
        <v>82</v>
      </c>
      <c r="N382" s="5" t="s">
        <v>82</v>
      </c>
      <c r="O382" s="84">
        <f>Master_Chronostrat!I24</f>
        <v>48.070700000000002</v>
      </c>
      <c r="P382" s="20">
        <v>1</v>
      </c>
      <c r="Q382" s="143">
        <f t="shared" si="61"/>
        <v>100</v>
      </c>
      <c r="R382" s="21" t="s">
        <v>40</v>
      </c>
      <c r="S382" s="8" t="s">
        <v>232</v>
      </c>
      <c r="T382" s="7" t="s">
        <v>226</v>
      </c>
    </row>
    <row r="383" spans="1:20" ht="28">
      <c r="A383" s="81" t="s">
        <v>550</v>
      </c>
      <c r="B383" s="76" t="s">
        <v>636</v>
      </c>
      <c r="C383" s="5"/>
      <c r="D383" s="5" t="s">
        <v>236</v>
      </c>
      <c r="E383" s="132">
        <f t="shared" ref="E383:E403" si="71">$O$403-J383*($O$403-$O$382)</f>
        <v>49.612702777777777</v>
      </c>
      <c r="F383" s="139">
        <f>$O$382-P383*($O$382-$O$361)</f>
        <v>46.696904878048784</v>
      </c>
      <c r="G383" s="149"/>
      <c r="H383" s="82" t="str">
        <f t="shared" si="58"/>
        <v>80.6 percent up in Ypresian international stage</v>
      </c>
      <c r="I383" s="142" t="str">
        <f t="shared" si="59"/>
        <v>19.5 percent up in Lutetian international stage</v>
      </c>
      <c r="J383" s="7">
        <v>0.80555555555555558</v>
      </c>
      <c r="K383" s="129">
        <f t="shared" si="60"/>
        <v>80.599999999999994</v>
      </c>
      <c r="L383" s="8" t="s">
        <v>43</v>
      </c>
      <c r="M383" s="5" t="s">
        <v>82</v>
      </c>
      <c r="N383" s="5" t="s">
        <v>82</v>
      </c>
      <c r="O383" s="83"/>
      <c r="P383" s="20">
        <v>0.19512195121951231</v>
      </c>
      <c r="Q383" s="143">
        <f t="shared" si="61"/>
        <v>19.5</v>
      </c>
      <c r="R383" s="21" t="s">
        <v>41</v>
      </c>
      <c r="S383" s="8" t="s">
        <v>246</v>
      </c>
      <c r="T383" s="7" t="s">
        <v>226</v>
      </c>
    </row>
    <row r="384" spans="1:20" ht="28">
      <c r="A384" s="81" t="s">
        <v>550</v>
      </c>
      <c r="B384" s="76" t="s">
        <v>637</v>
      </c>
      <c r="C384" s="5"/>
      <c r="D384" s="5" t="s">
        <v>244</v>
      </c>
      <c r="E384" s="132">
        <f t="shared" si="71"/>
        <v>50.163418055555553</v>
      </c>
      <c r="F384" s="139">
        <f>$O$382-P384*($O$382-$O$361)</f>
        <v>45.323109756097558</v>
      </c>
      <c r="G384" s="149"/>
      <c r="H384" s="82" t="str">
        <f t="shared" si="58"/>
        <v>73.6 percent up in Ypresian international stage</v>
      </c>
      <c r="I384" s="142" t="str">
        <f t="shared" si="59"/>
        <v>39 percent up in Lutetian international stage</v>
      </c>
      <c r="J384" s="7">
        <v>0.73611111111111116</v>
      </c>
      <c r="K384" s="129">
        <f t="shared" si="60"/>
        <v>73.599999999999994</v>
      </c>
      <c r="L384" s="8" t="s">
        <v>43</v>
      </c>
      <c r="M384" s="5" t="s">
        <v>82</v>
      </c>
      <c r="N384" s="5" t="s">
        <v>82</v>
      </c>
      <c r="O384" s="83"/>
      <c r="P384" s="20">
        <v>0.39024390243902463</v>
      </c>
      <c r="Q384" s="143">
        <f t="shared" si="61"/>
        <v>39</v>
      </c>
      <c r="R384" s="21" t="s">
        <v>41</v>
      </c>
      <c r="S384" s="8" t="s">
        <v>246</v>
      </c>
      <c r="T384" s="7" t="s">
        <v>226</v>
      </c>
    </row>
    <row r="385" spans="1:20" ht="28">
      <c r="A385" s="81" t="s">
        <v>550</v>
      </c>
      <c r="B385" s="75" t="s">
        <v>638</v>
      </c>
      <c r="C385" s="5"/>
      <c r="D385" s="5" t="s">
        <v>264</v>
      </c>
      <c r="E385" s="132">
        <f t="shared" si="71"/>
        <v>50.493847222222222</v>
      </c>
      <c r="F385" s="139">
        <f>$O$382-P385*($O$382-$O$361)</f>
        <v>47.984837804878048</v>
      </c>
      <c r="G385" s="149"/>
      <c r="H385" s="82" t="str">
        <f t="shared" si="58"/>
        <v>69.4 percent up in Ypresian international stage</v>
      </c>
      <c r="I385" s="142" t="str">
        <f t="shared" si="59"/>
        <v>1.2 percent up in Lutetian international stage</v>
      </c>
      <c r="J385" s="7">
        <v>0.69444444444444486</v>
      </c>
      <c r="K385" s="129">
        <f t="shared" si="60"/>
        <v>69.400000000000006</v>
      </c>
      <c r="L385" s="8" t="s">
        <v>43</v>
      </c>
      <c r="M385" s="5" t="s">
        <v>82</v>
      </c>
      <c r="N385" s="5" t="s">
        <v>82</v>
      </c>
      <c r="O385" s="83"/>
      <c r="P385" s="20">
        <v>1.2195121951219681E-2</v>
      </c>
      <c r="Q385" s="143">
        <f t="shared" si="61"/>
        <v>1.2</v>
      </c>
      <c r="R385" s="21" t="s">
        <v>41</v>
      </c>
      <c r="S385" s="8" t="s">
        <v>246</v>
      </c>
      <c r="T385" s="7" t="s">
        <v>226</v>
      </c>
    </row>
    <row r="386" spans="1:20" ht="28">
      <c r="A386" s="81" t="s">
        <v>550</v>
      </c>
      <c r="B386" s="76" t="s">
        <v>639</v>
      </c>
      <c r="C386" s="5"/>
      <c r="D386" s="5" t="s">
        <v>234</v>
      </c>
      <c r="E386" s="132">
        <f t="shared" si="71"/>
        <v>50.714133333333336</v>
      </c>
      <c r="F386" s="139">
        <f>$O$382-P386*($O$382-$O$361)</f>
        <v>47.555526829268295</v>
      </c>
      <c r="G386" s="149"/>
      <c r="H386" s="82" t="str">
        <f t="shared" si="58"/>
        <v>66.7 percent up in Ypresian international stage</v>
      </c>
      <c r="I386" s="142" t="str">
        <f t="shared" si="59"/>
        <v>7.3 percent up in Lutetian international stage</v>
      </c>
      <c r="J386" s="7">
        <v>0.66666666666666674</v>
      </c>
      <c r="K386" s="129">
        <f t="shared" si="60"/>
        <v>66.7</v>
      </c>
      <c r="L386" s="8" t="s">
        <v>43</v>
      </c>
      <c r="M386" s="5" t="s">
        <v>82</v>
      </c>
      <c r="N386" s="5" t="s">
        <v>82</v>
      </c>
      <c r="O386" s="83"/>
      <c r="P386" s="20">
        <v>7.3170731707317221E-2</v>
      </c>
      <c r="Q386" s="143">
        <f t="shared" si="61"/>
        <v>7.3</v>
      </c>
      <c r="R386" s="21" t="s">
        <v>41</v>
      </c>
      <c r="S386" s="8" t="s">
        <v>246</v>
      </c>
      <c r="T386" s="7" t="s">
        <v>226</v>
      </c>
    </row>
    <row r="387" spans="1:20" ht="28">
      <c r="A387" s="81" t="s">
        <v>550</v>
      </c>
      <c r="B387" s="76" t="s">
        <v>640</v>
      </c>
      <c r="C387" s="5"/>
      <c r="D387" s="5" t="s">
        <v>368</v>
      </c>
      <c r="E387" s="132">
        <f t="shared" si="71"/>
        <v>51.815563888888889</v>
      </c>
      <c r="F387" s="139">
        <f>$O$354-P387*($O$354-$O$337)</f>
        <v>36.326319999999996</v>
      </c>
      <c r="G387" s="149"/>
      <c r="H387" s="82" t="str">
        <f t="shared" si="58"/>
        <v>52.8 percent up in Ypresian international stage</v>
      </c>
      <c r="I387" s="142" t="str">
        <f t="shared" si="59"/>
        <v>36.4 percent up in Priabonian international stage</v>
      </c>
      <c r="J387" s="7">
        <v>0.52777777777777768</v>
      </c>
      <c r="K387" s="129">
        <f t="shared" si="60"/>
        <v>52.8</v>
      </c>
      <c r="L387" s="8" t="s">
        <v>43</v>
      </c>
      <c r="M387" s="5" t="s">
        <v>82</v>
      </c>
      <c r="N387" s="5" t="s">
        <v>82</v>
      </c>
      <c r="O387" s="83"/>
      <c r="P387" s="20">
        <v>0.36363636363636404</v>
      </c>
      <c r="Q387" s="143">
        <f t="shared" si="61"/>
        <v>36.4</v>
      </c>
      <c r="R387" s="21" t="s">
        <v>39</v>
      </c>
      <c r="S387" s="8" t="s">
        <v>246</v>
      </c>
      <c r="T387" s="7" t="s">
        <v>226</v>
      </c>
    </row>
    <row r="388" spans="1:20" ht="28">
      <c r="A388" s="81" t="s">
        <v>550</v>
      </c>
      <c r="B388" s="76" t="s">
        <v>641</v>
      </c>
      <c r="C388" s="5"/>
      <c r="D388" s="5" t="s">
        <v>236</v>
      </c>
      <c r="E388" s="132">
        <f t="shared" si="71"/>
        <v>51.815563888888889</v>
      </c>
      <c r="F388" s="139">
        <f>$O$403-P388*($O$403-$O$382)</f>
        <v>49.612702777777777</v>
      </c>
      <c r="G388" s="149"/>
      <c r="H388" s="82" t="str">
        <f t="shared" si="58"/>
        <v>52.8 percent up in Ypresian international stage</v>
      </c>
      <c r="I388" s="142" t="str">
        <f t="shared" si="59"/>
        <v>80.6 percent up in Ypresian international stage</v>
      </c>
      <c r="J388" s="7">
        <v>0.52777777777777768</v>
      </c>
      <c r="K388" s="129">
        <f t="shared" si="60"/>
        <v>52.8</v>
      </c>
      <c r="L388" s="8" t="s">
        <v>43</v>
      </c>
      <c r="M388" s="5" t="s">
        <v>82</v>
      </c>
      <c r="N388" s="5" t="s">
        <v>82</v>
      </c>
      <c r="O388" s="83"/>
      <c r="P388" s="20">
        <v>0.80555555555555569</v>
      </c>
      <c r="Q388" s="143">
        <f t="shared" si="61"/>
        <v>80.599999999999994</v>
      </c>
      <c r="R388" s="21" t="s">
        <v>43</v>
      </c>
      <c r="S388" s="8" t="s">
        <v>259</v>
      </c>
      <c r="T388" s="7">
        <v>0.27777777777777862</v>
      </c>
    </row>
    <row r="389" spans="1:20" ht="28">
      <c r="A389" s="81" t="s">
        <v>550</v>
      </c>
      <c r="B389" s="75" t="s">
        <v>642</v>
      </c>
      <c r="C389" s="5"/>
      <c r="D389" s="5" t="s">
        <v>554</v>
      </c>
      <c r="E389" s="132">
        <f t="shared" si="71"/>
        <v>51.92570694444445</v>
      </c>
      <c r="F389" s="139">
        <f>$O$382-P389*($O$382-$O$361)</f>
        <v>46.010007317073175</v>
      </c>
      <c r="G389" s="149"/>
      <c r="H389" s="82" t="str">
        <f t="shared" si="58"/>
        <v>51.4 percent up in Ypresian international stage</v>
      </c>
      <c r="I389" s="142" t="str">
        <f t="shared" si="59"/>
        <v>29.3 percent up in Lutetian international stage</v>
      </c>
      <c r="J389" s="7">
        <v>0.51388888888888862</v>
      </c>
      <c r="K389" s="129">
        <f t="shared" si="60"/>
        <v>51.4</v>
      </c>
      <c r="L389" s="8" t="s">
        <v>43</v>
      </c>
      <c r="M389" s="5" t="s">
        <v>82</v>
      </c>
      <c r="N389" s="5" t="s">
        <v>82</v>
      </c>
      <c r="O389" s="83"/>
      <c r="P389" s="20">
        <v>0.292682926829268</v>
      </c>
      <c r="Q389" s="143">
        <f t="shared" si="61"/>
        <v>29.3</v>
      </c>
      <c r="R389" s="21" t="s">
        <v>41</v>
      </c>
      <c r="S389" s="8" t="s">
        <v>246</v>
      </c>
      <c r="T389" s="7" t="s">
        <v>226</v>
      </c>
    </row>
    <row r="390" spans="1:20" ht="28">
      <c r="A390" s="81" t="s">
        <v>550</v>
      </c>
      <c r="B390" s="76" t="s">
        <v>643</v>
      </c>
      <c r="C390" s="5"/>
      <c r="D390" s="5" t="s">
        <v>234</v>
      </c>
      <c r="E390" s="132">
        <f t="shared" si="71"/>
        <v>52.916994444444448</v>
      </c>
      <c r="F390" s="139">
        <f>$O$403-P390*($O$403-$O$382)</f>
        <v>50.714133333333336</v>
      </c>
      <c r="G390" s="149"/>
      <c r="H390" s="82" t="str">
        <f t="shared" si="58"/>
        <v>38.9 percent up in Ypresian international stage</v>
      </c>
      <c r="I390" s="142" t="str">
        <f t="shared" si="59"/>
        <v>66.7 percent up in Ypresian international stage</v>
      </c>
      <c r="J390" s="7">
        <v>0.38888888888888873</v>
      </c>
      <c r="K390" s="129">
        <f t="shared" si="60"/>
        <v>38.9</v>
      </c>
      <c r="L390" s="8" t="s">
        <v>43</v>
      </c>
      <c r="M390" s="5" t="s">
        <v>82</v>
      </c>
      <c r="N390" s="5" t="s">
        <v>82</v>
      </c>
      <c r="O390" s="83"/>
      <c r="P390" s="20">
        <v>0.66666666666666663</v>
      </c>
      <c r="Q390" s="143">
        <f t="shared" si="61"/>
        <v>66.7</v>
      </c>
      <c r="R390" s="21" t="s">
        <v>43</v>
      </c>
      <c r="S390" s="8" t="s">
        <v>259</v>
      </c>
      <c r="T390" s="7">
        <v>0.27777777777777779</v>
      </c>
    </row>
    <row r="391" spans="1:20" ht="28">
      <c r="A391" s="81" t="s">
        <v>550</v>
      </c>
      <c r="B391" s="75" t="s">
        <v>644</v>
      </c>
      <c r="C391" s="5"/>
      <c r="D391" s="5" t="s">
        <v>322</v>
      </c>
      <c r="E391" s="132">
        <f t="shared" si="71"/>
        <v>54.018425000000001</v>
      </c>
      <c r="F391" s="139">
        <f>$O$382-P391*($O$382-$O$361)</f>
        <v>47.555526829268295</v>
      </c>
      <c r="G391" s="149"/>
      <c r="H391" s="82" t="str">
        <f t="shared" si="58"/>
        <v>25 percent up in Ypresian international stage</v>
      </c>
      <c r="I391" s="142" t="str">
        <f t="shared" si="59"/>
        <v>7.3 percent up in Lutetian international stage</v>
      </c>
      <c r="J391" s="7">
        <v>0.24999999999999978</v>
      </c>
      <c r="K391" s="129">
        <f t="shared" si="60"/>
        <v>25</v>
      </c>
      <c r="L391" s="8" t="s">
        <v>43</v>
      </c>
      <c r="M391" s="5" t="s">
        <v>82</v>
      </c>
      <c r="N391" s="5" t="s">
        <v>82</v>
      </c>
      <c r="O391" s="83"/>
      <c r="P391" s="20">
        <v>7.3170731707317221E-2</v>
      </c>
      <c r="Q391" s="143">
        <f t="shared" si="61"/>
        <v>7.3</v>
      </c>
      <c r="R391" s="21" t="s">
        <v>41</v>
      </c>
      <c r="S391" s="8" t="s">
        <v>246</v>
      </c>
      <c r="T391" s="7" t="s">
        <v>226</v>
      </c>
    </row>
    <row r="392" spans="1:20" ht="28">
      <c r="A392" s="81" t="s">
        <v>550</v>
      </c>
      <c r="B392" s="75" t="s">
        <v>645</v>
      </c>
      <c r="C392" s="5"/>
      <c r="D392" s="5" t="s">
        <v>264</v>
      </c>
      <c r="E392" s="132">
        <f t="shared" si="71"/>
        <v>55.119855555555553</v>
      </c>
      <c r="F392" s="139">
        <f>$O$403-P392*($O$403-$O$382)</f>
        <v>50.493847222222222</v>
      </c>
      <c r="G392" s="149"/>
      <c r="H392" s="82" t="str">
        <f t="shared" si="58"/>
        <v>11.1 percent up in Ypresian international stage</v>
      </c>
      <c r="I392" s="142" t="str">
        <f t="shared" si="59"/>
        <v>69.4 percent up in Ypresian international stage</v>
      </c>
      <c r="J392" s="7">
        <v>0.11111111111111083</v>
      </c>
      <c r="K392" s="129">
        <f t="shared" si="60"/>
        <v>11.1</v>
      </c>
      <c r="L392" s="8" t="s">
        <v>43</v>
      </c>
      <c r="M392" s="5" t="s">
        <v>82</v>
      </c>
      <c r="N392" s="5" t="s">
        <v>82</v>
      </c>
      <c r="O392" s="83"/>
      <c r="P392" s="20">
        <v>0.69444444444444486</v>
      </c>
      <c r="Q392" s="143">
        <f t="shared" si="61"/>
        <v>69.400000000000006</v>
      </c>
      <c r="R392" s="21" t="s">
        <v>43</v>
      </c>
      <c r="S392" s="8" t="s">
        <v>259</v>
      </c>
      <c r="T392" s="7">
        <v>0.58333333333333381</v>
      </c>
    </row>
    <row r="393" spans="1:20" ht="28">
      <c r="A393" s="81" t="s">
        <v>550</v>
      </c>
      <c r="B393" s="76" t="s">
        <v>646</v>
      </c>
      <c r="C393" s="5"/>
      <c r="D393" s="5" t="s">
        <v>244</v>
      </c>
      <c r="E393" s="132">
        <f t="shared" si="71"/>
        <v>55.670570833333336</v>
      </c>
      <c r="F393" s="139">
        <f>$O$403-P393*($O$403-$O$382)</f>
        <v>50.163418055555553</v>
      </c>
      <c r="G393" s="149"/>
      <c r="H393" s="82" t="str">
        <f t="shared" si="58"/>
        <v>4.2 percent up in Ypresian international stage</v>
      </c>
      <c r="I393" s="142" t="str">
        <f t="shared" si="59"/>
        <v>73.6 percent up in Ypresian international stage</v>
      </c>
      <c r="J393" s="7">
        <v>4.1666666666666297E-2</v>
      </c>
      <c r="K393" s="129">
        <f t="shared" si="60"/>
        <v>4.2</v>
      </c>
      <c r="L393" s="8" t="s">
        <v>43</v>
      </c>
      <c r="M393" s="5" t="s">
        <v>82</v>
      </c>
      <c r="N393" s="5" t="s">
        <v>82</v>
      </c>
      <c r="O393" s="83"/>
      <c r="P393" s="20">
        <v>0.73611111111111116</v>
      </c>
      <c r="Q393" s="143">
        <f t="shared" si="61"/>
        <v>73.599999999999994</v>
      </c>
      <c r="R393" s="21" t="s">
        <v>43</v>
      </c>
      <c r="S393" s="8" t="s">
        <v>259</v>
      </c>
      <c r="T393" s="7">
        <v>0.69444444444444486</v>
      </c>
    </row>
    <row r="394" spans="1:20" ht="28">
      <c r="A394" s="81" t="s">
        <v>550</v>
      </c>
      <c r="B394" s="75" t="s">
        <v>647</v>
      </c>
      <c r="C394" s="5"/>
      <c r="D394" s="5" t="s">
        <v>554</v>
      </c>
      <c r="E394" s="132">
        <f t="shared" si="71"/>
        <v>55.890856944444451</v>
      </c>
      <c r="F394" s="139">
        <f>$O$403-P394*($O$403-$O$382)</f>
        <v>51.92570694444445</v>
      </c>
      <c r="G394" s="149"/>
      <c r="H394" s="82" t="str">
        <f t="shared" si="58"/>
        <v>1.4 percent up in Ypresian international stage</v>
      </c>
      <c r="I394" s="142" t="str">
        <f t="shared" si="59"/>
        <v>51.4 percent up in Ypresian international stage</v>
      </c>
      <c r="J394" s="7">
        <v>1.3888888888888062E-2</v>
      </c>
      <c r="K394" s="129">
        <f t="shared" si="60"/>
        <v>1.4</v>
      </c>
      <c r="L394" s="8" t="s">
        <v>43</v>
      </c>
      <c r="M394" s="5" t="s">
        <v>82</v>
      </c>
      <c r="N394" s="5" t="s">
        <v>82</v>
      </c>
      <c r="O394" s="83"/>
      <c r="P394" s="20">
        <v>0.51388888888888862</v>
      </c>
      <c r="Q394" s="143">
        <f t="shared" si="61"/>
        <v>51.4</v>
      </c>
      <c r="R394" s="21" t="s">
        <v>43</v>
      </c>
      <c r="S394" s="8" t="s">
        <v>259</v>
      </c>
      <c r="T394" s="7">
        <v>0.50000000000000089</v>
      </c>
    </row>
    <row r="395" spans="1:20" ht="28">
      <c r="A395" s="81" t="s">
        <v>550</v>
      </c>
      <c r="B395" s="76" t="s">
        <v>648</v>
      </c>
      <c r="C395" s="5"/>
      <c r="D395" s="5" t="s">
        <v>234</v>
      </c>
      <c r="E395" s="132">
        <f t="shared" si="71"/>
        <v>56.000999999999998</v>
      </c>
      <c r="F395" s="139">
        <f>$O$403-P395*($O$403-$O$382)</f>
        <v>52.916994444444448</v>
      </c>
      <c r="G395" s="149"/>
      <c r="H395" s="82" t="str">
        <f t="shared" ref="H395:H472" si="72">CONCATENATE(K395," percent up in ",L395," international stage")</f>
        <v>0 percent up in Ypresian international stage</v>
      </c>
      <c r="I395" s="142" t="str">
        <f t="shared" ref="I395:I472" si="73">CONCATENATE(Q395," percent up in ",R395," international stage")</f>
        <v>38.9 percent up in Ypresian international stage</v>
      </c>
      <c r="J395" s="7">
        <v>0</v>
      </c>
      <c r="K395" s="129">
        <f t="shared" ref="K395:K472" si="74">ROUND(J395*100,1)</f>
        <v>0</v>
      </c>
      <c r="L395" s="8" t="s">
        <v>43</v>
      </c>
      <c r="M395" s="5" t="s">
        <v>82</v>
      </c>
      <c r="N395" s="5" t="s">
        <v>82</v>
      </c>
      <c r="O395" s="83"/>
      <c r="P395" s="20">
        <v>0.38888888888888873</v>
      </c>
      <c r="Q395" s="143">
        <f t="shared" ref="Q395:Q472" si="75">ROUND(P395*100,1)</f>
        <v>38.9</v>
      </c>
      <c r="R395" s="21" t="s">
        <v>43</v>
      </c>
      <c r="S395" s="8" t="s">
        <v>230</v>
      </c>
      <c r="T395" s="7" t="s">
        <v>226</v>
      </c>
    </row>
    <row r="396" spans="1:20" ht="28">
      <c r="A396" s="81" t="s">
        <v>550</v>
      </c>
      <c r="B396" s="76" t="s">
        <v>649</v>
      </c>
      <c r="C396" s="5"/>
      <c r="D396" s="5" t="s">
        <v>82</v>
      </c>
      <c r="E396" s="132">
        <f t="shared" si="71"/>
        <v>56.000999999999998</v>
      </c>
      <c r="F396" s="139">
        <f>$O$354-P396*($O$354-$O$337)</f>
        <v>33.904879999999999</v>
      </c>
      <c r="G396" s="149"/>
      <c r="H396" s="82" t="str">
        <f t="shared" si="72"/>
        <v>0 percent up in Ypresian international stage</v>
      </c>
      <c r="I396" s="142" t="str">
        <f t="shared" si="73"/>
        <v>100 percent up in Priabonian international stage</v>
      </c>
      <c r="J396" s="7">
        <v>0</v>
      </c>
      <c r="K396" s="129">
        <f t="shared" si="74"/>
        <v>0</v>
      </c>
      <c r="L396" s="8" t="s">
        <v>43</v>
      </c>
      <c r="M396" s="5" t="s">
        <v>82</v>
      </c>
      <c r="N396" s="5" t="s">
        <v>82</v>
      </c>
      <c r="O396" s="83"/>
      <c r="P396" s="20">
        <v>1</v>
      </c>
      <c r="Q396" s="143">
        <f t="shared" si="75"/>
        <v>100</v>
      </c>
      <c r="R396" s="21" t="s">
        <v>39</v>
      </c>
      <c r="S396" s="8" t="s">
        <v>232</v>
      </c>
      <c r="T396" s="7" t="s">
        <v>226</v>
      </c>
    </row>
    <row r="397" spans="1:20" ht="28">
      <c r="A397" s="81" t="s">
        <v>550</v>
      </c>
      <c r="B397" s="76" t="s">
        <v>650</v>
      </c>
      <c r="C397" s="5"/>
      <c r="D397" s="5" t="s">
        <v>270</v>
      </c>
      <c r="E397" s="132">
        <f t="shared" si="71"/>
        <v>56.000999999999998</v>
      </c>
      <c r="F397" s="139">
        <f t="shared" ref="F397:F402" si="76">$O$403-P397*($O$403-$O$382)</f>
        <v>48.070700000000002</v>
      </c>
      <c r="G397" s="149"/>
      <c r="H397" s="82" t="str">
        <f t="shared" si="72"/>
        <v>0 percent up in Ypresian international stage</v>
      </c>
      <c r="I397" s="142" t="str">
        <f t="shared" si="73"/>
        <v>100 percent up in Ypresian international stage</v>
      </c>
      <c r="J397" s="7">
        <v>0</v>
      </c>
      <c r="K397" s="129">
        <f t="shared" si="74"/>
        <v>0</v>
      </c>
      <c r="L397" s="8" t="s">
        <v>43</v>
      </c>
      <c r="M397" s="5" t="s">
        <v>82</v>
      </c>
      <c r="N397" s="5" t="s">
        <v>82</v>
      </c>
      <c r="O397" s="83"/>
      <c r="P397" s="20">
        <v>1</v>
      </c>
      <c r="Q397" s="143">
        <f t="shared" si="75"/>
        <v>100</v>
      </c>
      <c r="R397" s="21" t="s">
        <v>43</v>
      </c>
      <c r="S397" s="8" t="s">
        <v>232</v>
      </c>
      <c r="T397" s="7" t="s">
        <v>226</v>
      </c>
    </row>
    <row r="398" spans="1:20" ht="28">
      <c r="A398" s="81" t="s">
        <v>550</v>
      </c>
      <c r="B398" s="76" t="s">
        <v>651</v>
      </c>
      <c r="C398" s="5"/>
      <c r="D398" s="5" t="s">
        <v>82</v>
      </c>
      <c r="E398" s="132">
        <f t="shared" si="71"/>
        <v>56.000999999999998</v>
      </c>
      <c r="F398" s="139">
        <f t="shared" si="76"/>
        <v>48.070700000000002</v>
      </c>
      <c r="G398" s="149"/>
      <c r="H398" s="82" t="str">
        <f t="shared" si="72"/>
        <v>0 percent up in Ypresian international stage</v>
      </c>
      <c r="I398" s="142" t="str">
        <f t="shared" si="73"/>
        <v>100 percent up in Ypresian international stage</v>
      </c>
      <c r="J398" s="7">
        <v>0</v>
      </c>
      <c r="K398" s="129">
        <f t="shared" si="74"/>
        <v>0</v>
      </c>
      <c r="L398" s="8" t="s">
        <v>43</v>
      </c>
      <c r="M398" s="5" t="s">
        <v>82</v>
      </c>
      <c r="N398" s="5" t="s">
        <v>82</v>
      </c>
      <c r="O398" s="83"/>
      <c r="P398" s="20">
        <v>1</v>
      </c>
      <c r="Q398" s="143">
        <f t="shared" si="75"/>
        <v>100</v>
      </c>
      <c r="R398" s="21" t="s">
        <v>43</v>
      </c>
      <c r="S398" s="8" t="s">
        <v>232</v>
      </c>
      <c r="T398" s="7" t="s">
        <v>226</v>
      </c>
    </row>
    <row r="399" spans="1:20" ht="28">
      <c r="A399" s="81" t="s">
        <v>550</v>
      </c>
      <c r="B399" s="76" t="s">
        <v>652</v>
      </c>
      <c r="C399" s="5"/>
      <c r="D399" s="5" t="s">
        <v>82</v>
      </c>
      <c r="E399" s="132">
        <f t="shared" si="71"/>
        <v>56.000999999999998</v>
      </c>
      <c r="F399" s="139">
        <f t="shared" si="76"/>
        <v>48.070700000000002</v>
      </c>
      <c r="G399" s="149"/>
      <c r="H399" s="82" t="str">
        <f t="shared" si="72"/>
        <v>0 percent up in Ypresian international stage</v>
      </c>
      <c r="I399" s="142" t="str">
        <f t="shared" si="73"/>
        <v>100 percent up in Ypresian international stage</v>
      </c>
      <c r="J399" s="7">
        <v>0</v>
      </c>
      <c r="K399" s="129">
        <f t="shared" si="74"/>
        <v>0</v>
      </c>
      <c r="L399" s="8" t="s">
        <v>43</v>
      </c>
      <c r="M399" s="5" t="s">
        <v>82</v>
      </c>
      <c r="N399" s="5" t="s">
        <v>82</v>
      </c>
      <c r="O399" s="83"/>
      <c r="P399" s="20">
        <v>1</v>
      </c>
      <c r="Q399" s="143">
        <f t="shared" si="75"/>
        <v>100</v>
      </c>
      <c r="R399" s="21" t="s">
        <v>43</v>
      </c>
      <c r="S399" s="8" t="s">
        <v>232</v>
      </c>
      <c r="T399" s="7" t="s">
        <v>226</v>
      </c>
    </row>
    <row r="400" spans="1:20" ht="28">
      <c r="A400" s="81" t="s">
        <v>550</v>
      </c>
      <c r="B400" s="76" t="s">
        <v>653</v>
      </c>
      <c r="C400" s="5"/>
      <c r="D400" s="5" t="s">
        <v>270</v>
      </c>
      <c r="E400" s="132">
        <f t="shared" si="71"/>
        <v>56.000999999999998</v>
      </c>
      <c r="F400" s="139">
        <f t="shared" si="76"/>
        <v>55.119855555555553</v>
      </c>
      <c r="G400" s="149"/>
      <c r="H400" s="82" t="str">
        <f t="shared" si="72"/>
        <v>0 percent up in Ypresian international stage</v>
      </c>
      <c r="I400" s="142" t="str">
        <f t="shared" si="73"/>
        <v>11.1 percent up in Ypresian international stage</v>
      </c>
      <c r="J400" s="7">
        <v>0</v>
      </c>
      <c r="K400" s="129">
        <f t="shared" si="74"/>
        <v>0</v>
      </c>
      <c r="L400" s="8" t="s">
        <v>43</v>
      </c>
      <c r="M400" s="5" t="s">
        <v>82</v>
      </c>
      <c r="N400" s="5" t="s">
        <v>82</v>
      </c>
      <c r="O400" s="83"/>
      <c r="P400" s="20">
        <v>0.11111111111111079</v>
      </c>
      <c r="Q400" s="143">
        <f t="shared" si="75"/>
        <v>11.1</v>
      </c>
      <c r="R400" s="21" t="s">
        <v>43</v>
      </c>
      <c r="S400" s="8" t="s">
        <v>230</v>
      </c>
      <c r="T400" s="7" t="s">
        <v>226</v>
      </c>
    </row>
    <row r="401" spans="1:20" ht="28">
      <c r="A401" s="81" t="s">
        <v>550</v>
      </c>
      <c r="B401" s="76" t="s">
        <v>43</v>
      </c>
      <c r="C401" s="134"/>
      <c r="D401" s="134" t="s">
        <v>222</v>
      </c>
      <c r="E401" s="132">
        <f t="shared" si="71"/>
        <v>56.000999999999998</v>
      </c>
      <c r="F401" s="139">
        <f t="shared" si="76"/>
        <v>48.070700000000002</v>
      </c>
      <c r="G401" s="149"/>
      <c r="H401" s="82" t="str">
        <f t="shared" si="72"/>
        <v>0 percent up in Ypresian international stage</v>
      </c>
      <c r="I401" s="142" t="str">
        <f t="shared" si="73"/>
        <v>100 percent up in Ypresian international stage</v>
      </c>
      <c r="J401" s="7">
        <v>0</v>
      </c>
      <c r="K401" s="129">
        <f t="shared" si="74"/>
        <v>0</v>
      </c>
      <c r="L401" s="8" t="s">
        <v>43</v>
      </c>
      <c r="M401" s="5" t="s">
        <v>224</v>
      </c>
      <c r="N401" s="5" t="s">
        <v>82</v>
      </c>
      <c r="O401" s="84">
        <f>Master_Chronostrat!I25</f>
        <v>56.000999999999998</v>
      </c>
      <c r="P401" s="20">
        <v>1</v>
      </c>
      <c r="Q401" s="143">
        <f t="shared" si="75"/>
        <v>100</v>
      </c>
      <c r="R401" s="21" t="s">
        <v>43</v>
      </c>
      <c r="S401" s="8" t="s">
        <v>224</v>
      </c>
      <c r="T401" s="7" t="s">
        <v>226</v>
      </c>
    </row>
    <row r="402" spans="1:20" ht="28">
      <c r="A402" s="81" t="s">
        <v>550</v>
      </c>
      <c r="B402" s="76" t="s">
        <v>654</v>
      </c>
      <c r="C402" s="134"/>
      <c r="D402" s="134" t="s">
        <v>222</v>
      </c>
      <c r="E402" s="132">
        <f t="shared" si="71"/>
        <v>56.000999999999998</v>
      </c>
      <c r="F402" s="139">
        <f t="shared" si="76"/>
        <v>48.070700000000002</v>
      </c>
      <c r="G402" s="149"/>
      <c r="H402" s="82" t="str">
        <f t="shared" si="72"/>
        <v>0 percent up in Ypresian international stage</v>
      </c>
      <c r="I402" s="142" t="str">
        <f t="shared" si="73"/>
        <v>100 percent up in Ypresian international stage</v>
      </c>
      <c r="J402" s="7">
        <v>0</v>
      </c>
      <c r="K402" s="129">
        <f t="shared" si="74"/>
        <v>0</v>
      </c>
      <c r="L402" s="8" t="s">
        <v>43</v>
      </c>
      <c r="M402" s="5" t="s">
        <v>82</v>
      </c>
      <c r="N402" s="5" t="s">
        <v>82</v>
      </c>
      <c r="O402" s="84">
        <f>Master_Chronostrat!I25</f>
        <v>56.000999999999998</v>
      </c>
      <c r="P402" s="20">
        <v>1</v>
      </c>
      <c r="Q402" s="143">
        <f t="shared" si="75"/>
        <v>100</v>
      </c>
      <c r="R402" s="21" t="s">
        <v>43</v>
      </c>
      <c r="S402" s="8" t="s">
        <v>232</v>
      </c>
      <c r="T402" s="7" t="s">
        <v>226</v>
      </c>
    </row>
    <row r="403" spans="1:20" ht="28">
      <c r="A403" s="81" t="s">
        <v>550</v>
      </c>
      <c r="B403" s="76" t="s">
        <v>42</v>
      </c>
      <c r="C403" s="135" t="s">
        <v>5</v>
      </c>
      <c r="D403" s="134" t="s">
        <v>222</v>
      </c>
      <c r="E403" s="132">
        <f t="shared" si="71"/>
        <v>56.000999999999998</v>
      </c>
      <c r="F403" s="139">
        <f>$O$354-P403*($O$354-$O$337)</f>
        <v>33.904879999999999</v>
      </c>
      <c r="G403" s="149"/>
      <c r="H403" s="82" t="str">
        <f t="shared" si="72"/>
        <v>0 percent up in Ypresian international stage</v>
      </c>
      <c r="I403" s="142" t="str">
        <f t="shared" si="73"/>
        <v>100 percent up in Priabonian international stage</v>
      </c>
      <c r="J403" s="7">
        <v>0</v>
      </c>
      <c r="K403" s="129">
        <f t="shared" si="74"/>
        <v>0</v>
      </c>
      <c r="L403" s="8" t="s">
        <v>43</v>
      </c>
      <c r="M403" s="5" t="s">
        <v>224</v>
      </c>
      <c r="N403" s="5" t="s">
        <v>655</v>
      </c>
      <c r="O403" s="84">
        <f>Master_Chronostrat!I25</f>
        <v>56.000999999999998</v>
      </c>
      <c r="P403" s="20">
        <v>1</v>
      </c>
      <c r="Q403" s="143">
        <f t="shared" si="75"/>
        <v>100</v>
      </c>
      <c r="R403" s="21" t="s">
        <v>39</v>
      </c>
      <c r="S403" s="8" t="s">
        <v>239</v>
      </c>
      <c r="T403" s="7" t="s">
        <v>226</v>
      </c>
    </row>
    <row r="404" spans="1:20" ht="28">
      <c r="A404" s="81" t="s">
        <v>550</v>
      </c>
      <c r="B404" s="75" t="s">
        <v>656</v>
      </c>
      <c r="C404" s="5"/>
      <c r="D404" s="5" t="s">
        <v>264</v>
      </c>
      <c r="E404" s="132">
        <f t="shared" ref="E404:E413" si="77">$O$413-J404*($O$413-$O$403)</f>
        <v>56.112586206896552</v>
      </c>
      <c r="F404" s="139">
        <f>$O$403-P404*($O$403-$O$382)</f>
        <v>55.119855555555553</v>
      </c>
      <c r="G404" s="149"/>
      <c r="H404" s="82" t="str">
        <f t="shared" si="72"/>
        <v>96.6 percent up in Thanetian international stage</v>
      </c>
      <c r="I404" s="142" t="str">
        <f t="shared" si="73"/>
        <v>11.1 percent up in Ypresian international stage</v>
      </c>
      <c r="J404" s="7">
        <v>0.96551724137930994</v>
      </c>
      <c r="K404" s="129">
        <f t="shared" si="74"/>
        <v>96.6</v>
      </c>
      <c r="L404" s="8" t="s">
        <v>44</v>
      </c>
      <c r="M404" s="5" t="s">
        <v>82</v>
      </c>
      <c r="N404" s="5" t="s">
        <v>82</v>
      </c>
      <c r="O404" s="83"/>
      <c r="P404" s="20">
        <v>0.11111111111111079</v>
      </c>
      <c r="Q404" s="143">
        <f t="shared" si="75"/>
        <v>11.1</v>
      </c>
      <c r="R404" s="21" t="s">
        <v>43</v>
      </c>
      <c r="S404" s="8" t="s">
        <v>246</v>
      </c>
      <c r="T404" s="7" t="s">
        <v>226</v>
      </c>
    </row>
    <row r="405" spans="1:20" ht="28">
      <c r="A405" s="81" t="s">
        <v>550</v>
      </c>
      <c r="B405" s="76" t="s">
        <v>657</v>
      </c>
      <c r="C405" s="5"/>
      <c r="D405" s="5" t="s">
        <v>244</v>
      </c>
      <c r="E405" s="132">
        <f t="shared" si="77"/>
        <v>56.224172413793106</v>
      </c>
      <c r="F405" s="139">
        <f>$O$403-P405*($O$403-$O$382)</f>
        <v>55.670570833333336</v>
      </c>
      <c r="G405" s="149"/>
      <c r="H405" s="82" t="str">
        <f t="shared" si="72"/>
        <v>93.1 percent up in Thanetian international stage</v>
      </c>
      <c r="I405" s="142" t="str">
        <f t="shared" si="73"/>
        <v>4.2 percent up in Ypresian international stage</v>
      </c>
      <c r="J405" s="7">
        <v>0.93103448275861989</v>
      </c>
      <c r="K405" s="129">
        <f t="shared" si="74"/>
        <v>93.1</v>
      </c>
      <c r="L405" s="8" t="s">
        <v>44</v>
      </c>
      <c r="M405" s="5" t="s">
        <v>82</v>
      </c>
      <c r="N405" s="5" t="s">
        <v>82</v>
      </c>
      <c r="O405" s="83"/>
      <c r="P405" s="20">
        <v>4.1666666666666297E-2</v>
      </c>
      <c r="Q405" s="143">
        <f t="shared" si="75"/>
        <v>4.2</v>
      </c>
      <c r="R405" s="21" t="s">
        <v>43</v>
      </c>
      <c r="S405" s="8" t="s">
        <v>246</v>
      </c>
      <c r="T405" s="7" t="s">
        <v>226</v>
      </c>
    </row>
    <row r="406" spans="1:20" ht="28">
      <c r="A406" s="81" t="s">
        <v>550</v>
      </c>
      <c r="B406" s="76" t="s">
        <v>658</v>
      </c>
      <c r="C406" s="5"/>
      <c r="D406" s="5" t="s">
        <v>236</v>
      </c>
      <c r="E406" s="132">
        <f t="shared" si="77"/>
        <v>56.782103448275862</v>
      </c>
      <c r="F406" s="139">
        <f>$O$403-P406*($O$403-$O$382)</f>
        <v>51.815563888888889</v>
      </c>
      <c r="G406" s="149"/>
      <c r="H406" s="82" t="str">
        <f t="shared" si="72"/>
        <v>75.9 percent up in Thanetian international stage</v>
      </c>
      <c r="I406" s="142" t="str">
        <f t="shared" si="73"/>
        <v>52.8 percent up in Ypresian international stage</v>
      </c>
      <c r="J406" s="7">
        <v>0.75862068965517193</v>
      </c>
      <c r="K406" s="129">
        <f t="shared" si="74"/>
        <v>75.900000000000006</v>
      </c>
      <c r="L406" s="8" t="s">
        <v>44</v>
      </c>
      <c r="M406" s="5" t="s">
        <v>82</v>
      </c>
      <c r="N406" s="5" t="s">
        <v>82</v>
      </c>
      <c r="O406" s="83"/>
      <c r="P406" s="20">
        <v>0.52777777777777768</v>
      </c>
      <c r="Q406" s="143">
        <f t="shared" si="75"/>
        <v>52.8</v>
      </c>
      <c r="R406" s="21" t="s">
        <v>43</v>
      </c>
      <c r="S406" s="8" t="s">
        <v>246</v>
      </c>
      <c r="T406" s="7" t="s">
        <v>226</v>
      </c>
    </row>
    <row r="407" spans="1:20" ht="28">
      <c r="A407" s="81" t="s">
        <v>550</v>
      </c>
      <c r="B407" s="75" t="s">
        <v>659</v>
      </c>
      <c r="C407" s="5"/>
      <c r="D407" s="5" t="s">
        <v>554</v>
      </c>
      <c r="E407" s="132">
        <f t="shared" si="77"/>
        <v>57.228448275862064</v>
      </c>
      <c r="F407" s="139">
        <f>$O$403-P407*($O$403-$O$382)</f>
        <v>55.890856944444451</v>
      </c>
      <c r="G407" s="149"/>
      <c r="H407" s="82" t="str">
        <f t="shared" si="72"/>
        <v>62.1 percent up in Thanetian international stage</v>
      </c>
      <c r="I407" s="142" t="str">
        <f t="shared" si="73"/>
        <v>1.4 percent up in Ypresian international stage</v>
      </c>
      <c r="J407" s="7">
        <v>0.62068965517241403</v>
      </c>
      <c r="K407" s="129">
        <f t="shared" si="74"/>
        <v>62.1</v>
      </c>
      <c r="L407" s="8" t="s">
        <v>44</v>
      </c>
      <c r="M407" s="5" t="s">
        <v>82</v>
      </c>
      <c r="N407" s="5" t="s">
        <v>82</v>
      </c>
      <c r="O407" s="83"/>
      <c r="P407" s="20">
        <v>1.3888888888888107E-2</v>
      </c>
      <c r="Q407" s="143">
        <f t="shared" si="75"/>
        <v>1.4</v>
      </c>
      <c r="R407" s="21" t="s">
        <v>43</v>
      </c>
      <c r="S407" s="8" t="s">
        <v>246</v>
      </c>
      <c r="T407" s="7" t="s">
        <v>226</v>
      </c>
    </row>
    <row r="408" spans="1:20" ht="28">
      <c r="A408" s="81" t="s">
        <v>550</v>
      </c>
      <c r="B408" s="76" t="s">
        <v>660</v>
      </c>
      <c r="C408" s="5"/>
      <c r="D408" s="5" t="s">
        <v>270</v>
      </c>
      <c r="E408" s="132">
        <f t="shared" si="77"/>
        <v>59.237000000000002</v>
      </c>
      <c r="F408" s="139">
        <f>$O$413-P408*($O$413-$O$403)</f>
        <v>56.000999999999998</v>
      </c>
      <c r="G408" s="149"/>
      <c r="H408" s="82" t="str">
        <f t="shared" si="72"/>
        <v>0 percent up in Thanetian international stage</v>
      </c>
      <c r="I408" s="142" t="str">
        <f t="shared" si="73"/>
        <v>100 percent up in Thanetian international stage</v>
      </c>
      <c r="J408" s="7">
        <v>0</v>
      </c>
      <c r="K408" s="129">
        <f t="shared" si="74"/>
        <v>0</v>
      </c>
      <c r="L408" s="8" t="s">
        <v>44</v>
      </c>
      <c r="M408" s="5" t="s">
        <v>82</v>
      </c>
      <c r="N408" s="5" t="s">
        <v>82</v>
      </c>
      <c r="O408" s="83"/>
      <c r="P408" s="20">
        <v>1</v>
      </c>
      <c r="Q408" s="143">
        <f t="shared" si="75"/>
        <v>100</v>
      </c>
      <c r="R408" s="21" t="s">
        <v>44</v>
      </c>
      <c r="S408" s="8" t="s">
        <v>232</v>
      </c>
      <c r="T408" s="7" t="s">
        <v>226</v>
      </c>
    </row>
    <row r="409" spans="1:20" ht="28">
      <c r="A409" s="81" t="s">
        <v>550</v>
      </c>
      <c r="B409" s="76" t="s">
        <v>661</v>
      </c>
      <c r="C409" s="5"/>
      <c r="D409" s="5" t="s">
        <v>270</v>
      </c>
      <c r="E409" s="132">
        <f t="shared" si="77"/>
        <v>59.237000000000002</v>
      </c>
      <c r="F409" s="139">
        <f>$O$413-P409*($O$413-$O$403)</f>
        <v>56.000999999999998</v>
      </c>
      <c r="G409" s="149"/>
      <c r="H409" s="82" t="str">
        <f t="shared" si="72"/>
        <v>0 percent up in Thanetian international stage</v>
      </c>
      <c r="I409" s="142" t="str">
        <f t="shared" si="73"/>
        <v>100 percent up in Thanetian international stage</v>
      </c>
      <c r="J409" s="7">
        <v>0</v>
      </c>
      <c r="K409" s="129">
        <f t="shared" si="74"/>
        <v>0</v>
      </c>
      <c r="L409" s="8" t="s">
        <v>44</v>
      </c>
      <c r="M409" s="5" t="s">
        <v>82</v>
      </c>
      <c r="N409" s="5" t="s">
        <v>82</v>
      </c>
      <c r="O409" s="83"/>
      <c r="P409" s="20">
        <v>1</v>
      </c>
      <c r="Q409" s="143">
        <f t="shared" si="75"/>
        <v>100</v>
      </c>
      <c r="R409" s="21" t="s">
        <v>44</v>
      </c>
      <c r="S409" s="8" t="s">
        <v>232</v>
      </c>
      <c r="T409" s="7" t="s">
        <v>226</v>
      </c>
    </row>
    <row r="410" spans="1:20" ht="28">
      <c r="A410" s="81" t="s">
        <v>550</v>
      </c>
      <c r="B410" s="75" t="s">
        <v>662</v>
      </c>
      <c r="C410" s="5"/>
      <c r="D410" s="5" t="s">
        <v>322</v>
      </c>
      <c r="E410" s="132">
        <f t="shared" si="77"/>
        <v>59.237000000000002</v>
      </c>
      <c r="F410" s="139">
        <f>$O$403-P410*($O$403-$O$382)</f>
        <v>48.070700000000002</v>
      </c>
      <c r="G410" s="149"/>
      <c r="H410" s="82" t="str">
        <f t="shared" si="72"/>
        <v>0 percent up in Thanetian international stage</v>
      </c>
      <c r="I410" s="142" t="str">
        <f t="shared" si="73"/>
        <v>100 percent up in Ypresian international stage</v>
      </c>
      <c r="J410" s="7">
        <v>0</v>
      </c>
      <c r="K410" s="129">
        <f t="shared" si="74"/>
        <v>0</v>
      </c>
      <c r="L410" s="8" t="s">
        <v>44</v>
      </c>
      <c r="M410" s="5" t="s">
        <v>82</v>
      </c>
      <c r="N410" s="5" t="s">
        <v>82</v>
      </c>
      <c r="O410" s="83"/>
      <c r="P410" s="20">
        <v>1</v>
      </c>
      <c r="Q410" s="143">
        <f t="shared" si="75"/>
        <v>100</v>
      </c>
      <c r="R410" s="21" t="s">
        <v>43</v>
      </c>
      <c r="S410" s="8" t="s">
        <v>232</v>
      </c>
      <c r="T410" s="7" t="s">
        <v>226</v>
      </c>
    </row>
    <row r="411" spans="1:20" ht="28">
      <c r="A411" s="81" t="s">
        <v>550</v>
      </c>
      <c r="B411" s="80" t="s">
        <v>663</v>
      </c>
      <c r="C411" s="5"/>
      <c r="D411" s="5" t="s">
        <v>82</v>
      </c>
      <c r="E411" s="132">
        <f t="shared" si="77"/>
        <v>59.237000000000002</v>
      </c>
      <c r="F411" s="139">
        <f>$O$403-P411*($O$403-$O$382)</f>
        <v>48.070700000000002</v>
      </c>
      <c r="G411" s="149"/>
      <c r="H411" s="82" t="str">
        <f t="shared" si="72"/>
        <v>0 percent up in Thanetian international stage</v>
      </c>
      <c r="I411" s="142" t="str">
        <f t="shared" si="73"/>
        <v>100 percent up in Ypresian international stage</v>
      </c>
      <c r="J411" s="7">
        <v>0</v>
      </c>
      <c r="K411" s="129">
        <f t="shared" si="74"/>
        <v>0</v>
      </c>
      <c r="L411" s="8" t="s">
        <v>44</v>
      </c>
      <c r="M411" s="5" t="s">
        <v>82</v>
      </c>
      <c r="N411" s="5" t="s">
        <v>82</v>
      </c>
      <c r="O411" s="83"/>
      <c r="P411" s="20">
        <v>1</v>
      </c>
      <c r="Q411" s="143">
        <f t="shared" si="75"/>
        <v>100</v>
      </c>
      <c r="R411" s="21" t="s">
        <v>43</v>
      </c>
      <c r="S411" s="8" t="s">
        <v>232</v>
      </c>
      <c r="T411" s="7" t="s">
        <v>226</v>
      </c>
    </row>
    <row r="412" spans="1:20" ht="28">
      <c r="A412" s="81" t="s">
        <v>550</v>
      </c>
      <c r="B412" s="76" t="s">
        <v>44</v>
      </c>
      <c r="C412" s="134"/>
      <c r="D412" s="134" t="s">
        <v>222</v>
      </c>
      <c r="E412" s="132">
        <f t="shared" si="77"/>
        <v>59.237000000000002</v>
      </c>
      <c r="F412" s="139">
        <f>$O$413-P412*($O$413-$O$403)</f>
        <v>56.000999999999998</v>
      </c>
      <c r="G412" s="149"/>
      <c r="H412" s="82" t="str">
        <f t="shared" si="72"/>
        <v>0 percent up in Thanetian international stage</v>
      </c>
      <c r="I412" s="142" t="str">
        <f t="shared" si="73"/>
        <v>100 percent up in Thanetian international stage</v>
      </c>
      <c r="J412" s="7">
        <v>0</v>
      </c>
      <c r="K412" s="129">
        <f t="shared" si="74"/>
        <v>0</v>
      </c>
      <c r="L412" s="8" t="s">
        <v>44</v>
      </c>
      <c r="M412" s="5" t="s">
        <v>224</v>
      </c>
      <c r="N412" s="5" t="s">
        <v>664</v>
      </c>
      <c r="O412" s="84">
        <f>Master_Chronostrat!I26</f>
        <v>59.237000000000002</v>
      </c>
      <c r="P412" s="20">
        <v>1</v>
      </c>
      <c r="Q412" s="143">
        <f t="shared" si="75"/>
        <v>100</v>
      </c>
      <c r="R412" s="21" t="s">
        <v>44</v>
      </c>
      <c r="S412" s="8" t="s">
        <v>224</v>
      </c>
      <c r="T412" s="7" t="s">
        <v>226</v>
      </c>
    </row>
    <row r="413" spans="1:20" ht="28">
      <c r="A413" s="81" t="s">
        <v>550</v>
      </c>
      <c r="B413" s="76" t="s">
        <v>665</v>
      </c>
      <c r="C413" s="134"/>
      <c r="D413" s="134" t="s">
        <v>222</v>
      </c>
      <c r="E413" s="132">
        <f t="shared" si="77"/>
        <v>59.237000000000002</v>
      </c>
      <c r="F413" s="139">
        <f>$O$413-P413*($O$413-$O$403)</f>
        <v>56.000999999999998</v>
      </c>
      <c r="G413" s="149"/>
      <c r="H413" s="82" t="str">
        <f t="shared" si="72"/>
        <v>0 percent up in Thanetian international stage</v>
      </c>
      <c r="I413" s="142" t="str">
        <f t="shared" si="73"/>
        <v>100 percent up in Thanetian international stage</v>
      </c>
      <c r="J413" s="7">
        <v>0</v>
      </c>
      <c r="K413" s="129">
        <f t="shared" si="74"/>
        <v>0</v>
      </c>
      <c r="L413" s="8" t="s">
        <v>44</v>
      </c>
      <c r="M413" s="5" t="s">
        <v>82</v>
      </c>
      <c r="N413" s="5" t="s">
        <v>82</v>
      </c>
      <c r="O413" s="84">
        <f>Master_Chronostrat!I26</f>
        <v>59.237000000000002</v>
      </c>
      <c r="P413" s="20">
        <v>1</v>
      </c>
      <c r="Q413" s="143">
        <f t="shared" si="75"/>
        <v>100</v>
      </c>
      <c r="R413" s="21" t="s">
        <v>44</v>
      </c>
      <c r="S413" s="8" t="s">
        <v>232</v>
      </c>
      <c r="T413" s="7" t="s">
        <v>226</v>
      </c>
    </row>
    <row r="414" spans="1:20" ht="28">
      <c r="A414" s="81" t="s">
        <v>550</v>
      </c>
      <c r="B414" s="75" t="s">
        <v>666</v>
      </c>
      <c r="C414" s="5"/>
      <c r="D414" s="5" t="s">
        <v>322</v>
      </c>
      <c r="E414" s="132">
        <f t="shared" ref="E414:E420" si="78">$O$420-J414*($O$420-$O$413)</f>
        <v>59.54025</v>
      </c>
      <c r="F414" s="139">
        <f>$O$413-P414*($O$413-$O$403)</f>
        <v>57.340034482758618</v>
      </c>
      <c r="G414" s="149"/>
      <c r="H414" s="82" t="str">
        <f t="shared" si="72"/>
        <v>87.5 percent up in Selandian international stage</v>
      </c>
      <c r="I414" s="142" t="str">
        <f t="shared" si="73"/>
        <v>58.6 percent up in Thanetian international stage</v>
      </c>
      <c r="J414" s="7">
        <v>0.875</v>
      </c>
      <c r="K414" s="129">
        <f t="shared" si="74"/>
        <v>87.5</v>
      </c>
      <c r="L414" s="8" t="s">
        <v>45</v>
      </c>
      <c r="M414" s="5" t="s">
        <v>82</v>
      </c>
      <c r="N414" s="5" t="s">
        <v>82</v>
      </c>
      <c r="O414" s="83"/>
      <c r="P414" s="20">
        <v>0.58620689655172398</v>
      </c>
      <c r="Q414" s="143">
        <f t="shared" si="75"/>
        <v>58.6</v>
      </c>
      <c r="R414" s="21" t="s">
        <v>44</v>
      </c>
      <c r="S414" s="8" t="s">
        <v>246</v>
      </c>
      <c r="T414" s="7" t="s">
        <v>226</v>
      </c>
    </row>
    <row r="415" spans="1:20" ht="28">
      <c r="A415" s="81" t="s">
        <v>550</v>
      </c>
      <c r="B415" s="76" t="s">
        <v>667</v>
      </c>
      <c r="C415" s="5"/>
      <c r="D415" s="5" t="s">
        <v>244</v>
      </c>
      <c r="E415" s="132">
        <f t="shared" si="78"/>
        <v>60.692599999999999</v>
      </c>
      <c r="F415" s="139">
        <f>$O$413-P415*($O$413-$O$403)</f>
        <v>56.224172413793106</v>
      </c>
      <c r="G415" s="149"/>
      <c r="H415" s="82" t="str">
        <f t="shared" si="72"/>
        <v>40 percent up in Selandian international stage</v>
      </c>
      <c r="I415" s="142" t="str">
        <f t="shared" si="73"/>
        <v>93.1 percent up in Thanetian international stage</v>
      </c>
      <c r="J415" s="7">
        <v>0.40000000000000091</v>
      </c>
      <c r="K415" s="129">
        <f t="shared" si="74"/>
        <v>40</v>
      </c>
      <c r="L415" s="8" t="s">
        <v>45</v>
      </c>
      <c r="M415" s="5" t="s">
        <v>82</v>
      </c>
      <c r="N415" s="5" t="s">
        <v>82</v>
      </c>
      <c r="O415" s="83"/>
      <c r="P415" s="20">
        <v>0.93103448275861989</v>
      </c>
      <c r="Q415" s="143">
        <f t="shared" si="75"/>
        <v>93.1</v>
      </c>
      <c r="R415" s="21" t="s">
        <v>44</v>
      </c>
      <c r="S415" s="8" t="s">
        <v>246</v>
      </c>
      <c r="T415" s="7" t="s">
        <v>226</v>
      </c>
    </row>
    <row r="416" spans="1:20" ht="28">
      <c r="A416" s="81" t="s">
        <v>550</v>
      </c>
      <c r="B416" s="76" t="s">
        <v>668</v>
      </c>
      <c r="C416" s="5"/>
      <c r="D416" s="5" t="s">
        <v>234</v>
      </c>
      <c r="E416" s="132">
        <f t="shared" si="78"/>
        <v>61.501266666666659</v>
      </c>
      <c r="F416" s="139">
        <f>$O$413-P416*($O$413-$O$403)</f>
        <v>56.000999999999998</v>
      </c>
      <c r="G416" s="149"/>
      <c r="H416" s="82" t="str">
        <f t="shared" si="72"/>
        <v>6.7 percent up in Selandian international stage</v>
      </c>
      <c r="I416" s="142" t="str">
        <f t="shared" si="73"/>
        <v>100 percent up in Thanetian international stage</v>
      </c>
      <c r="J416" s="7">
        <v>6.6666666666667651E-2</v>
      </c>
      <c r="K416" s="129">
        <f t="shared" si="74"/>
        <v>6.7</v>
      </c>
      <c r="L416" s="8" t="s">
        <v>45</v>
      </c>
      <c r="M416" s="5" t="s">
        <v>82</v>
      </c>
      <c r="N416" s="5" t="s">
        <v>82</v>
      </c>
      <c r="O416" s="83"/>
      <c r="P416" s="20">
        <v>1</v>
      </c>
      <c r="Q416" s="143">
        <f t="shared" si="75"/>
        <v>100</v>
      </c>
      <c r="R416" s="21" t="s">
        <v>44</v>
      </c>
      <c r="S416" s="8" t="s">
        <v>246</v>
      </c>
      <c r="T416" s="7" t="s">
        <v>226</v>
      </c>
    </row>
    <row r="417" spans="1:20" ht="28">
      <c r="A417" s="81" t="s">
        <v>550</v>
      </c>
      <c r="B417" s="76" t="s">
        <v>669</v>
      </c>
      <c r="C417" s="5"/>
      <c r="D417" s="5" t="s">
        <v>270</v>
      </c>
      <c r="E417" s="132">
        <f t="shared" si="78"/>
        <v>61.662999999999997</v>
      </c>
      <c r="F417" s="139">
        <f>$O$420-P417*($O$420-$O$413)</f>
        <v>59.237000000000002</v>
      </c>
      <c r="G417" s="149"/>
      <c r="H417" s="82" t="str">
        <f t="shared" si="72"/>
        <v>0 percent up in Selandian international stage</v>
      </c>
      <c r="I417" s="142" t="str">
        <f t="shared" si="73"/>
        <v>100 percent up in Selandian international stage</v>
      </c>
      <c r="J417" s="7">
        <v>0</v>
      </c>
      <c r="K417" s="129">
        <f t="shared" si="74"/>
        <v>0</v>
      </c>
      <c r="L417" s="8" t="s">
        <v>45</v>
      </c>
      <c r="M417" s="5" t="s">
        <v>82</v>
      </c>
      <c r="N417" s="5" t="s">
        <v>82</v>
      </c>
      <c r="O417" s="83"/>
      <c r="P417" s="20">
        <v>1</v>
      </c>
      <c r="Q417" s="143">
        <f t="shared" si="75"/>
        <v>100</v>
      </c>
      <c r="R417" s="21" t="s">
        <v>45</v>
      </c>
      <c r="S417" s="8" t="s">
        <v>232</v>
      </c>
      <c r="T417" s="7" t="s">
        <v>226</v>
      </c>
    </row>
    <row r="418" spans="1:20" ht="28">
      <c r="A418" s="81" t="s">
        <v>550</v>
      </c>
      <c r="B418" s="76" t="s">
        <v>670</v>
      </c>
      <c r="C418" s="5"/>
      <c r="D418" s="5" t="s">
        <v>368</v>
      </c>
      <c r="E418" s="132">
        <f t="shared" si="78"/>
        <v>61.662999999999997</v>
      </c>
      <c r="F418" s="139">
        <f>$O$403-P418*($O$403-$O$382)</f>
        <v>51.815563888888889</v>
      </c>
      <c r="G418" s="149"/>
      <c r="H418" s="82" t="str">
        <f t="shared" si="72"/>
        <v>0 percent up in Selandian international stage</v>
      </c>
      <c r="I418" s="142" t="str">
        <f t="shared" si="73"/>
        <v>52.8 percent up in Ypresian international stage</v>
      </c>
      <c r="J418" s="7">
        <v>0</v>
      </c>
      <c r="K418" s="129">
        <f t="shared" si="74"/>
        <v>0</v>
      </c>
      <c r="L418" s="8" t="s">
        <v>45</v>
      </c>
      <c r="M418" s="5" t="s">
        <v>82</v>
      </c>
      <c r="N418" s="5" t="s">
        <v>82</v>
      </c>
      <c r="O418" s="83"/>
      <c r="P418" s="20">
        <v>0.52777777777777768</v>
      </c>
      <c r="Q418" s="143">
        <f t="shared" si="75"/>
        <v>52.8</v>
      </c>
      <c r="R418" s="21" t="s">
        <v>43</v>
      </c>
      <c r="S418" s="8" t="s">
        <v>246</v>
      </c>
      <c r="T418" s="7" t="s">
        <v>226</v>
      </c>
    </row>
    <row r="419" spans="1:20" ht="28">
      <c r="A419" s="81" t="s">
        <v>550</v>
      </c>
      <c r="B419" s="76" t="s">
        <v>45</v>
      </c>
      <c r="C419" s="134"/>
      <c r="D419" s="134" t="s">
        <v>222</v>
      </c>
      <c r="E419" s="132">
        <f t="shared" si="78"/>
        <v>61.662999999999997</v>
      </c>
      <c r="F419" s="139">
        <f>$O$420-P419*($O$420-$O$413)</f>
        <v>59.237000000000002</v>
      </c>
      <c r="G419" s="149"/>
      <c r="H419" s="82" t="str">
        <f t="shared" si="72"/>
        <v>0 percent up in Selandian international stage</v>
      </c>
      <c r="I419" s="142" t="str">
        <f t="shared" si="73"/>
        <v>100 percent up in Selandian international stage</v>
      </c>
      <c r="J419" s="7">
        <v>0</v>
      </c>
      <c r="K419" s="129">
        <f t="shared" si="74"/>
        <v>0</v>
      </c>
      <c r="L419" s="8" t="s">
        <v>45</v>
      </c>
      <c r="M419" s="5" t="s">
        <v>224</v>
      </c>
      <c r="N419" s="5" t="s">
        <v>671</v>
      </c>
      <c r="O419" s="84">
        <f>Master_Chronostrat!I27</f>
        <v>61.662999999999997</v>
      </c>
      <c r="P419" s="20">
        <v>1</v>
      </c>
      <c r="Q419" s="143">
        <f t="shared" si="75"/>
        <v>100</v>
      </c>
      <c r="R419" s="21" t="s">
        <v>45</v>
      </c>
      <c r="S419" s="8" t="s">
        <v>224</v>
      </c>
      <c r="T419" s="7" t="s">
        <v>226</v>
      </c>
    </row>
    <row r="420" spans="1:20" ht="28">
      <c r="A420" s="81" t="s">
        <v>550</v>
      </c>
      <c r="B420" s="76" t="s">
        <v>672</v>
      </c>
      <c r="C420" s="134"/>
      <c r="D420" s="134" t="s">
        <v>222</v>
      </c>
      <c r="E420" s="132">
        <f t="shared" si="78"/>
        <v>61.662999999999997</v>
      </c>
      <c r="F420" s="139">
        <f>$O$420-P420*($O$420-$O$413)</f>
        <v>59.237000000000002</v>
      </c>
      <c r="G420" s="149"/>
      <c r="H420" s="82" t="str">
        <f t="shared" si="72"/>
        <v>0 percent up in Selandian international stage</v>
      </c>
      <c r="I420" s="142" t="str">
        <f t="shared" si="73"/>
        <v>100 percent up in Selandian international stage</v>
      </c>
      <c r="J420" s="7">
        <v>0</v>
      </c>
      <c r="K420" s="129">
        <f t="shared" si="74"/>
        <v>0</v>
      </c>
      <c r="L420" s="8" t="s">
        <v>45</v>
      </c>
      <c r="M420" s="5" t="s">
        <v>82</v>
      </c>
      <c r="N420" s="5" t="s">
        <v>82</v>
      </c>
      <c r="O420" s="84">
        <f>Master_Chronostrat!I27</f>
        <v>61.662999999999997</v>
      </c>
      <c r="P420" s="20">
        <v>1</v>
      </c>
      <c r="Q420" s="143">
        <f t="shared" si="75"/>
        <v>100</v>
      </c>
      <c r="R420" s="21" t="s">
        <v>45</v>
      </c>
      <c r="S420" s="8" t="s">
        <v>232</v>
      </c>
      <c r="T420" s="7" t="s">
        <v>226</v>
      </c>
    </row>
    <row r="421" spans="1:20" ht="28">
      <c r="A421" s="81" t="s">
        <v>550</v>
      </c>
      <c r="B421" s="76" t="s">
        <v>673</v>
      </c>
      <c r="C421" s="5"/>
      <c r="D421" s="5" t="s">
        <v>244</v>
      </c>
      <c r="E421" s="132">
        <f t="shared" ref="E421:E440" si="79">$O$440-J421*($O$440-$O$420)</f>
        <v>62.584473684210522</v>
      </c>
      <c r="F421" s="139">
        <f>$O$420-P421*($O$420-$O$413)</f>
        <v>60.692599999999999</v>
      </c>
      <c r="G421" s="149"/>
      <c r="H421" s="82" t="str">
        <f t="shared" si="72"/>
        <v>78.9 percent up in Danian international stage</v>
      </c>
      <c r="I421" s="142" t="str">
        <f t="shared" si="73"/>
        <v>40 percent up in Selandian international stage</v>
      </c>
      <c r="J421" s="7">
        <v>0.78947368421052688</v>
      </c>
      <c r="K421" s="129">
        <f t="shared" si="74"/>
        <v>78.900000000000006</v>
      </c>
      <c r="L421" s="8" t="s">
        <v>49</v>
      </c>
      <c r="M421" s="5" t="s">
        <v>82</v>
      </c>
      <c r="N421" s="5" t="s">
        <v>82</v>
      </c>
      <c r="O421" s="83"/>
      <c r="P421" s="20">
        <v>0.40000000000000097</v>
      </c>
      <c r="Q421" s="143">
        <f t="shared" si="75"/>
        <v>40</v>
      </c>
      <c r="R421" s="21" t="s">
        <v>45</v>
      </c>
      <c r="S421" s="8" t="s">
        <v>246</v>
      </c>
      <c r="T421" s="7" t="s">
        <v>226</v>
      </c>
    </row>
    <row r="422" spans="1:20" ht="28">
      <c r="A422" s="81" t="s">
        <v>550</v>
      </c>
      <c r="B422" s="75" t="s">
        <v>674</v>
      </c>
      <c r="C422" s="5"/>
      <c r="D422" s="5" t="s">
        <v>322</v>
      </c>
      <c r="E422" s="132">
        <f t="shared" si="79"/>
        <v>63.05568181818181</v>
      </c>
      <c r="F422" s="139">
        <f>$O$420-P422*($O$420-$O$413)</f>
        <v>59.54025</v>
      </c>
      <c r="G422" s="149"/>
      <c r="H422" s="82" t="str">
        <f t="shared" si="72"/>
        <v>68.2 percent up in Danian international stage</v>
      </c>
      <c r="I422" s="142" t="str">
        <f t="shared" si="73"/>
        <v>87.5 percent up in Selandian international stage</v>
      </c>
      <c r="J422" s="7">
        <v>0.68181818181818299</v>
      </c>
      <c r="K422" s="129">
        <f t="shared" si="74"/>
        <v>68.2</v>
      </c>
      <c r="L422" s="8" t="s">
        <v>49</v>
      </c>
      <c r="M422" s="5" t="s">
        <v>82</v>
      </c>
      <c r="N422" s="5" t="s">
        <v>82</v>
      </c>
      <c r="O422" s="83"/>
      <c r="P422" s="20">
        <v>0.875</v>
      </c>
      <c r="Q422" s="143">
        <f t="shared" si="75"/>
        <v>87.5</v>
      </c>
      <c r="R422" s="21" t="s">
        <v>45</v>
      </c>
      <c r="S422" s="8" t="s">
        <v>246</v>
      </c>
      <c r="T422" s="7" t="s">
        <v>226</v>
      </c>
    </row>
    <row r="423" spans="1:20" ht="28">
      <c r="A423" s="81" t="s">
        <v>550</v>
      </c>
      <c r="B423" s="75" t="s">
        <v>675</v>
      </c>
      <c r="C423" s="5"/>
      <c r="D423" s="5" t="s">
        <v>554</v>
      </c>
      <c r="E423" s="132">
        <f t="shared" si="79"/>
        <v>63.453590909090906</v>
      </c>
      <c r="F423" s="139">
        <f>$O$413-P423*($O$413-$O$403)</f>
        <v>57.228448275862064</v>
      </c>
      <c r="G423" s="149"/>
      <c r="H423" s="82" t="str">
        <f t="shared" si="72"/>
        <v>59.1 percent up in Danian international stage</v>
      </c>
      <c r="I423" s="142" t="str">
        <f t="shared" si="73"/>
        <v>62.1 percent up in Thanetian international stage</v>
      </c>
      <c r="J423" s="7">
        <v>0.59090909090909238</v>
      </c>
      <c r="K423" s="129">
        <f t="shared" si="74"/>
        <v>59.1</v>
      </c>
      <c r="L423" s="8" t="s">
        <v>49</v>
      </c>
      <c r="M423" s="5" t="s">
        <v>82</v>
      </c>
      <c r="N423" s="5" t="s">
        <v>82</v>
      </c>
      <c r="O423" s="83"/>
      <c r="P423" s="20">
        <v>0.62068965517241403</v>
      </c>
      <c r="Q423" s="143">
        <f t="shared" si="75"/>
        <v>62.1</v>
      </c>
      <c r="R423" s="21" t="s">
        <v>44</v>
      </c>
      <c r="S423" s="8" t="s">
        <v>246</v>
      </c>
      <c r="T423" s="7" t="s">
        <v>226</v>
      </c>
    </row>
    <row r="424" spans="1:20" ht="28">
      <c r="A424" s="81" t="s">
        <v>550</v>
      </c>
      <c r="B424" s="75" t="s">
        <v>676</v>
      </c>
      <c r="C424" s="5"/>
      <c r="D424" s="5" t="s">
        <v>322</v>
      </c>
      <c r="E424" s="132">
        <f t="shared" si="79"/>
        <v>65.045227272727274</v>
      </c>
      <c r="F424" s="139">
        <f>$O$440-P424*($O$440-$O$420)</f>
        <v>63.055681818181824</v>
      </c>
      <c r="G424" s="149"/>
      <c r="H424" s="82" t="str">
        <f t="shared" si="72"/>
        <v>22.7 percent up in Danian international stage</v>
      </c>
      <c r="I424" s="142" t="str">
        <f t="shared" si="73"/>
        <v>68.2 percent up in Danian international stage</v>
      </c>
      <c r="J424" s="7">
        <v>0.2272727272727264</v>
      </c>
      <c r="K424" s="129">
        <f t="shared" si="74"/>
        <v>22.7</v>
      </c>
      <c r="L424" s="8" t="s">
        <v>49</v>
      </c>
      <c r="M424" s="5" t="s">
        <v>82</v>
      </c>
      <c r="N424" s="5" t="s">
        <v>82</v>
      </c>
      <c r="O424" s="83"/>
      <c r="P424" s="20">
        <v>0.6818181818181811</v>
      </c>
      <c r="Q424" s="143">
        <f t="shared" si="75"/>
        <v>68.2</v>
      </c>
      <c r="R424" s="21" t="s">
        <v>49</v>
      </c>
      <c r="S424" s="8" t="s">
        <v>259</v>
      </c>
      <c r="T424" s="7">
        <v>0.45454545454545309</v>
      </c>
    </row>
    <row r="425" spans="1:20" ht="28">
      <c r="A425" s="81" t="s">
        <v>550</v>
      </c>
      <c r="B425" s="75" t="s">
        <v>677</v>
      </c>
      <c r="C425" s="5"/>
      <c r="D425" s="5" t="s">
        <v>236</v>
      </c>
      <c r="E425" s="132">
        <f t="shared" si="79"/>
        <v>65.54261363636364</v>
      </c>
      <c r="F425" s="139">
        <f>$O$382-P425*($O$382-$O$361)</f>
        <v>43.262417073170731</v>
      </c>
      <c r="G425" s="149"/>
      <c r="H425" s="82" t="str">
        <f t="shared" si="72"/>
        <v>11.4 percent up in Danian international stage</v>
      </c>
      <c r="I425" s="142" t="str">
        <f t="shared" si="73"/>
        <v>68.3 percent up in Lutetian international stage</v>
      </c>
      <c r="J425" s="7">
        <v>0.11363636363636509</v>
      </c>
      <c r="K425" s="129">
        <f t="shared" si="74"/>
        <v>11.4</v>
      </c>
      <c r="L425" s="8" t="s">
        <v>49</v>
      </c>
      <c r="M425" s="5" t="s">
        <v>82</v>
      </c>
      <c r="N425" s="5" t="s">
        <v>82</v>
      </c>
      <c r="O425" s="83"/>
      <c r="P425" s="20">
        <v>0.68292682926829262</v>
      </c>
      <c r="Q425" s="143">
        <f t="shared" si="75"/>
        <v>68.3</v>
      </c>
      <c r="R425" s="21" t="s">
        <v>41</v>
      </c>
      <c r="S425" s="8" t="s">
        <v>246</v>
      </c>
      <c r="T425" s="7" t="s">
        <v>226</v>
      </c>
    </row>
    <row r="426" spans="1:20" ht="28">
      <c r="A426" s="81" t="s">
        <v>550</v>
      </c>
      <c r="B426" s="75" t="s">
        <v>678</v>
      </c>
      <c r="C426" s="5"/>
      <c r="D426" s="5" t="s">
        <v>82</v>
      </c>
      <c r="E426" s="132">
        <f t="shared" si="79"/>
        <v>66.040000000000006</v>
      </c>
      <c r="F426" s="139">
        <f>$O$311-P426*($O$311-$O$296)</f>
        <v>23.04</v>
      </c>
      <c r="G426" s="149"/>
      <c r="H426" s="82" t="str">
        <f t="shared" si="72"/>
        <v>0 percent up in Danian international stage</v>
      </c>
      <c r="I426" s="142" t="str">
        <f t="shared" si="73"/>
        <v>100 percent up in Chattian international stage</v>
      </c>
      <c r="J426" s="7">
        <v>0</v>
      </c>
      <c r="K426" s="129">
        <f t="shared" si="74"/>
        <v>0</v>
      </c>
      <c r="L426" s="8" t="s">
        <v>49</v>
      </c>
      <c r="M426" s="5" t="s">
        <v>82</v>
      </c>
      <c r="N426" s="5" t="s">
        <v>82</v>
      </c>
      <c r="O426" s="83"/>
      <c r="P426" s="20">
        <v>1</v>
      </c>
      <c r="Q426" s="143">
        <f t="shared" si="75"/>
        <v>100</v>
      </c>
      <c r="R426" s="21" t="s">
        <v>36</v>
      </c>
      <c r="S426" s="8" t="s">
        <v>232</v>
      </c>
      <c r="T426" s="7" t="s">
        <v>226</v>
      </c>
    </row>
    <row r="427" spans="1:20" ht="28">
      <c r="A427" s="81" t="s">
        <v>550</v>
      </c>
      <c r="B427" s="76" t="s">
        <v>679</v>
      </c>
      <c r="C427" s="5"/>
      <c r="D427" s="5" t="s">
        <v>244</v>
      </c>
      <c r="E427" s="132">
        <f t="shared" si="79"/>
        <v>66.040000000000006</v>
      </c>
      <c r="F427" s="139">
        <f>$O$440-P427*($O$440-$O$420)</f>
        <v>62.584473684210522</v>
      </c>
      <c r="G427" s="149"/>
      <c r="H427" s="82" t="str">
        <f t="shared" si="72"/>
        <v>0 percent up in Danian international stage</v>
      </c>
      <c r="I427" s="142" t="str">
        <f t="shared" si="73"/>
        <v>78.9 percent up in Danian international stage</v>
      </c>
      <c r="J427" s="7">
        <v>0</v>
      </c>
      <c r="K427" s="129">
        <f t="shared" si="74"/>
        <v>0</v>
      </c>
      <c r="L427" s="8" t="s">
        <v>49</v>
      </c>
      <c r="M427" s="5" t="s">
        <v>82</v>
      </c>
      <c r="N427" s="5" t="s">
        <v>82</v>
      </c>
      <c r="O427" s="83"/>
      <c r="P427" s="20">
        <v>0.78947368421052688</v>
      </c>
      <c r="Q427" s="143">
        <f t="shared" si="75"/>
        <v>78.900000000000006</v>
      </c>
      <c r="R427" s="21" t="s">
        <v>49</v>
      </c>
      <c r="S427" s="8" t="s">
        <v>230</v>
      </c>
      <c r="T427" s="7" t="s">
        <v>226</v>
      </c>
    </row>
    <row r="428" spans="1:20" ht="28">
      <c r="A428" s="81" t="s">
        <v>550</v>
      </c>
      <c r="B428" s="75" t="s">
        <v>680</v>
      </c>
      <c r="C428" s="5"/>
      <c r="D428" s="5" t="s">
        <v>554</v>
      </c>
      <c r="E428" s="132">
        <f t="shared" si="79"/>
        <v>66.040000000000006</v>
      </c>
      <c r="F428" s="139">
        <f>$O$440-P428*($O$440-$O$420)</f>
        <v>63.453590909090913</v>
      </c>
      <c r="G428" s="149"/>
      <c r="H428" s="82" t="str">
        <f t="shared" si="72"/>
        <v>0 percent up in Danian international stage</v>
      </c>
      <c r="I428" s="142" t="str">
        <f t="shared" si="73"/>
        <v>59.1 percent up in Danian international stage</v>
      </c>
      <c r="J428" s="7">
        <v>0</v>
      </c>
      <c r="K428" s="129">
        <f t="shared" si="74"/>
        <v>0</v>
      </c>
      <c r="L428" s="8" t="s">
        <v>49</v>
      </c>
      <c r="M428" s="5" t="s">
        <v>82</v>
      </c>
      <c r="N428" s="5" t="s">
        <v>82</v>
      </c>
      <c r="O428" s="83"/>
      <c r="P428" s="20">
        <v>0.59090909090909061</v>
      </c>
      <c r="Q428" s="143">
        <f t="shared" si="75"/>
        <v>59.1</v>
      </c>
      <c r="R428" s="21" t="s">
        <v>49</v>
      </c>
      <c r="S428" s="8" t="s">
        <v>230</v>
      </c>
      <c r="T428" s="7" t="s">
        <v>226</v>
      </c>
    </row>
    <row r="429" spans="1:20" ht="28">
      <c r="A429" s="81" t="s">
        <v>550</v>
      </c>
      <c r="B429" s="76" t="s">
        <v>681</v>
      </c>
      <c r="C429" s="5"/>
      <c r="D429" s="5" t="s">
        <v>82</v>
      </c>
      <c r="E429" s="132">
        <f t="shared" si="79"/>
        <v>66.040000000000006</v>
      </c>
      <c r="F429" s="139">
        <f>$O$155-P429*($O$155-$O$121)</f>
        <v>1.806</v>
      </c>
      <c r="G429" s="149"/>
      <c r="H429" s="82" t="str">
        <f t="shared" si="72"/>
        <v>0 percent up in Danian international stage</v>
      </c>
      <c r="I429" s="142" t="str">
        <f t="shared" si="73"/>
        <v>100 percent up in Gelasian international stage</v>
      </c>
      <c r="J429" s="7">
        <v>0</v>
      </c>
      <c r="K429" s="129">
        <f t="shared" si="74"/>
        <v>0</v>
      </c>
      <c r="L429" s="8" t="s">
        <v>49</v>
      </c>
      <c r="M429" s="5" t="s">
        <v>82</v>
      </c>
      <c r="N429" s="5" t="s">
        <v>82</v>
      </c>
      <c r="O429" s="83"/>
      <c r="P429" s="20">
        <v>1</v>
      </c>
      <c r="Q429" s="143">
        <f t="shared" si="75"/>
        <v>100</v>
      </c>
      <c r="R429" s="21" t="s">
        <v>24</v>
      </c>
      <c r="S429" s="8" t="s">
        <v>232</v>
      </c>
      <c r="T429" s="7" t="s">
        <v>226</v>
      </c>
    </row>
    <row r="430" spans="1:20" ht="28">
      <c r="A430" s="81" t="s">
        <v>550</v>
      </c>
      <c r="B430" s="76" t="s">
        <v>682</v>
      </c>
      <c r="C430" s="5"/>
      <c r="D430" s="5" t="s">
        <v>236</v>
      </c>
      <c r="E430" s="132">
        <f t="shared" si="79"/>
        <v>66.040000000000006</v>
      </c>
      <c r="F430" s="139">
        <f>$O$413-P430*($O$413-$O$403)</f>
        <v>56.782103448275862</v>
      </c>
      <c r="G430" s="149"/>
      <c r="H430" s="82" t="str">
        <f t="shared" si="72"/>
        <v>0 percent up in Danian international stage</v>
      </c>
      <c r="I430" s="142" t="str">
        <f t="shared" si="73"/>
        <v>75.9 percent up in Thanetian international stage</v>
      </c>
      <c r="J430" s="7">
        <v>0</v>
      </c>
      <c r="K430" s="129">
        <f t="shared" si="74"/>
        <v>0</v>
      </c>
      <c r="L430" s="8" t="s">
        <v>49</v>
      </c>
      <c r="M430" s="5" t="s">
        <v>82</v>
      </c>
      <c r="N430" s="5" t="s">
        <v>82</v>
      </c>
      <c r="O430" s="83"/>
      <c r="P430" s="20">
        <v>0.75862068965517193</v>
      </c>
      <c r="Q430" s="143">
        <f t="shared" si="75"/>
        <v>75.900000000000006</v>
      </c>
      <c r="R430" s="21" t="s">
        <v>44</v>
      </c>
      <c r="S430" s="8" t="s">
        <v>246</v>
      </c>
      <c r="T430" s="7" t="s">
        <v>226</v>
      </c>
    </row>
    <row r="431" spans="1:20" ht="28">
      <c r="A431" s="81" t="s">
        <v>550</v>
      </c>
      <c r="B431" s="76" t="s">
        <v>683</v>
      </c>
      <c r="C431" s="5"/>
      <c r="D431" s="5" t="s">
        <v>270</v>
      </c>
      <c r="E431" s="132">
        <f t="shared" si="79"/>
        <v>66.040000000000006</v>
      </c>
      <c r="F431" s="139">
        <f>$O$413-P431*($O$413-$O$403)</f>
        <v>56.000999999999998</v>
      </c>
      <c r="G431" s="149"/>
      <c r="H431" s="82" t="str">
        <f t="shared" si="72"/>
        <v>0 percent up in Danian international stage</v>
      </c>
      <c r="I431" s="142" t="str">
        <f t="shared" si="73"/>
        <v>100 percent up in Thanetian international stage</v>
      </c>
      <c r="J431" s="7">
        <v>0</v>
      </c>
      <c r="K431" s="129">
        <f t="shared" si="74"/>
        <v>0</v>
      </c>
      <c r="L431" s="8" t="s">
        <v>49</v>
      </c>
      <c r="M431" s="5" t="s">
        <v>82</v>
      </c>
      <c r="N431" s="5" t="s">
        <v>82</v>
      </c>
      <c r="O431" s="83"/>
      <c r="P431" s="20">
        <v>1</v>
      </c>
      <c r="Q431" s="143">
        <f t="shared" si="75"/>
        <v>100</v>
      </c>
      <c r="R431" s="21" t="s">
        <v>44</v>
      </c>
      <c r="S431" s="8" t="s">
        <v>232</v>
      </c>
      <c r="T431" s="7" t="s">
        <v>226</v>
      </c>
    </row>
    <row r="432" spans="1:20" ht="28">
      <c r="A432" s="81" t="s">
        <v>550</v>
      </c>
      <c r="B432" s="76" t="s">
        <v>684</v>
      </c>
      <c r="C432" s="134"/>
      <c r="D432" s="134" t="s">
        <v>222</v>
      </c>
      <c r="E432" s="132">
        <f t="shared" si="79"/>
        <v>66.040000000000006</v>
      </c>
      <c r="F432" s="139">
        <f>$O$440-P432*($O$440-$O$420)</f>
        <v>61.662999999999997</v>
      </c>
      <c r="G432" s="149"/>
      <c r="H432" s="82" t="str">
        <f t="shared" si="72"/>
        <v>0 percent up in Danian international stage</v>
      </c>
      <c r="I432" s="142" t="str">
        <f t="shared" si="73"/>
        <v>100 percent up in Danian international stage</v>
      </c>
      <c r="J432" s="7">
        <v>0</v>
      </c>
      <c r="K432" s="129">
        <f t="shared" si="74"/>
        <v>0</v>
      </c>
      <c r="L432" s="8" t="s">
        <v>49</v>
      </c>
      <c r="M432" s="5" t="s">
        <v>82</v>
      </c>
      <c r="N432" s="5" t="s">
        <v>82</v>
      </c>
      <c r="O432" s="83"/>
      <c r="P432" s="20">
        <v>1</v>
      </c>
      <c r="Q432" s="143">
        <f t="shared" si="75"/>
        <v>100</v>
      </c>
      <c r="R432" s="21" t="s">
        <v>49</v>
      </c>
      <c r="S432" s="8" t="s">
        <v>232</v>
      </c>
      <c r="T432" s="7" t="s">
        <v>226</v>
      </c>
    </row>
    <row r="433" spans="1:20" ht="28">
      <c r="A433" s="81"/>
      <c r="B433" s="76" t="s">
        <v>1818</v>
      </c>
      <c r="C433" s="5"/>
      <c r="D433" s="5" t="s">
        <v>82</v>
      </c>
      <c r="E433" s="132">
        <f t="shared" si="79"/>
        <v>63.151179999999997</v>
      </c>
      <c r="F433" s="139">
        <f>$O$440-P433*($O$440-$O$420)</f>
        <v>61.662999999999997</v>
      </c>
      <c r="G433" s="8" t="s">
        <v>1667</v>
      </c>
      <c r="H433" s="82" t="str">
        <f t="shared" si="72"/>
        <v>66 percent up in Danian international stage</v>
      </c>
      <c r="I433" s="142" t="str">
        <f t="shared" si="73"/>
        <v>100 percent up in Danian international stage</v>
      </c>
      <c r="J433" s="7">
        <v>0.66</v>
      </c>
      <c r="K433" s="129">
        <f t="shared" si="74"/>
        <v>66</v>
      </c>
      <c r="L433" s="8" t="s">
        <v>49</v>
      </c>
      <c r="M433" s="5"/>
      <c r="O433" s="83"/>
      <c r="P433" s="20">
        <v>1</v>
      </c>
      <c r="Q433" s="143">
        <f t="shared" ref="Q433:Q435" si="80">ROUND(P433*100,1)</f>
        <v>100</v>
      </c>
      <c r="R433" s="21" t="s">
        <v>49</v>
      </c>
      <c r="S433" s="8" t="s">
        <v>1667</v>
      </c>
    </row>
    <row r="434" spans="1:20" ht="28">
      <c r="A434" s="81"/>
      <c r="B434" s="76" t="s">
        <v>1819</v>
      </c>
      <c r="C434" s="5"/>
      <c r="D434" s="5" t="s">
        <v>82</v>
      </c>
      <c r="E434" s="132">
        <f t="shared" si="79"/>
        <v>64.595590000000001</v>
      </c>
      <c r="F434" s="139">
        <f>$O$440-P434*($O$440-$O$420)</f>
        <v>63.151179999999997</v>
      </c>
      <c r="G434" s="8" t="s">
        <v>1668</v>
      </c>
      <c r="H434" s="82" t="str">
        <f t="shared" si="72"/>
        <v>33 percent up in Danian international stage</v>
      </c>
      <c r="I434" s="142" t="str">
        <f t="shared" si="73"/>
        <v>66 percent up in Danian international stage</v>
      </c>
      <c r="J434" s="7">
        <v>0.33</v>
      </c>
      <c r="K434" s="129">
        <f t="shared" si="74"/>
        <v>33</v>
      </c>
      <c r="L434" s="8" t="s">
        <v>49</v>
      </c>
      <c r="M434" s="5"/>
      <c r="O434" s="83"/>
      <c r="P434" s="20">
        <v>0.66</v>
      </c>
      <c r="Q434" s="143">
        <f t="shared" si="80"/>
        <v>66</v>
      </c>
      <c r="R434" s="21" t="s">
        <v>49</v>
      </c>
      <c r="S434" s="8" t="s">
        <v>1668</v>
      </c>
    </row>
    <row r="435" spans="1:20" ht="28">
      <c r="A435" s="81"/>
      <c r="B435" s="76" t="s">
        <v>1820</v>
      </c>
      <c r="C435" s="5"/>
      <c r="D435" s="5" t="s">
        <v>82</v>
      </c>
      <c r="E435" s="132">
        <f t="shared" ref="E435" si="81">$O$440-J435*($O$440-$O$420)</f>
        <v>66.040000000000006</v>
      </c>
      <c r="F435" s="139">
        <f>$O$440-P435*($O$440-$O$420)</f>
        <v>64.595590000000001</v>
      </c>
      <c r="G435" s="8" t="s">
        <v>1669</v>
      </c>
      <c r="H435" s="82" t="str">
        <f t="shared" ref="H435" si="82">CONCATENATE(K435," percent up in ",L435," international stage")</f>
        <v>0 percent up in Danian international stage</v>
      </c>
      <c r="I435" s="142" t="str">
        <f t="shared" ref="I435" si="83">CONCATENATE(Q435," percent up in ",R435," international stage")</f>
        <v>33 percent up in Danian international stage</v>
      </c>
      <c r="J435" s="7">
        <v>0</v>
      </c>
      <c r="K435" s="129">
        <f t="shared" ref="K435" si="84">ROUND(J435*100,1)</f>
        <v>0</v>
      </c>
      <c r="L435" s="8" t="s">
        <v>49</v>
      </c>
      <c r="M435" s="5"/>
      <c r="O435" s="83"/>
      <c r="P435" s="20">
        <v>0.33</v>
      </c>
      <c r="Q435" s="143">
        <f t="shared" si="80"/>
        <v>33</v>
      </c>
      <c r="R435" s="21" t="s">
        <v>49</v>
      </c>
      <c r="S435" s="8" t="s">
        <v>1669</v>
      </c>
    </row>
    <row r="436" spans="1:20" ht="28">
      <c r="A436" s="81" t="s">
        <v>550</v>
      </c>
      <c r="B436" s="76" t="s">
        <v>49</v>
      </c>
      <c r="C436" s="134" t="s">
        <v>7</v>
      </c>
      <c r="D436" s="134" t="s">
        <v>222</v>
      </c>
      <c r="E436" s="132">
        <f t="shared" si="79"/>
        <v>66.040000000000006</v>
      </c>
      <c r="F436" s="139">
        <f>$O$440-P436*($O$440-$O$420)</f>
        <v>61.662999999999997</v>
      </c>
      <c r="G436" s="149"/>
      <c r="H436" s="82" t="str">
        <f t="shared" si="72"/>
        <v>0 percent up in Danian international stage</v>
      </c>
      <c r="I436" s="142" t="str">
        <f t="shared" si="73"/>
        <v>100 percent up in Danian international stage</v>
      </c>
      <c r="J436" s="7">
        <v>0</v>
      </c>
      <c r="K436" s="129">
        <f t="shared" si="74"/>
        <v>0</v>
      </c>
      <c r="L436" s="8" t="s">
        <v>49</v>
      </c>
      <c r="M436" s="5" t="s">
        <v>224</v>
      </c>
      <c r="N436" s="5" t="s">
        <v>685</v>
      </c>
      <c r="O436" s="84">
        <f>Master_Chronostrat!I28</f>
        <v>66.040000000000006</v>
      </c>
      <c r="P436" s="20">
        <v>1</v>
      </c>
      <c r="Q436" s="143">
        <f t="shared" si="75"/>
        <v>100</v>
      </c>
      <c r="R436" s="21" t="s">
        <v>49</v>
      </c>
      <c r="S436" s="8" t="s">
        <v>224</v>
      </c>
      <c r="T436" s="7" t="s">
        <v>226</v>
      </c>
    </row>
    <row r="437" spans="1:20" ht="28">
      <c r="A437" s="81" t="s">
        <v>550</v>
      </c>
      <c r="B437" s="76" t="s">
        <v>48</v>
      </c>
      <c r="C437" s="134" t="s">
        <v>5</v>
      </c>
      <c r="D437" s="134" t="s">
        <v>222</v>
      </c>
      <c r="E437" s="132">
        <f t="shared" si="79"/>
        <v>66.040000000000006</v>
      </c>
      <c r="F437" s="139">
        <f>$O$413-P437*($O$413-$O$403)</f>
        <v>56.000999999999998</v>
      </c>
      <c r="G437" s="149"/>
      <c r="H437" s="82" t="str">
        <f t="shared" si="72"/>
        <v>0 percent up in Danian international stage</v>
      </c>
      <c r="I437" s="142" t="str">
        <f t="shared" si="73"/>
        <v>100 percent up in Thanetian international stage</v>
      </c>
      <c r="J437" s="7">
        <v>0</v>
      </c>
      <c r="K437" s="129">
        <f t="shared" si="74"/>
        <v>0</v>
      </c>
      <c r="L437" s="8" t="s">
        <v>49</v>
      </c>
      <c r="M437" s="5" t="s">
        <v>224</v>
      </c>
      <c r="N437" s="5" t="s">
        <v>686</v>
      </c>
      <c r="O437" s="84">
        <f>Master_Chronostrat!I28</f>
        <v>66.040000000000006</v>
      </c>
      <c r="P437" s="20">
        <v>1</v>
      </c>
      <c r="Q437" s="143">
        <f t="shared" si="75"/>
        <v>100</v>
      </c>
      <c r="R437" s="21" t="s">
        <v>44</v>
      </c>
      <c r="S437" s="8" t="s">
        <v>239</v>
      </c>
      <c r="T437" s="7" t="s">
        <v>226</v>
      </c>
    </row>
    <row r="438" spans="1:20" ht="28">
      <c r="A438" s="81"/>
      <c r="B438" s="76" t="s">
        <v>1817</v>
      </c>
      <c r="C438" s="134" t="s">
        <v>3</v>
      </c>
      <c r="D438" s="134" t="s">
        <v>222</v>
      </c>
      <c r="E438" s="132">
        <f t="shared" ref="E438" si="85">$O$440-J438*($O$440-$O$420)</f>
        <v>66.040000000000006</v>
      </c>
      <c r="F438" s="139">
        <f>$O$311-P438*($O$311-$O$296)</f>
        <v>23.04</v>
      </c>
      <c r="G438" s="149"/>
      <c r="H438" s="82" t="str">
        <f t="shared" ref="H438" si="86">CONCATENATE(K438," percent up in ",L438," international stage")</f>
        <v>0 percent up in Danian international stage</v>
      </c>
      <c r="I438" s="142" t="str">
        <f t="shared" ref="I438" si="87">CONCATENATE(Q438," percent up in ",R438," international stage")</f>
        <v>100 percent up in Danian international stage</v>
      </c>
      <c r="J438" s="7">
        <v>0</v>
      </c>
      <c r="K438" s="129">
        <f t="shared" ref="K438" si="88">ROUND(J438*100,1)</f>
        <v>0</v>
      </c>
      <c r="L438" s="8" t="s">
        <v>49</v>
      </c>
      <c r="M438" s="5"/>
      <c r="O438" s="84"/>
      <c r="P438" s="20">
        <v>1</v>
      </c>
      <c r="Q438" s="143">
        <f t="shared" ref="Q438" si="89">ROUND(P438*100,1)</f>
        <v>100</v>
      </c>
      <c r="R438" s="21" t="s">
        <v>49</v>
      </c>
      <c r="S438" s="8"/>
    </row>
    <row r="439" spans="1:20" ht="28">
      <c r="A439" s="81" t="s">
        <v>550</v>
      </c>
      <c r="B439" s="76" t="s">
        <v>47</v>
      </c>
      <c r="C439" s="134" t="s">
        <v>3</v>
      </c>
      <c r="D439" s="134" t="s">
        <v>222</v>
      </c>
      <c r="E439" s="132">
        <f t="shared" si="79"/>
        <v>66.040000000000006</v>
      </c>
      <c r="F439" s="139">
        <f>$O$311-P439*($O$311-$O$296)</f>
        <v>23.04</v>
      </c>
      <c r="G439" s="149"/>
      <c r="H439" s="82" t="str">
        <f t="shared" si="72"/>
        <v>0 percent up in Danian international stage</v>
      </c>
      <c r="I439" s="142" t="str">
        <f t="shared" si="73"/>
        <v>100 percent up in Chattian international stage</v>
      </c>
      <c r="J439" s="7">
        <v>0</v>
      </c>
      <c r="K439" s="129">
        <f t="shared" si="74"/>
        <v>0</v>
      </c>
      <c r="L439" s="8" t="s">
        <v>49</v>
      </c>
      <c r="M439" s="5" t="s">
        <v>224</v>
      </c>
      <c r="N439" s="5" t="s">
        <v>17</v>
      </c>
      <c r="O439" s="84">
        <f>Master_Chronostrat!I28</f>
        <v>66.040000000000006</v>
      </c>
      <c r="P439" s="20">
        <v>1</v>
      </c>
      <c r="Q439" s="143">
        <f t="shared" si="75"/>
        <v>100</v>
      </c>
      <c r="R439" s="21" t="s">
        <v>36</v>
      </c>
      <c r="S439" s="8" t="s">
        <v>239</v>
      </c>
      <c r="T439" s="7" t="s">
        <v>226</v>
      </c>
    </row>
    <row r="440" spans="1:20" ht="28">
      <c r="A440" s="81" t="s">
        <v>550</v>
      </c>
      <c r="B440" s="100" t="s">
        <v>46</v>
      </c>
      <c r="C440" s="134" t="s">
        <v>2</v>
      </c>
      <c r="D440" s="134" t="s">
        <v>222</v>
      </c>
      <c r="E440" s="132">
        <f t="shared" si="79"/>
        <v>66.040000000000006</v>
      </c>
      <c r="F440" s="139">
        <f>$O$4-P440*($O$4-$O$3)</f>
        <v>0</v>
      </c>
      <c r="G440" s="149"/>
      <c r="H440" s="82" t="str">
        <f t="shared" si="72"/>
        <v>0 percent up in Danian international stage</v>
      </c>
      <c r="I440" s="142" t="str">
        <f t="shared" si="73"/>
        <v>100 percent up in Meghalayan international stage</v>
      </c>
      <c r="J440" s="7">
        <v>0</v>
      </c>
      <c r="K440" s="129">
        <f t="shared" si="74"/>
        <v>0</v>
      </c>
      <c r="L440" s="8" t="s">
        <v>49</v>
      </c>
      <c r="M440" s="5" t="s">
        <v>224</v>
      </c>
      <c r="N440" s="5" t="s">
        <v>687</v>
      </c>
      <c r="O440" s="84">
        <f>Master_Chronostrat!I28</f>
        <v>66.040000000000006</v>
      </c>
      <c r="P440" s="20">
        <v>1</v>
      </c>
      <c r="Q440" s="143">
        <f t="shared" si="75"/>
        <v>100</v>
      </c>
      <c r="R440" s="21" t="s">
        <v>13</v>
      </c>
      <c r="S440" s="8" t="s">
        <v>239</v>
      </c>
      <c r="T440" s="7" t="s">
        <v>226</v>
      </c>
    </row>
    <row r="441" spans="1:20" ht="28">
      <c r="A441" s="90" t="s">
        <v>688</v>
      </c>
      <c r="B441" s="86" t="s">
        <v>689</v>
      </c>
      <c r="C441" s="5"/>
      <c r="D441" s="5" t="s">
        <v>270</v>
      </c>
      <c r="E441" s="132">
        <f t="shared" ref="E441:E450" si="90">$O$450-J441*($O$450-$O$440)</f>
        <v>68.443921568627459</v>
      </c>
      <c r="F441" s="139">
        <f>$O$440-P441*($O$440-$O$420)</f>
        <v>61.662999999999997</v>
      </c>
      <c r="G441" s="149"/>
      <c r="H441" s="82" t="str">
        <f t="shared" si="72"/>
        <v>60.8 percent up in Maastrichtian international stage</v>
      </c>
      <c r="I441" s="142" t="str">
        <f t="shared" si="73"/>
        <v>100 percent up in Danian international stage</v>
      </c>
      <c r="J441" s="7">
        <v>0.60784313725490158</v>
      </c>
      <c r="K441" s="129">
        <f t="shared" si="74"/>
        <v>60.8</v>
      </c>
      <c r="L441" s="8" t="s">
        <v>50</v>
      </c>
      <c r="M441" s="5" t="s">
        <v>82</v>
      </c>
      <c r="N441" s="5" t="s">
        <v>82</v>
      </c>
      <c r="O441" s="83"/>
      <c r="P441" s="20">
        <v>1</v>
      </c>
      <c r="Q441" s="143">
        <f t="shared" si="75"/>
        <v>100</v>
      </c>
      <c r="R441" s="21" t="s">
        <v>49</v>
      </c>
      <c r="S441" s="8" t="s">
        <v>246</v>
      </c>
      <c r="T441" s="7" t="s">
        <v>226</v>
      </c>
    </row>
    <row r="442" spans="1:20" ht="28">
      <c r="A442" s="90" t="s">
        <v>688</v>
      </c>
      <c r="B442" s="87" t="s">
        <v>690</v>
      </c>
      <c r="C442" s="5"/>
      <c r="D442" s="5" t="s">
        <v>270</v>
      </c>
      <c r="E442" s="132">
        <f t="shared" si="90"/>
        <v>69.044901960784316</v>
      </c>
      <c r="F442" s="139">
        <f t="shared" ref="F442:F451" si="91">$O$450-P442*($O$450-$O$440)</f>
        <v>66.040000000000006</v>
      </c>
      <c r="G442" s="149"/>
      <c r="H442" s="82" t="str">
        <f t="shared" si="72"/>
        <v>51 percent up in Maastrichtian international stage</v>
      </c>
      <c r="I442" s="142" t="str">
        <f t="shared" si="73"/>
        <v>100 percent up in Maastrichtian international stage</v>
      </c>
      <c r="J442" s="7">
        <v>0.50980392156862697</v>
      </c>
      <c r="K442" s="129">
        <f t="shared" si="74"/>
        <v>51</v>
      </c>
      <c r="L442" s="8" t="s">
        <v>50</v>
      </c>
      <c r="M442" s="5" t="s">
        <v>82</v>
      </c>
      <c r="N442" s="5" t="s">
        <v>82</v>
      </c>
      <c r="O442" s="83"/>
      <c r="P442" s="20">
        <v>1</v>
      </c>
      <c r="Q442" s="143">
        <f t="shared" si="75"/>
        <v>100</v>
      </c>
      <c r="R442" s="21" t="s">
        <v>50</v>
      </c>
      <c r="S442" s="8" t="s">
        <v>272</v>
      </c>
      <c r="T442" s="7" t="s">
        <v>226</v>
      </c>
    </row>
    <row r="443" spans="1:20" ht="28">
      <c r="A443" s="90" t="s">
        <v>688</v>
      </c>
      <c r="B443" s="88" t="s">
        <v>691</v>
      </c>
      <c r="C443" s="5"/>
      <c r="D443" s="5" t="s">
        <v>270</v>
      </c>
      <c r="E443" s="132">
        <f t="shared" si="90"/>
        <v>69.044901960784316</v>
      </c>
      <c r="F443" s="139">
        <f t="shared" si="91"/>
        <v>66.040000000000006</v>
      </c>
      <c r="G443" s="149"/>
      <c r="H443" s="82" t="str">
        <f t="shared" si="72"/>
        <v>51 percent up in Maastrichtian international stage</v>
      </c>
      <c r="I443" s="142" t="str">
        <f t="shared" si="73"/>
        <v>100 percent up in Maastrichtian international stage</v>
      </c>
      <c r="J443" s="7">
        <v>0.50980392156862697</v>
      </c>
      <c r="K443" s="129">
        <f t="shared" si="74"/>
        <v>51</v>
      </c>
      <c r="L443" s="8" t="s">
        <v>50</v>
      </c>
      <c r="M443" s="5" t="s">
        <v>82</v>
      </c>
      <c r="N443" s="5" t="s">
        <v>82</v>
      </c>
      <c r="O443" s="83"/>
      <c r="P443" s="20">
        <v>1</v>
      </c>
      <c r="Q443" s="143">
        <f t="shared" si="75"/>
        <v>100</v>
      </c>
      <c r="R443" s="21" t="s">
        <v>50</v>
      </c>
      <c r="S443" s="8" t="s">
        <v>272</v>
      </c>
      <c r="T443" s="7" t="s">
        <v>226</v>
      </c>
    </row>
    <row r="444" spans="1:20" ht="28">
      <c r="A444" s="90" t="s">
        <v>688</v>
      </c>
      <c r="B444" s="88" t="s">
        <v>692</v>
      </c>
      <c r="C444" s="5"/>
      <c r="D444" s="5" t="s">
        <v>270</v>
      </c>
      <c r="E444" s="132">
        <f t="shared" si="90"/>
        <v>72.17</v>
      </c>
      <c r="F444" s="139">
        <f t="shared" si="91"/>
        <v>69.044901960784316</v>
      </c>
      <c r="G444" s="149"/>
      <c r="H444" s="82" t="str">
        <f t="shared" si="72"/>
        <v>0 percent up in Maastrichtian international stage</v>
      </c>
      <c r="I444" s="142" t="str">
        <f t="shared" si="73"/>
        <v>51 percent up in Maastrichtian international stage</v>
      </c>
      <c r="J444" s="7">
        <v>0</v>
      </c>
      <c r="K444" s="129">
        <f t="shared" si="74"/>
        <v>0</v>
      </c>
      <c r="L444" s="8" t="s">
        <v>50</v>
      </c>
      <c r="M444" s="5" t="s">
        <v>82</v>
      </c>
      <c r="N444" s="5" t="s">
        <v>82</v>
      </c>
      <c r="O444" s="83"/>
      <c r="P444" s="20">
        <v>0.50980392156862686</v>
      </c>
      <c r="Q444" s="143">
        <f t="shared" si="75"/>
        <v>51</v>
      </c>
      <c r="R444" s="21" t="s">
        <v>50</v>
      </c>
      <c r="S444" s="8" t="s">
        <v>230</v>
      </c>
      <c r="T444" s="7" t="s">
        <v>226</v>
      </c>
    </row>
    <row r="445" spans="1:20" ht="28">
      <c r="A445" s="90" t="s">
        <v>688</v>
      </c>
      <c r="B445" s="88" t="s">
        <v>693</v>
      </c>
      <c r="C445" s="5"/>
      <c r="D445" s="5" t="s">
        <v>236</v>
      </c>
      <c r="E445" s="132">
        <f t="shared" si="90"/>
        <v>72.17</v>
      </c>
      <c r="F445" s="139">
        <f t="shared" si="91"/>
        <v>66.040000000000006</v>
      </c>
      <c r="G445" s="149"/>
      <c r="H445" s="82" t="str">
        <f t="shared" si="72"/>
        <v>0 percent up in Maastrichtian international stage</v>
      </c>
      <c r="I445" s="142" t="str">
        <f t="shared" si="73"/>
        <v>100 percent up in Maastrichtian international stage</v>
      </c>
      <c r="J445" s="7">
        <v>0</v>
      </c>
      <c r="K445" s="129">
        <f t="shared" si="74"/>
        <v>0</v>
      </c>
      <c r="L445" s="8" t="s">
        <v>50</v>
      </c>
      <c r="M445" s="5" t="s">
        <v>82</v>
      </c>
      <c r="N445" s="5" t="s">
        <v>82</v>
      </c>
      <c r="O445" s="83"/>
      <c r="P445" s="20">
        <v>1</v>
      </c>
      <c r="Q445" s="143">
        <f t="shared" si="75"/>
        <v>100</v>
      </c>
      <c r="R445" s="21" t="s">
        <v>50</v>
      </c>
      <c r="S445" s="8" t="s">
        <v>232</v>
      </c>
      <c r="T445" s="7" t="s">
        <v>226</v>
      </c>
    </row>
    <row r="446" spans="1:20" ht="28">
      <c r="A446" s="90" t="s">
        <v>688</v>
      </c>
      <c r="B446" s="88" t="s">
        <v>694</v>
      </c>
      <c r="C446" s="5"/>
      <c r="D446" s="5" t="s">
        <v>82</v>
      </c>
      <c r="E446" s="132">
        <f t="shared" si="90"/>
        <v>72.17</v>
      </c>
      <c r="F446" s="139">
        <f t="shared" si="91"/>
        <v>66.040000000000006</v>
      </c>
      <c r="G446" s="149"/>
      <c r="H446" s="82" t="str">
        <f t="shared" si="72"/>
        <v>0 percent up in Maastrichtian international stage</v>
      </c>
      <c r="I446" s="142" t="str">
        <f t="shared" si="73"/>
        <v>100 percent up in Maastrichtian international stage</v>
      </c>
      <c r="J446" s="7">
        <v>0</v>
      </c>
      <c r="K446" s="129">
        <f t="shared" si="74"/>
        <v>0</v>
      </c>
      <c r="L446" s="8" t="s">
        <v>50</v>
      </c>
      <c r="M446" s="5" t="s">
        <v>82</v>
      </c>
      <c r="N446" s="5" t="s">
        <v>82</v>
      </c>
      <c r="O446" s="83"/>
      <c r="P446" s="20">
        <v>1</v>
      </c>
      <c r="Q446" s="143">
        <f t="shared" si="75"/>
        <v>100</v>
      </c>
      <c r="R446" s="21" t="s">
        <v>50</v>
      </c>
      <c r="S446" s="8" t="s">
        <v>232</v>
      </c>
      <c r="T446" s="7" t="s">
        <v>226</v>
      </c>
    </row>
    <row r="447" spans="1:20" ht="28">
      <c r="A447" s="90" t="s">
        <v>688</v>
      </c>
      <c r="B447" s="88" t="s">
        <v>695</v>
      </c>
      <c r="C447" s="5"/>
      <c r="D447" s="5" t="s">
        <v>82</v>
      </c>
      <c r="E447" s="132">
        <f t="shared" si="90"/>
        <v>72.17</v>
      </c>
      <c r="F447" s="139">
        <f t="shared" si="91"/>
        <v>66.040000000000006</v>
      </c>
      <c r="G447" s="149"/>
      <c r="H447" s="82" t="str">
        <f t="shared" si="72"/>
        <v>0 percent up in Maastrichtian international stage</v>
      </c>
      <c r="I447" s="142" t="str">
        <f t="shared" si="73"/>
        <v>100 percent up in Maastrichtian international stage</v>
      </c>
      <c r="J447" s="7">
        <v>0</v>
      </c>
      <c r="K447" s="129">
        <f t="shared" si="74"/>
        <v>0</v>
      </c>
      <c r="L447" s="8" t="s">
        <v>50</v>
      </c>
      <c r="M447" s="5" t="s">
        <v>82</v>
      </c>
      <c r="N447" s="5" t="s">
        <v>82</v>
      </c>
      <c r="O447" s="83"/>
      <c r="P447" s="20">
        <v>1</v>
      </c>
      <c r="Q447" s="143">
        <f t="shared" si="75"/>
        <v>100</v>
      </c>
      <c r="R447" s="21" t="s">
        <v>50</v>
      </c>
      <c r="S447" s="8" t="s">
        <v>232</v>
      </c>
      <c r="T447" s="7" t="s">
        <v>226</v>
      </c>
    </row>
    <row r="448" spans="1:20" ht="28">
      <c r="A448" s="90"/>
      <c r="B448" s="88" t="s">
        <v>1572</v>
      </c>
      <c r="C448" s="5"/>
      <c r="D448" s="5" t="s">
        <v>82</v>
      </c>
      <c r="E448" s="132">
        <f t="shared" ref="E448:E449" si="92">$O$450-J448*($O$450-$O$440)</f>
        <v>69.718000000000004</v>
      </c>
      <c r="F448" s="139">
        <f t="shared" ref="F448" si="93">$O$450-P448*($O$450-$O$440)</f>
        <v>66.040000000000006</v>
      </c>
      <c r="G448" s="149" t="s">
        <v>1579</v>
      </c>
      <c r="H448" s="82" t="str">
        <f t="shared" ref="H448:H449" si="94">CONCATENATE(K448," percent up in ",L448," international stage")</f>
        <v>40 percent up in Maastrichtian international stage</v>
      </c>
      <c r="I448" s="142" t="str">
        <f t="shared" ref="I448:I449" si="95">CONCATENATE(Q448," percent up in ",R448," international stage")</f>
        <v>100 percent up in Maastrichtian international stage</v>
      </c>
      <c r="J448" s="7">
        <v>0.4</v>
      </c>
      <c r="K448" s="129">
        <f t="shared" si="74"/>
        <v>40</v>
      </c>
      <c r="L448" s="8" t="s">
        <v>50</v>
      </c>
      <c r="M448" s="5" t="s">
        <v>82</v>
      </c>
      <c r="N448" s="5" t="s">
        <v>82</v>
      </c>
      <c r="O448" s="83"/>
      <c r="P448" s="20">
        <v>1</v>
      </c>
      <c r="Q448" s="143">
        <f t="shared" ref="Q448" si="96">ROUND(P448*100,1)</f>
        <v>100</v>
      </c>
      <c r="R448" s="21" t="s">
        <v>50</v>
      </c>
      <c r="S448" s="150" t="s">
        <v>1590</v>
      </c>
    </row>
    <row r="449" spans="1:20" ht="28">
      <c r="A449" s="90"/>
      <c r="B449" s="88" t="s">
        <v>1573</v>
      </c>
      <c r="C449" s="5"/>
      <c r="D449" s="5" t="s">
        <v>82</v>
      </c>
      <c r="E449" s="132">
        <f t="shared" si="92"/>
        <v>72.17</v>
      </c>
      <c r="F449" s="139">
        <f>$O$450-P449*($O$450-$O$440)</f>
        <v>69.718000000000004</v>
      </c>
      <c r="G449" s="149" t="s">
        <v>1578</v>
      </c>
      <c r="H449" s="82" t="str">
        <f t="shared" si="94"/>
        <v>0 percent up in Maastrichtian international stage</v>
      </c>
      <c r="I449" s="142" t="str">
        <f t="shared" si="95"/>
        <v>50 percent up in Maastrichtian international stage</v>
      </c>
      <c r="J449" s="7">
        <v>0</v>
      </c>
      <c r="K449" s="129">
        <f t="shared" ref="K449" si="97">ROUND(J449*100,1)</f>
        <v>0</v>
      </c>
      <c r="L449" s="8" t="s">
        <v>50</v>
      </c>
      <c r="M449" s="5" t="s">
        <v>82</v>
      </c>
      <c r="N449" s="5" t="s">
        <v>82</v>
      </c>
      <c r="O449" s="83"/>
      <c r="P449" s="20">
        <v>0.4</v>
      </c>
      <c r="Q449" s="143">
        <v>50</v>
      </c>
      <c r="R449" s="21" t="s">
        <v>50</v>
      </c>
      <c r="S449" s="150" t="s">
        <v>1591</v>
      </c>
    </row>
    <row r="450" spans="1:20" ht="28">
      <c r="A450" s="90" t="s">
        <v>688</v>
      </c>
      <c r="B450" s="88" t="s">
        <v>50</v>
      </c>
      <c r="C450" s="134"/>
      <c r="D450" s="134" t="s">
        <v>222</v>
      </c>
      <c r="E450" s="132">
        <f t="shared" si="90"/>
        <v>72.17</v>
      </c>
      <c r="F450" s="139">
        <f t="shared" si="91"/>
        <v>66.040000000000006</v>
      </c>
      <c r="G450" s="149"/>
      <c r="H450" s="82" t="str">
        <f t="shared" si="72"/>
        <v>0 percent up in Maastrichtian international stage</v>
      </c>
      <c r="I450" s="142" t="str">
        <f t="shared" si="73"/>
        <v>100 percent up in Maastrichtian international stage</v>
      </c>
      <c r="J450" s="7">
        <v>0</v>
      </c>
      <c r="K450" s="129">
        <f t="shared" si="74"/>
        <v>0</v>
      </c>
      <c r="L450" s="8" t="s">
        <v>50</v>
      </c>
      <c r="M450" s="5" t="s">
        <v>224</v>
      </c>
      <c r="N450" s="5" t="s">
        <v>696</v>
      </c>
      <c r="O450" s="83">
        <f>Master_Chronostrat!I30</f>
        <v>72.17</v>
      </c>
      <c r="P450" s="20">
        <v>1</v>
      </c>
      <c r="Q450" s="143">
        <f t="shared" si="75"/>
        <v>100</v>
      </c>
      <c r="R450" s="21" t="s">
        <v>50</v>
      </c>
      <c r="S450" s="8" t="s">
        <v>224</v>
      </c>
      <c r="T450" s="7" t="s">
        <v>226</v>
      </c>
    </row>
    <row r="451" spans="1:20" ht="28">
      <c r="A451" s="90" t="s">
        <v>688</v>
      </c>
      <c r="B451" s="87" t="s">
        <v>697</v>
      </c>
      <c r="C451" s="5"/>
      <c r="D451" s="5" t="s">
        <v>244</v>
      </c>
      <c r="E451" s="132">
        <f t="shared" ref="E451:E464" si="98">$O$464-J451*($O$464-$O$450)</f>
        <v>72.258992248062029</v>
      </c>
      <c r="F451" s="139">
        <f t="shared" si="91"/>
        <v>66.040000000000006</v>
      </c>
      <c r="G451" s="149"/>
      <c r="H451" s="82" t="str">
        <f t="shared" si="72"/>
        <v>99.2 percent up in Campanian international stage</v>
      </c>
      <c r="I451" s="142" t="str">
        <f t="shared" si="73"/>
        <v>100 percent up in Maastrichtian international stage</v>
      </c>
      <c r="J451" s="7">
        <v>0.9922480620155032</v>
      </c>
      <c r="K451" s="129">
        <f t="shared" si="74"/>
        <v>99.2</v>
      </c>
      <c r="L451" s="8" t="s">
        <v>51</v>
      </c>
      <c r="M451" s="5" t="s">
        <v>82</v>
      </c>
      <c r="N451" s="5" t="s">
        <v>82</v>
      </c>
      <c r="O451" s="83"/>
      <c r="P451" s="20">
        <v>1</v>
      </c>
      <c r="Q451" s="143">
        <f t="shared" si="75"/>
        <v>100</v>
      </c>
      <c r="R451" s="21" t="s">
        <v>50</v>
      </c>
      <c r="S451" s="8" t="s">
        <v>246</v>
      </c>
      <c r="T451" s="7" t="s">
        <v>226</v>
      </c>
    </row>
    <row r="452" spans="1:20" ht="28">
      <c r="A452" s="90" t="s">
        <v>688</v>
      </c>
      <c r="B452" s="88" t="s">
        <v>698</v>
      </c>
      <c r="C452" s="5"/>
      <c r="D452" s="5" t="s">
        <v>270</v>
      </c>
      <c r="E452" s="132">
        <f t="shared" si="98"/>
        <v>77.865503875968997</v>
      </c>
      <c r="F452" s="139">
        <f>$O$464-P452*($O$464-$O$450)</f>
        <v>72.17</v>
      </c>
      <c r="G452" s="149"/>
      <c r="H452" s="82" t="str">
        <f t="shared" si="72"/>
        <v>50.4 percent up in Campanian international stage</v>
      </c>
      <c r="I452" s="142" t="str">
        <f t="shared" si="73"/>
        <v>100 percent up in Campanian international stage</v>
      </c>
      <c r="J452" s="7">
        <v>0.50387596899224785</v>
      </c>
      <c r="K452" s="129">
        <f t="shared" si="74"/>
        <v>50.4</v>
      </c>
      <c r="L452" s="8" t="s">
        <v>51</v>
      </c>
      <c r="M452" s="5" t="s">
        <v>82</v>
      </c>
      <c r="N452" s="5" t="s">
        <v>82</v>
      </c>
      <c r="O452" s="83"/>
      <c r="P452" s="20">
        <v>1</v>
      </c>
      <c r="Q452" s="143">
        <f t="shared" si="75"/>
        <v>100</v>
      </c>
      <c r="R452" s="21" t="s">
        <v>51</v>
      </c>
      <c r="S452" s="8" t="s">
        <v>272</v>
      </c>
      <c r="T452" s="7" t="s">
        <v>226</v>
      </c>
    </row>
    <row r="453" spans="1:20" ht="28">
      <c r="A453" s="90" t="s">
        <v>688</v>
      </c>
      <c r="B453" s="88" t="s">
        <v>699</v>
      </c>
      <c r="C453" s="5"/>
      <c r="D453" s="5" t="s">
        <v>354</v>
      </c>
      <c r="E453" s="132">
        <f t="shared" si="98"/>
        <v>77.95449612403101</v>
      </c>
      <c r="F453" s="139">
        <f>$O$450-P453*($O$450-$O$440)</f>
        <v>66.040000000000006</v>
      </c>
      <c r="G453" s="149"/>
      <c r="H453" s="82" t="str">
        <f t="shared" si="72"/>
        <v>49.6 percent up in Campanian international stage</v>
      </c>
      <c r="I453" s="142" t="str">
        <f t="shared" si="73"/>
        <v>100 percent up in Maastrichtian international stage</v>
      </c>
      <c r="J453" s="7">
        <v>0.49612403100775215</v>
      </c>
      <c r="K453" s="129">
        <f t="shared" si="74"/>
        <v>49.6</v>
      </c>
      <c r="L453" s="8" t="s">
        <v>51</v>
      </c>
      <c r="M453" s="5" t="s">
        <v>82</v>
      </c>
      <c r="N453" s="5" t="s">
        <v>82</v>
      </c>
      <c r="O453" s="83"/>
      <c r="P453" s="20">
        <v>1</v>
      </c>
      <c r="Q453" s="143">
        <f t="shared" si="75"/>
        <v>100</v>
      </c>
      <c r="R453" s="21" t="s">
        <v>50</v>
      </c>
      <c r="S453" s="8" t="s">
        <v>246</v>
      </c>
      <c r="T453" s="7" t="s">
        <v>226</v>
      </c>
    </row>
    <row r="454" spans="1:20" ht="28">
      <c r="A454" s="90" t="s">
        <v>688</v>
      </c>
      <c r="B454" s="87" t="s">
        <v>700</v>
      </c>
      <c r="C454" s="5"/>
      <c r="D454" s="5" t="s">
        <v>244</v>
      </c>
      <c r="E454" s="132">
        <f t="shared" si="98"/>
        <v>81.247209302325587</v>
      </c>
      <c r="F454" s="139">
        <f>$O$464-P454*($O$464-$O$450)</f>
        <v>72.258992248062029</v>
      </c>
      <c r="G454" s="149"/>
      <c r="H454" s="82" t="str">
        <f t="shared" si="72"/>
        <v>20.9 percent up in Campanian international stage</v>
      </c>
      <c r="I454" s="142" t="str">
        <f t="shared" si="73"/>
        <v>99.2 percent up in Campanian international stage</v>
      </c>
      <c r="J454" s="7">
        <v>0.2093023255813955</v>
      </c>
      <c r="K454" s="129">
        <f t="shared" si="74"/>
        <v>20.9</v>
      </c>
      <c r="L454" s="8" t="s">
        <v>51</v>
      </c>
      <c r="M454" s="5" t="s">
        <v>82</v>
      </c>
      <c r="N454" s="5" t="s">
        <v>82</v>
      </c>
      <c r="O454" s="83"/>
      <c r="P454" s="20">
        <v>0.9922480620155032</v>
      </c>
      <c r="Q454" s="143">
        <f t="shared" si="75"/>
        <v>99.2</v>
      </c>
      <c r="R454" s="21" t="s">
        <v>51</v>
      </c>
      <c r="S454" s="8" t="s">
        <v>259</v>
      </c>
      <c r="T454" s="7">
        <v>0.78294573643410725</v>
      </c>
    </row>
    <row r="455" spans="1:20" ht="28">
      <c r="A455" s="90" t="s">
        <v>688</v>
      </c>
      <c r="B455" s="87" t="s">
        <v>701</v>
      </c>
      <c r="C455" s="5"/>
      <c r="D455" s="5" t="s">
        <v>244</v>
      </c>
      <c r="E455" s="132">
        <f t="shared" si="98"/>
        <v>82.49310077519381</v>
      </c>
      <c r="F455" s="139">
        <f>$O$464-P455*($O$464-$O$450)</f>
        <v>81.247209302325587</v>
      </c>
      <c r="G455" s="149"/>
      <c r="H455" s="82" t="str">
        <f t="shared" si="72"/>
        <v>10.1 percent up in Campanian international stage</v>
      </c>
      <c r="I455" s="142" t="str">
        <f t="shared" si="73"/>
        <v>20.9 percent up in Campanian international stage</v>
      </c>
      <c r="J455" s="7">
        <v>0.10077519379844935</v>
      </c>
      <c r="K455" s="129">
        <f t="shared" si="74"/>
        <v>10.1</v>
      </c>
      <c r="L455" s="8" t="s">
        <v>51</v>
      </c>
      <c r="M455" s="5" t="s">
        <v>82</v>
      </c>
      <c r="N455" s="5" t="s">
        <v>82</v>
      </c>
      <c r="O455" s="83"/>
      <c r="P455" s="20">
        <v>0.20930232558139547</v>
      </c>
      <c r="Q455" s="143">
        <f t="shared" si="75"/>
        <v>20.9</v>
      </c>
      <c r="R455" s="21" t="s">
        <v>51</v>
      </c>
      <c r="S455" s="8" t="s">
        <v>259</v>
      </c>
      <c r="T455" s="7">
        <v>0.10852713178294701</v>
      </c>
    </row>
    <row r="456" spans="1:20" ht="28">
      <c r="A456" s="90" t="s">
        <v>688</v>
      </c>
      <c r="B456" s="88" t="s">
        <v>2174</v>
      </c>
      <c r="C456" s="5"/>
      <c r="D456" s="5" t="s">
        <v>270</v>
      </c>
      <c r="E456" s="132">
        <f t="shared" ref="E456" si="99">$O$464-J456*($O$464-$O$450)</f>
        <v>83.65</v>
      </c>
      <c r="F456" s="139">
        <f>$O$450-P456*($O$450-$O$440)</f>
        <v>66.040000000000006</v>
      </c>
      <c r="G456" s="149"/>
      <c r="H456" s="82" t="str">
        <f t="shared" ref="H456" si="100">CONCATENATE(K456," percent up in ",L456," international stage")</f>
        <v>0 percent up in Campanian international stage</v>
      </c>
      <c r="I456" s="142" t="str">
        <f t="shared" ref="I456" si="101">CONCATENATE(Q456," percent up in ",R456," international stage")</f>
        <v>100 percent up in Maastrichtian international stage</v>
      </c>
      <c r="J456" s="7">
        <v>0</v>
      </c>
      <c r="K456" s="129">
        <f t="shared" ref="K456" si="102">ROUND(J456*100,1)</f>
        <v>0</v>
      </c>
      <c r="L456" s="8" t="s">
        <v>51</v>
      </c>
      <c r="M456" s="5" t="s">
        <v>82</v>
      </c>
      <c r="N456" s="5" t="s">
        <v>82</v>
      </c>
      <c r="O456" s="83"/>
      <c r="P456" s="20">
        <v>1</v>
      </c>
      <c r="Q456" s="143">
        <f t="shared" ref="Q456" si="103">ROUND(P456*100,1)</f>
        <v>100</v>
      </c>
      <c r="R456" s="21" t="s">
        <v>50</v>
      </c>
      <c r="S456" s="8" t="s">
        <v>232</v>
      </c>
      <c r="T456" s="7" t="s">
        <v>226</v>
      </c>
    </row>
    <row r="457" spans="1:20" ht="28">
      <c r="A457" s="90" t="s">
        <v>688</v>
      </c>
      <c r="B457" s="88" t="s">
        <v>702</v>
      </c>
      <c r="C457" s="5"/>
      <c r="D457" s="5" t="s">
        <v>270</v>
      </c>
      <c r="E457" s="132">
        <f t="shared" si="98"/>
        <v>83.65</v>
      </c>
      <c r="F457" s="139">
        <f>$O$450-P457*($O$450-$O$440)</f>
        <v>66.040000000000006</v>
      </c>
      <c r="G457" s="149"/>
      <c r="H457" s="82" t="str">
        <f t="shared" si="72"/>
        <v>0 percent up in Campanian international stage</v>
      </c>
      <c r="I457" s="142" t="str">
        <f t="shared" si="73"/>
        <v>100 percent up in Maastrichtian international stage</v>
      </c>
      <c r="J457" s="7">
        <v>0</v>
      </c>
      <c r="K457" s="129">
        <f t="shared" si="74"/>
        <v>0</v>
      </c>
      <c r="L457" s="8" t="s">
        <v>51</v>
      </c>
      <c r="M457" s="5" t="s">
        <v>82</v>
      </c>
      <c r="N457" s="5" t="s">
        <v>82</v>
      </c>
      <c r="O457" s="83"/>
      <c r="P457" s="20">
        <v>1</v>
      </c>
      <c r="Q457" s="143">
        <f t="shared" si="75"/>
        <v>100</v>
      </c>
      <c r="R457" s="21" t="s">
        <v>50</v>
      </c>
      <c r="S457" s="8" t="s">
        <v>232</v>
      </c>
      <c r="T457" s="7" t="s">
        <v>226</v>
      </c>
    </row>
    <row r="458" spans="1:20" ht="28">
      <c r="A458" s="90" t="s">
        <v>688</v>
      </c>
      <c r="B458" s="88" t="s">
        <v>703</v>
      </c>
      <c r="C458" s="5"/>
      <c r="D458" s="5" t="s">
        <v>236</v>
      </c>
      <c r="E458" s="132">
        <f t="shared" si="98"/>
        <v>83.65</v>
      </c>
      <c r="F458" s="139">
        <f t="shared" ref="F458:F465" si="104">$O$464-P458*($O$464-$O$450)</f>
        <v>72.17</v>
      </c>
      <c r="G458" s="149"/>
      <c r="H458" s="82" t="str">
        <f t="shared" si="72"/>
        <v>0 percent up in Campanian international stage</v>
      </c>
      <c r="I458" s="142" t="str">
        <f t="shared" si="73"/>
        <v>100 percent up in Campanian international stage</v>
      </c>
      <c r="J458" s="7">
        <v>0</v>
      </c>
      <c r="K458" s="129">
        <f t="shared" si="74"/>
        <v>0</v>
      </c>
      <c r="L458" s="8" t="s">
        <v>51</v>
      </c>
      <c r="M458" s="5" t="s">
        <v>82</v>
      </c>
      <c r="N458" s="5" t="s">
        <v>82</v>
      </c>
      <c r="O458" s="83"/>
      <c r="P458" s="20">
        <v>1</v>
      </c>
      <c r="Q458" s="143">
        <f t="shared" si="75"/>
        <v>100</v>
      </c>
      <c r="R458" s="21" t="s">
        <v>51</v>
      </c>
      <c r="S458" s="8" t="s">
        <v>232</v>
      </c>
      <c r="T458" s="7" t="s">
        <v>226</v>
      </c>
    </row>
    <row r="459" spans="1:20" ht="28">
      <c r="A459" s="90" t="s">
        <v>688</v>
      </c>
      <c r="B459" s="88" t="s">
        <v>704</v>
      </c>
      <c r="C459" s="5"/>
      <c r="D459" s="5" t="s">
        <v>82</v>
      </c>
      <c r="E459" s="132">
        <f t="shared" si="98"/>
        <v>83.65</v>
      </c>
      <c r="F459" s="139">
        <f t="shared" si="104"/>
        <v>72.17</v>
      </c>
      <c r="G459" s="149"/>
      <c r="H459" s="82" t="str">
        <f t="shared" si="72"/>
        <v>0 percent up in Campanian international stage</v>
      </c>
      <c r="I459" s="142" t="str">
        <f t="shared" si="73"/>
        <v>100 percent up in Campanian international stage</v>
      </c>
      <c r="J459" s="7">
        <v>0</v>
      </c>
      <c r="K459" s="129">
        <f t="shared" si="74"/>
        <v>0</v>
      </c>
      <c r="L459" s="8" t="s">
        <v>51</v>
      </c>
      <c r="M459" s="5" t="s">
        <v>82</v>
      </c>
      <c r="N459" s="5" t="s">
        <v>82</v>
      </c>
      <c r="O459" s="83"/>
      <c r="P459" s="20">
        <v>1</v>
      </c>
      <c r="Q459" s="143">
        <f t="shared" si="75"/>
        <v>100</v>
      </c>
      <c r="R459" s="21" t="s">
        <v>51</v>
      </c>
      <c r="S459" s="8" t="s">
        <v>232</v>
      </c>
      <c r="T459" s="7" t="s">
        <v>226</v>
      </c>
    </row>
    <row r="460" spans="1:20" ht="28">
      <c r="A460" s="90" t="s">
        <v>688</v>
      </c>
      <c r="B460" s="88" t="s">
        <v>705</v>
      </c>
      <c r="C460" s="5"/>
      <c r="D460" s="5" t="s">
        <v>270</v>
      </c>
      <c r="E460" s="132">
        <f t="shared" si="98"/>
        <v>83.65</v>
      </c>
      <c r="F460" s="139">
        <f t="shared" si="104"/>
        <v>77.865503875968997</v>
      </c>
      <c r="G460" s="149"/>
      <c r="H460" s="82" t="str">
        <f t="shared" si="72"/>
        <v>0 percent up in Campanian international stage</v>
      </c>
      <c r="I460" s="142" t="str">
        <f t="shared" si="73"/>
        <v>50.4 percent up in Campanian international stage</v>
      </c>
      <c r="J460" s="7">
        <v>0</v>
      </c>
      <c r="K460" s="129">
        <f t="shared" si="74"/>
        <v>0</v>
      </c>
      <c r="L460" s="8" t="s">
        <v>51</v>
      </c>
      <c r="M460" s="5" t="s">
        <v>82</v>
      </c>
      <c r="N460" s="5" t="s">
        <v>82</v>
      </c>
      <c r="O460" s="83"/>
      <c r="P460" s="20">
        <v>0.50387596899224785</v>
      </c>
      <c r="Q460" s="143">
        <f t="shared" si="75"/>
        <v>50.4</v>
      </c>
      <c r="R460" s="21" t="s">
        <v>51</v>
      </c>
      <c r="S460" s="8" t="s">
        <v>230</v>
      </c>
      <c r="T460" s="7" t="s">
        <v>226</v>
      </c>
    </row>
    <row r="461" spans="1:20" ht="56">
      <c r="A461" s="90"/>
      <c r="B461" s="88" t="s">
        <v>1576</v>
      </c>
      <c r="C461" s="5"/>
      <c r="D461" s="5"/>
      <c r="E461" s="132">
        <f t="shared" ref="E461:E463" si="105">$O$464-J461*($O$464-$O$450)</f>
        <v>77.91</v>
      </c>
      <c r="F461" s="139">
        <f t="shared" si="104"/>
        <v>72.17</v>
      </c>
      <c r="G461" s="149" t="s">
        <v>1580</v>
      </c>
      <c r="H461" s="82" t="str">
        <f t="shared" ref="H461:H463" si="106">CONCATENATE(K461," percent up in ",L461," international stage")</f>
        <v>50 percent up in Campanian international stage</v>
      </c>
      <c r="I461" s="142" t="str">
        <f t="shared" ref="I461:I463" si="107">CONCATENATE(Q461," percent up in ",R461," international stage")</f>
        <v>100 percent up in Campanian international stage</v>
      </c>
      <c r="J461" s="7">
        <v>0.5</v>
      </c>
      <c r="K461" s="129">
        <f t="shared" ref="K461:K463" si="108">ROUND(J461*100,1)</f>
        <v>50</v>
      </c>
      <c r="L461" s="8" t="s">
        <v>51</v>
      </c>
      <c r="M461" s="5" t="s">
        <v>82</v>
      </c>
      <c r="N461" s="5" t="s">
        <v>82</v>
      </c>
      <c r="O461" s="83"/>
      <c r="P461" s="20">
        <v>1</v>
      </c>
      <c r="Q461" s="143">
        <f t="shared" ref="Q461:Q463" si="109">ROUND(P461*100,1)</f>
        <v>100</v>
      </c>
      <c r="R461" s="21" t="s">
        <v>51</v>
      </c>
      <c r="S461" s="149" t="s">
        <v>1574</v>
      </c>
    </row>
    <row r="462" spans="1:20" ht="42">
      <c r="A462" s="90"/>
      <c r="B462" s="88" t="s">
        <v>2152</v>
      </c>
      <c r="C462" s="5"/>
      <c r="D462" s="5"/>
      <c r="E462" s="132">
        <f t="shared" ref="E462" si="110">$O$464-J462*($O$464-$O$450)</f>
        <v>80.206000000000003</v>
      </c>
      <c r="F462" s="139">
        <f t="shared" ref="F462" si="111">$O$464-P462*($O$464-$O$450)</f>
        <v>76.188000000000002</v>
      </c>
      <c r="G462" s="149" t="s">
        <v>2153</v>
      </c>
      <c r="H462" s="82" t="str">
        <f t="shared" ref="H462" si="112">CONCATENATE(K462," percent up in ",L462," international stage")</f>
        <v>30 percent up in Campanian international stage</v>
      </c>
      <c r="I462" s="142" t="str">
        <f t="shared" ref="I462" si="113">CONCATENATE(Q462," percent up in ",R462," international stage")</f>
        <v>65 percent up in Campanian international stage</v>
      </c>
      <c r="J462" s="7">
        <v>0.3</v>
      </c>
      <c r="K462" s="129">
        <f t="shared" ref="K462" si="114">ROUND(J462*100,1)</f>
        <v>30</v>
      </c>
      <c r="L462" s="8" t="s">
        <v>51</v>
      </c>
      <c r="M462" s="5" t="s">
        <v>82</v>
      </c>
      <c r="N462" s="5" t="s">
        <v>82</v>
      </c>
      <c r="O462" s="83"/>
      <c r="P462" s="20">
        <v>0.65</v>
      </c>
      <c r="Q462" s="143">
        <f t="shared" ref="Q462" si="115">ROUND(P462*100,1)</f>
        <v>65</v>
      </c>
      <c r="R462" s="21" t="s">
        <v>51</v>
      </c>
      <c r="S462" s="149"/>
    </row>
    <row r="463" spans="1:20" ht="56">
      <c r="A463" s="90"/>
      <c r="B463" s="88" t="s">
        <v>1577</v>
      </c>
      <c r="C463" s="5"/>
      <c r="D463" s="5"/>
      <c r="E463" s="132">
        <f t="shared" si="105"/>
        <v>83.65</v>
      </c>
      <c r="F463" s="139">
        <f t="shared" si="104"/>
        <v>77.91</v>
      </c>
      <c r="G463" s="149" t="s">
        <v>1581</v>
      </c>
      <c r="H463" s="82" t="str">
        <f t="shared" si="106"/>
        <v>0 percent up in Campanian international stage</v>
      </c>
      <c r="I463" s="142" t="str">
        <f t="shared" si="107"/>
        <v>50 percent up in Campanian international stage</v>
      </c>
      <c r="J463" s="7">
        <v>0</v>
      </c>
      <c r="K463" s="129">
        <f t="shared" si="108"/>
        <v>0</v>
      </c>
      <c r="L463" s="8" t="s">
        <v>51</v>
      </c>
      <c r="M463" s="5" t="s">
        <v>82</v>
      </c>
      <c r="N463" s="5" t="s">
        <v>82</v>
      </c>
      <c r="O463" s="83"/>
      <c r="P463" s="20">
        <v>0.5</v>
      </c>
      <c r="Q463" s="143">
        <f t="shared" si="109"/>
        <v>50</v>
      </c>
      <c r="R463" s="21" t="s">
        <v>51</v>
      </c>
      <c r="S463" s="149" t="s">
        <v>1575</v>
      </c>
    </row>
    <row r="464" spans="1:20" ht="28">
      <c r="A464" s="90" t="s">
        <v>688</v>
      </c>
      <c r="B464" s="88" t="s">
        <v>51</v>
      </c>
      <c r="C464" s="134"/>
      <c r="D464" s="134" t="s">
        <v>222</v>
      </c>
      <c r="E464" s="132">
        <f t="shared" si="98"/>
        <v>83.65</v>
      </c>
      <c r="F464" s="139">
        <f t="shared" si="104"/>
        <v>72.17</v>
      </c>
      <c r="G464" s="149"/>
      <c r="H464" s="82" t="str">
        <f t="shared" si="72"/>
        <v>0 percent up in Campanian international stage</v>
      </c>
      <c r="I464" s="142" t="str">
        <f t="shared" si="73"/>
        <v>100 percent up in Campanian international stage</v>
      </c>
      <c r="J464" s="7">
        <v>0</v>
      </c>
      <c r="K464" s="129">
        <f t="shared" si="74"/>
        <v>0</v>
      </c>
      <c r="L464" s="8" t="s">
        <v>51</v>
      </c>
      <c r="M464" s="5" t="s">
        <v>224</v>
      </c>
      <c r="N464" s="5" t="s">
        <v>706</v>
      </c>
      <c r="O464" s="84">
        <f>Master_Chronostrat!I33</f>
        <v>83.65</v>
      </c>
      <c r="P464" s="20">
        <v>1</v>
      </c>
      <c r="Q464" s="143">
        <f t="shared" si="75"/>
        <v>100</v>
      </c>
      <c r="R464" s="21" t="s">
        <v>51</v>
      </c>
      <c r="S464" s="8" t="s">
        <v>224</v>
      </c>
      <c r="T464" s="7" t="s">
        <v>226</v>
      </c>
    </row>
    <row r="465" spans="1:20" ht="28">
      <c r="A465" s="90" t="s">
        <v>688</v>
      </c>
      <c r="B465" s="87" t="s">
        <v>707</v>
      </c>
      <c r="C465" s="5"/>
      <c r="D465" s="5" t="s">
        <v>244</v>
      </c>
      <c r="E465" s="132">
        <f>$O$469-J465*($O$469-$O$464)</f>
        <v>85.165217391304353</v>
      </c>
      <c r="F465" s="139">
        <f t="shared" si="104"/>
        <v>82.49310077519381</v>
      </c>
      <c r="G465" s="149"/>
      <c r="H465" s="82" t="str">
        <f t="shared" si="72"/>
        <v>26.1 percent up in Santonian international stage</v>
      </c>
      <c r="I465" s="142" t="str">
        <f t="shared" si="73"/>
        <v>10.1 percent up in Campanian international stage</v>
      </c>
      <c r="J465" s="7">
        <v>0.26086956521738913</v>
      </c>
      <c r="K465" s="129">
        <f t="shared" si="74"/>
        <v>26.1</v>
      </c>
      <c r="L465" s="8" t="s">
        <v>52</v>
      </c>
      <c r="M465" s="5" t="s">
        <v>82</v>
      </c>
      <c r="N465" s="5" t="s">
        <v>82</v>
      </c>
      <c r="O465" s="83"/>
      <c r="P465" s="20">
        <v>0.10077519379844935</v>
      </c>
      <c r="Q465" s="143">
        <f t="shared" si="75"/>
        <v>10.1</v>
      </c>
      <c r="R465" s="21" t="s">
        <v>51</v>
      </c>
      <c r="S465" s="8" t="s">
        <v>246</v>
      </c>
      <c r="T465" s="7" t="s">
        <v>226</v>
      </c>
    </row>
    <row r="466" spans="1:20" ht="28">
      <c r="A466" s="90"/>
      <c r="B466" s="88" t="s">
        <v>2148</v>
      </c>
      <c r="C466" s="5"/>
      <c r="D466" s="5"/>
      <c r="E466" s="132">
        <f>$O$469-J466*($O$469-$O$464)</f>
        <v>84.47</v>
      </c>
      <c r="F466" s="139">
        <f>$O$477-P466*($O$477-$O$469)</f>
        <v>85.7</v>
      </c>
      <c r="G466" s="186" t="s">
        <v>2151</v>
      </c>
      <c r="H466" s="82" t="str">
        <f t="shared" ref="H466:H468" si="116">CONCATENATE(K466," percent up in ",L466," international stage")</f>
        <v>60 percent up in Santonian international stage</v>
      </c>
      <c r="I466" s="142" t="str">
        <f t="shared" ref="I466:I468" si="117">CONCATENATE(Q466," percent up in ",R466," international stage")</f>
        <v>100 percent up in Santonian international stage</v>
      </c>
      <c r="J466" s="7">
        <v>0.6</v>
      </c>
      <c r="K466" s="129">
        <f t="shared" ref="K466:K468" si="118">ROUND(J466*100,1)</f>
        <v>60</v>
      </c>
      <c r="L466" s="8" t="s">
        <v>52</v>
      </c>
      <c r="M466" s="5"/>
      <c r="O466" s="83"/>
      <c r="P466" s="20">
        <v>1</v>
      </c>
      <c r="Q466" s="143">
        <f t="shared" ref="Q466:Q468" si="119">ROUND(P466*100,1)</f>
        <v>100</v>
      </c>
      <c r="R466" s="21" t="s">
        <v>52</v>
      </c>
      <c r="S466" s="8"/>
    </row>
    <row r="467" spans="1:20" ht="28">
      <c r="A467" s="90"/>
      <c r="B467" s="88" t="s">
        <v>2150</v>
      </c>
      <c r="C467" s="5"/>
      <c r="D467" s="5"/>
      <c r="E467" s="132">
        <f>$O$469-J467*($O$469-$O$464)</f>
        <v>85.29</v>
      </c>
      <c r="F467" s="139">
        <f>$O$477-P467*($O$477-$O$469)</f>
        <v>87.176000000000002</v>
      </c>
      <c r="G467" s="186" t="s">
        <v>2151</v>
      </c>
      <c r="H467" s="82" t="str">
        <f t="shared" ref="H467" si="120">CONCATENATE(K467," percent up in ",L467," international stage")</f>
        <v>20 percent up in Santonian international stage</v>
      </c>
      <c r="I467" s="142" t="str">
        <f t="shared" ref="I467" si="121">CONCATENATE(Q467," percent up in ",R467," international stage")</f>
        <v>60 percent up in Santonian international stage</v>
      </c>
      <c r="J467" s="7">
        <v>0.2</v>
      </c>
      <c r="K467" s="129">
        <f t="shared" ref="K467" si="122">ROUND(J467*100,1)</f>
        <v>20</v>
      </c>
      <c r="L467" s="8" t="s">
        <v>52</v>
      </c>
      <c r="M467" s="5"/>
      <c r="O467" s="83"/>
      <c r="P467" s="20">
        <v>0.6</v>
      </c>
      <c r="Q467" s="143">
        <f t="shared" ref="Q467" si="123">ROUND(P467*100,1)</f>
        <v>60</v>
      </c>
      <c r="R467" s="21" t="s">
        <v>52</v>
      </c>
      <c r="S467" s="8"/>
    </row>
    <row r="468" spans="1:20" ht="28">
      <c r="A468" s="90"/>
      <c r="B468" s="88" t="s">
        <v>2149</v>
      </c>
      <c r="C468" s="5"/>
      <c r="D468" s="5"/>
      <c r="E468" s="132">
        <f>$O$469-J468*($O$469-$O$450)</f>
        <v>85.7</v>
      </c>
      <c r="F468" s="139">
        <f>$O$469-P468*($O$469-$O$464)</f>
        <v>85.29</v>
      </c>
      <c r="G468" s="186" t="s">
        <v>2151</v>
      </c>
      <c r="H468" s="82" t="str">
        <f t="shared" si="116"/>
        <v>0 percent up in Santonian international stage</v>
      </c>
      <c r="I468" s="142" t="str">
        <f t="shared" si="117"/>
        <v>20 percent up in Santonian international stage</v>
      </c>
      <c r="J468" s="7">
        <v>0</v>
      </c>
      <c r="K468" s="129">
        <f t="shared" si="118"/>
        <v>0</v>
      </c>
      <c r="L468" s="8" t="s">
        <v>52</v>
      </c>
      <c r="M468" s="5"/>
      <c r="O468" s="83"/>
      <c r="P468" s="20">
        <v>0.2</v>
      </c>
      <c r="Q468" s="143">
        <f t="shared" si="119"/>
        <v>20</v>
      </c>
      <c r="R468" s="21" t="s">
        <v>52</v>
      </c>
      <c r="S468" s="8"/>
    </row>
    <row r="469" spans="1:20" ht="28">
      <c r="A469" s="90" t="s">
        <v>688</v>
      </c>
      <c r="B469" s="88" t="s">
        <v>52</v>
      </c>
      <c r="C469" s="134"/>
      <c r="D469" s="134" t="s">
        <v>222</v>
      </c>
      <c r="E469" s="132">
        <f>$O$469-J469*($O$469-$O$450)</f>
        <v>85.7</v>
      </c>
      <c r="F469" s="139">
        <f>$O$469-P469*($O$469-$O$464)</f>
        <v>83.65</v>
      </c>
      <c r="G469" s="186"/>
      <c r="H469" s="82" t="str">
        <f t="shared" si="72"/>
        <v>0 percent up in Santonian international stage</v>
      </c>
      <c r="I469" s="142" t="str">
        <f t="shared" si="73"/>
        <v>100 percent up in Santonian international stage</v>
      </c>
      <c r="J469" s="7">
        <v>0</v>
      </c>
      <c r="K469" s="129">
        <f t="shared" si="74"/>
        <v>0</v>
      </c>
      <c r="L469" s="8" t="s">
        <v>52</v>
      </c>
      <c r="M469" s="5" t="s">
        <v>224</v>
      </c>
      <c r="N469" s="5" t="s">
        <v>708</v>
      </c>
      <c r="O469" s="84">
        <f>Master_Chronostrat!I36</f>
        <v>85.7</v>
      </c>
      <c r="P469" s="20">
        <v>1</v>
      </c>
      <c r="Q469" s="143">
        <f t="shared" si="75"/>
        <v>100</v>
      </c>
      <c r="R469" s="21" t="s">
        <v>52</v>
      </c>
      <c r="S469" s="8" t="s">
        <v>224</v>
      </c>
      <c r="T469" s="7" t="s">
        <v>226</v>
      </c>
    </row>
    <row r="470" spans="1:20" ht="28">
      <c r="A470" s="90" t="s">
        <v>688</v>
      </c>
      <c r="B470" s="88" t="s">
        <v>709</v>
      </c>
      <c r="C470" s="5"/>
      <c r="D470" s="5" t="s">
        <v>236</v>
      </c>
      <c r="E470" s="132">
        <f t="shared" ref="E470:E477" si="124">$O$477-J470*($O$477-$O$469)</f>
        <v>86.965142857142865</v>
      </c>
      <c r="F470" s="139">
        <f>$O$469-P470*($O$469-$O$464)</f>
        <v>83.65</v>
      </c>
      <c r="G470" s="186"/>
      <c r="H470" s="82" t="str">
        <f t="shared" si="72"/>
        <v>65.7 percent up in Coniacian international stage</v>
      </c>
      <c r="I470" s="142" t="str">
        <f t="shared" si="73"/>
        <v>100 percent up in Santonian international stage</v>
      </c>
      <c r="J470" s="7">
        <v>0.65714285714285636</v>
      </c>
      <c r="K470" s="129">
        <f t="shared" si="74"/>
        <v>65.7</v>
      </c>
      <c r="L470" s="8" t="s">
        <v>53</v>
      </c>
      <c r="M470" s="5" t="s">
        <v>82</v>
      </c>
      <c r="N470" s="5" t="s">
        <v>82</v>
      </c>
      <c r="O470" s="83"/>
      <c r="P470" s="20">
        <v>1</v>
      </c>
      <c r="Q470" s="143">
        <f t="shared" si="75"/>
        <v>100</v>
      </c>
      <c r="R470" s="21" t="s">
        <v>52</v>
      </c>
      <c r="S470" s="8" t="s">
        <v>246</v>
      </c>
      <c r="T470" s="7" t="s">
        <v>226</v>
      </c>
    </row>
    <row r="471" spans="1:20" ht="28">
      <c r="A471" s="90" t="s">
        <v>688</v>
      </c>
      <c r="B471" s="88" t="s">
        <v>2175</v>
      </c>
      <c r="C471" s="5"/>
      <c r="D471" s="5" t="s">
        <v>82</v>
      </c>
      <c r="E471" s="132">
        <f t="shared" ref="E471" si="125">$O$477-J471*($O$477-$O$469)</f>
        <v>89.39</v>
      </c>
      <c r="F471" s="139">
        <f>$O$469-P471*($O$469-$O$464)</f>
        <v>83.65</v>
      </c>
      <c r="G471" s="186"/>
      <c r="H471" s="82" t="str">
        <f t="shared" ref="H471" si="126">CONCATENATE(K471," percent up in ",L471," international stage")</f>
        <v>0 percent up in Coniacian international stage</v>
      </c>
      <c r="I471" s="142" t="str">
        <f t="shared" ref="I471" si="127">CONCATENATE(Q471," percent up in ",R471," international stage")</f>
        <v>100 percent up in Santonian international stage</v>
      </c>
      <c r="J471" s="7">
        <v>0</v>
      </c>
      <c r="K471" s="129">
        <f t="shared" ref="K471" si="128">ROUND(J471*100,1)</f>
        <v>0</v>
      </c>
      <c r="L471" s="8" t="s">
        <v>53</v>
      </c>
      <c r="M471" s="5" t="s">
        <v>82</v>
      </c>
      <c r="N471" s="5" t="s">
        <v>82</v>
      </c>
      <c r="O471" s="83"/>
      <c r="P471" s="20">
        <v>1</v>
      </c>
      <c r="Q471" s="143">
        <f t="shared" ref="Q471" si="129">ROUND(P471*100,1)</f>
        <v>100</v>
      </c>
      <c r="R471" s="21" t="s">
        <v>52</v>
      </c>
      <c r="S471" s="8" t="s">
        <v>232</v>
      </c>
      <c r="T471" s="7" t="s">
        <v>226</v>
      </c>
    </row>
    <row r="472" spans="1:20" ht="28">
      <c r="A472" s="90" t="s">
        <v>688</v>
      </c>
      <c r="B472" s="88" t="s">
        <v>710</v>
      </c>
      <c r="C472" s="5"/>
      <c r="D472" s="5" t="s">
        <v>82</v>
      </c>
      <c r="E472" s="132">
        <f t="shared" si="124"/>
        <v>89.39</v>
      </c>
      <c r="F472" s="139">
        <f>$O$469-P472*($O$469-$O$464)</f>
        <v>83.65</v>
      </c>
      <c r="G472" s="186"/>
      <c r="H472" s="82" t="str">
        <f t="shared" si="72"/>
        <v>0 percent up in Coniacian international stage</v>
      </c>
      <c r="I472" s="142" t="str">
        <f t="shared" si="73"/>
        <v>100 percent up in Santonian international stage</v>
      </c>
      <c r="J472" s="7">
        <v>0</v>
      </c>
      <c r="K472" s="129">
        <f t="shared" si="74"/>
        <v>0</v>
      </c>
      <c r="L472" s="8" t="s">
        <v>53</v>
      </c>
      <c r="M472" s="5" t="s">
        <v>82</v>
      </c>
      <c r="N472" s="5" t="s">
        <v>82</v>
      </c>
      <c r="O472" s="83"/>
      <c r="P472" s="20">
        <v>1</v>
      </c>
      <c r="Q472" s="143">
        <f t="shared" si="75"/>
        <v>100</v>
      </c>
      <c r="R472" s="21" t="s">
        <v>52</v>
      </c>
      <c r="S472" s="8" t="s">
        <v>232</v>
      </c>
      <c r="T472" s="7" t="s">
        <v>226</v>
      </c>
    </row>
    <row r="473" spans="1:20" ht="28">
      <c r="A473" s="90" t="s">
        <v>688</v>
      </c>
      <c r="B473" s="88" t="s">
        <v>711</v>
      </c>
      <c r="C473" s="5"/>
      <c r="D473" s="5" t="s">
        <v>264</v>
      </c>
      <c r="E473" s="132">
        <f t="shared" si="124"/>
        <v>89.39</v>
      </c>
      <c r="F473" s="139">
        <f>$O$450-P473*($O$450-$O$440)</f>
        <v>66.040000000000006</v>
      </c>
      <c r="G473" s="186"/>
      <c r="H473" s="82" t="str">
        <f t="shared" ref="H473:H567" si="130">CONCATENATE(K473," percent up in ",L473," international stage")</f>
        <v>0 percent up in Coniacian international stage</v>
      </c>
      <c r="I473" s="142" t="str">
        <f t="shared" ref="I473:I567" si="131">CONCATENATE(Q473," percent up in ",R473," international stage")</f>
        <v>100 percent up in Maastrichtian international stage</v>
      </c>
      <c r="J473" s="7">
        <v>0</v>
      </c>
      <c r="K473" s="129">
        <f t="shared" ref="K473:K567" si="132">ROUND(J473*100,1)</f>
        <v>0</v>
      </c>
      <c r="L473" s="8" t="s">
        <v>53</v>
      </c>
      <c r="M473" s="5" t="s">
        <v>82</v>
      </c>
      <c r="N473" s="5" t="s">
        <v>82</v>
      </c>
      <c r="O473" s="83"/>
      <c r="P473" s="20">
        <v>1</v>
      </c>
      <c r="Q473" s="143">
        <f t="shared" ref="Q473:Q567" si="133">ROUND(P473*100,1)</f>
        <v>100</v>
      </c>
      <c r="R473" s="21" t="s">
        <v>50</v>
      </c>
      <c r="S473" s="8" t="s">
        <v>232</v>
      </c>
      <c r="T473" s="7" t="s">
        <v>226</v>
      </c>
    </row>
    <row r="474" spans="1:20" ht="28">
      <c r="A474" s="90" t="s">
        <v>688</v>
      </c>
      <c r="B474" s="88" t="s">
        <v>712</v>
      </c>
      <c r="C474" s="5"/>
      <c r="D474" s="5" t="s">
        <v>354</v>
      </c>
      <c r="E474" s="132">
        <f t="shared" si="124"/>
        <v>89.39</v>
      </c>
      <c r="F474" s="139">
        <f>$O$464-P474*($O$464-$O$450)</f>
        <v>77.95449612403101</v>
      </c>
      <c r="G474" s="186"/>
      <c r="H474" s="82" t="str">
        <f t="shared" si="130"/>
        <v>0 percent up in Coniacian international stage</v>
      </c>
      <c r="I474" s="142" t="str">
        <f t="shared" si="131"/>
        <v>49.6 percent up in Campanian international stage</v>
      </c>
      <c r="J474" s="7">
        <v>0</v>
      </c>
      <c r="K474" s="129">
        <f t="shared" si="132"/>
        <v>0</v>
      </c>
      <c r="L474" s="8" t="s">
        <v>53</v>
      </c>
      <c r="M474" s="5" t="s">
        <v>82</v>
      </c>
      <c r="N474" s="5" t="s">
        <v>82</v>
      </c>
      <c r="O474" s="83"/>
      <c r="P474" s="20">
        <v>0.49612403100775215</v>
      </c>
      <c r="Q474" s="143">
        <f t="shared" si="133"/>
        <v>49.6</v>
      </c>
      <c r="R474" s="21" t="s">
        <v>51</v>
      </c>
      <c r="S474" s="8" t="s">
        <v>246</v>
      </c>
      <c r="T474" s="7" t="s">
        <v>226</v>
      </c>
    </row>
    <row r="475" spans="1:20" ht="52">
      <c r="A475" s="90"/>
      <c r="B475" s="88" t="s">
        <v>2146</v>
      </c>
      <c r="C475" s="5"/>
      <c r="D475" s="5"/>
      <c r="E475" s="132">
        <f t="shared" si="124"/>
        <v>87.545000000000002</v>
      </c>
      <c r="F475" s="139">
        <f>$O$477-P475*($O$477-$O$469)</f>
        <v>85.7</v>
      </c>
      <c r="G475" s="186" t="s">
        <v>1580</v>
      </c>
      <c r="H475" s="82" t="str">
        <f t="shared" ref="H475" si="134">CONCATENATE(K475," percent up in ",L475," international stage")</f>
        <v>50 percent up in Coniacian international stage</v>
      </c>
      <c r="I475" s="142" t="str">
        <f t="shared" ref="I475" si="135">CONCATENATE(Q475," percent up in ",R475," international stage")</f>
        <v>100 percent up in Coniacian international stage</v>
      </c>
      <c r="J475" s="7">
        <v>0.5</v>
      </c>
      <c r="K475" s="129">
        <f t="shared" ref="K475" si="136">ROUND(J475*100,1)</f>
        <v>50</v>
      </c>
      <c r="L475" s="8" t="s">
        <v>53</v>
      </c>
      <c r="M475" s="5"/>
      <c r="O475" s="83"/>
      <c r="P475" s="20">
        <v>1</v>
      </c>
      <c r="Q475" s="143">
        <f t="shared" ref="Q475:Q476" si="137">ROUND(P475*100,1)</f>
        <v>100</v>
      </c>
      <c r="R475" s="21" t="s">
        <v>53</v>
      </c>
      <c r="S475" s="8"/>
    </row>
    <row r="476" spans="1:20" ht="52">
      <c r="A476" s="90"/>
      <c r="B476" s="88" t="s">
        <v>2147</v>
      </c>
      <c r="C476" s="5"/>
      <c r="D476" s="5"/>
      <c r="E476" s="132">
        <f t="shared" si="124"/>
        <v>89.39</v>
      </c>
      <c r="F476" s="139">
        <f>$O$477-P476*($O$477-$O$469)</f>
        <v>87.545000000000002</v>
      </c>
      <c r="G476" s="186" t="s">
        <v>1581</v>
      </c>
      <c r="H476" s="82" t="str">
        <f t="shared" ref="H476" si="138">CONCATENATE(K476," percent up in ",L476," international stage")</f>
        <v>0 percent up in Coniacian international stage</v>
      </c>
      <c r="I476" s="142" t="str">
        <f t="shared" ref="I476" si="139">CONCATENATE(Q476," percent up in ",R476," international stage")</f>
        <v>50 percent up in Coniacian international stage</v>
      </c>
      <c r="J476" s="7">
        <v>0</v>
      </c>
      <c r="K476" s="129">
        <f t="shared" ref="K476" si="140">ROUND(J476*100,1)</f>
        <v>0</v>
      </c>
      <c r="L476" s="8" t="s">
        <v>53</v>
      </c>
      <c r="M476" s="5"/>
      <c r="O476" s="83"/>
      <c r="P476" s="20">
        <v>0.5</v>
      </c>
      <c r="Q476" s="143">
        <f t="shared" si="137"/>
        <v>50</v>
      </c>
      <c r="R476" s="21" t="s">
        <v>53</v>
      </c>
      <c r="S476" s="8"/>
    </row>
    <row r="477" spans="1:20" ht="28">
      <c r="A477" s="90" t="s">
        <v>688</v>
      </c>
      <c r="B477" s="88" t="s">
        <v>53</v>
      </c>
      <c r="C477" s="134"/>
      <c r="D477" s="134" t="s">
        <v>222</v>
      </c>
      <c r="E477" s="132">
        <f t="shared" si="124"/>
        <v>89.39</v>
      </c>
      <c r="F477" s="139">
        <f>$O$477-P477*($O$477-$O$469)</f>
        <v>85.7</v>
      </c>
      <c r="G477" s="149"/>
      <c r="H477" s="82" t="str">
        <f t="shared" si="130"/>
        <v>0 percent up in Coniacian international stage</v>
      </c>
      <c r="I477" s="142" t="str">
        <f t="shared" si="131"/>
        <v>100 percent up in Coniacian international stage</v>
      </c>
      <c r="J477" s="7">
        <v>0</v>
      </c>
      <c r="K477" s="129">
        <f t="shared" si="132"/>
        <v>0</v>
      </c>
      <c r="L477" s="8" t="s">
        <v>53</v>
      </c>
      <c r="M477" s="5" t="s">
        <v>224</v>
      </c>
      <c r="N477" s="5" t="s">
        <v>713</v>
      </c>
      <c r="O477" s="84">
        <f>Master_Chronostrat!I39</f>
        <v>89.39</v>
      </c>
      <c r="P477" s="20">
        <v>1</v>
      </c>
      <c r="Q477" s="143">
        <f t="shared" si="133"/>
        <v>100</v>
      </c>
      <c r="R477" s="21" t="s">
        <v>53</v>
      </c>
      <c r="S477" s="8" t="s">
        <v>224</v>
      </c>
      <c r="T477" s="7" t="s">
        <v>226</v>
      </c>
    </row>
    <row r="478" spans="1:20" ht="28">
      <c r="A478" s="90" t="s">
        <v>688</v>
      </c>
      <c r="B478" s="86" t="s">
        <v>714</v>
      </c>
      <c r="C478" s="5"/>
      <c r="D478" s="5" t="s">
        <v>270</v>
      </c>
      <c r="E478" s="132">
        <f t="shared" ref="E478:E487" si="141">$O$487-J478*($O$487-$O$477)</f>
        <v>92.289285714285725</v>
      </c>
      <c r="F478" s="139">
        <f>$O$487-P478*($O$487-$O$477)</f>
        <v>91.108095238095245</v>
      </c>
      <c r="G478" s="149"/>
      <c r="H478" s="82" t="str">
        <f t="shared" si="130"/>
        <v>35.7 percent up in Turonian international stage</v>
      </c>
      <c r="I478" s="142" t="str">
        <f t="shared" si="131"/>
        <v>61.9 percent up in Turonian international stage</v>
      </c>
      <c r="J478" s="7">
        <v>0.35714285714285687</v>
      </c>
      <c r="K478" s="129">
        <f t="shared" si="132"/>
        <v>35.700000000000003</v>
      </c>
      <c r="L478" s="8" t="s">
        <v>54</v>
      </c>
      <c r="M478" s="5" t="s">
        <v>82</v>
      </c>
      <c r="N478" s="5" t="s">
        <v>82</v>
      </c>
      <c r="O478" s="83"/>
      <c r="P478" s="20">
        <v>0.61904761904761729</v>
      </c>
      <c r="Q478" s="143">
        <f t="shared" si="133"/>
        <v>61.9</v>
      </c>
      <c r="R478" s="21" t="s">
        <v>54</v>
      </c>
      <c r="S478" s="8" t="s">
        <v>259</v>
      </c>
      <c r="T478" s="7">
        <v>0.26190476190475936</v>
      </c>
    </row>
    <row r="479" spans="1:20" ht="28">
      <c r="A479" s="90" t="s">
        <v>688</v>
      </c>
      <c r="B479" s="88" t="s">
        <v>715</v>
      </c>
      <c r="C479" s="5"/>
      <c r="D479" s="5" t="s">
        <v>270</v>
      </c>
      <c r="E479" s="132">
        <f t="shared" si="141"/>
        <v>92.289285714285725</v>
      </c>
      <c r="F479" s="139">
        <f>$O$487-P479*($O$487-$O$477)</f>
        <v>91.108095238095245</v>
      </c>
      <c r="G479" s="149"/>
      <c r="H479" s="82" t="str">
        <f t="shared" si="130"/>
        <v>35.7 percent up in Turonian international stage</v>
      </c>
      <c r="I479" s="142" t="str">
        <f t="shared" si="131"/>
        <v>61.9 percent up in Turonian international stage</v>
      </c>
      <c r="J479" s="7">
        <v>0.35714285714285687</v>
      </c>
      <c r="K479" s="129">
        <f t="shared" si="132"/>
        <v>35.700000000000003</v>
      </c>
      <c r="L479" s="8" t="s">
        <v>54</v>
      </c>
      <c r="M479" s="5" t="s">
        <v>82</v>
      </c>
      <c r="N479" s="5" t="s">
        <v>82</v>
      </c>
      <c r="O479" s="83"/>
      <c r="P479" s="20">
        <v>0.61904761904761729</v>
      </c>
      <c r="Q479" s="143">
        <f t="shared" si="133"/>
        <v>61.9</v>
      </c>
      <c r="R479" s="21" t="s">
        <v>54</v>
      </c>
      <c r="S479" s="8" t="s">
        <v>259</v>
      </c>
      <c r="T479" s="7">
        <v>0.26190476190475936</v>
      </c>
    </row>
    <row r="480" spans="1:20" ht="28">
      <c r="A480" s="90" t="s">
        <v>688</v>
      </c>
      <c r="B480" s="87" t="s">
        <v>716</v>
      </c>
      <c r="C480" s="5"/>
      <c r="D480" s="5" t="s">
        <v>270</v>
      </c>
      <c r="E480" s="132">
        <f t="shared" si="141"/>
        <v>92.71880952380954</v>
      </c>
      <c r="F480" s="139">
        <f>$O$487-P480*($O$487-$O$477)</f>
        <v>89.39</v>
      </c>
      <c r="G480" s="149"/>
      <c r="H480" s="82" t="str">
        <f t="shared" si="130"/>
        <v>26.2 percent up in Turonian international stage</v>
      </c>
      <c r="I480" s="142" t="str">
        <f t="shared" si="131"/>
        <v>100 percent up in Turonian international stage</v>
      </c>
      <c r="J480" s="7">
        <v>0.26190476190476042</v>
      </c>
      <c r="K480" s="129">
        <f t="shared" si="132"/>
        <v>26.2</v>
      </c>
      <c r="L480" s="8" t="s">
        <v>54</v>
      </c>
      <c r="M480" s="5" t="s">
        <v>82</v>
      </c>
      <c r="N480" s="5" t="s">
        <v>82</v>
      </c>
      <c r="O480" s="83"/>
      <c r="P480" s="20">
        <v>1</v>
      </c>
      <c r="Q480" s="143">
        <f t="shared" si="133"/>
        <v>100</v>
      </c>
      <c r="R480" s="21" t="s">
        <v>54</v>
      </c>
      <c r="S480" s="8" t="s">
        <v>272</v>
      </c>
      <c r="T480" s="7" t="s">
        <v>226</v>
      </c>
    </row>
    <row r="481" spans="1:20" ht="28">
      <c r="A481" s="90" t="s">
        <v>688</v>
      </c>
      <c r="B481" s="88" t="s">
        <v>717</v>
      </c>
      <c r="C481" s="5"/>
      <c r="D481" s="5" t="s">
        <v>236</v>
      </c>
      <c r="E481" s="132">
        <f t="shared" si="141"/>
        <v>93.363095238095241</v>
      </c>
      <c r="F481" s="139">
        <f>$O$477-P481*($O$477-$O$469)</f>
        <v>86.965142857142865</v>
      </c>
      <c r="G481" s="149"/>
      <c r="H481" s="82" t="str">
        <f t="shared" si="130"/>
        <v>11.9 percent up in Turonian international stage</v>
      </c>
      <c r="I481" s="142" t="str">
        <f t="shared" si="131"/>
        <v>65.7 percent up in Coniacian international stage</v>
      </c>
      <c r="J481" s="7">
        <v>0.11904761904761896</v>
      </c>
      <c r="K481" s="129">
        <f t="shared" si="132"/>
        <v>11.9</v>
      </c>
      <c r="L481" s="8" t="s">
        <v>54</v>
      </c>
      <c r="M481" s="5" t="s">
        <v>82</v>
      </c>
      <c r="N481" s="5" t="s">
        <v>82</v>
      </c>
      <c r="O481" s="83"/>
      <c r="P481" s="20">
        <v>0.65714285714285636</v>
      </c>
      <c r="Q481" s="143">
        <f t="shared" si="133"/>
        <v>65.7</v>
      </c>
      <c r="R481" s="21" t="s">
        <v>53</v>
      </c>
      <c r="S481" s="8" t="s">
        <v>246</v>
      </c>
      <c r="T481" s="7" t="s">
        <v>226</v>
      </c>
    </row>
    <row r="482" spans="1:20" ht="28">
      <c r="A482" s="90" t="s">
        <v>688</v>
      </c>
      <c r="B482" s="88" t="s">
        <v>718</v>
      </c>
      <c r="C482" s="5"/>
      <c r="D482" s="5" t="s">
        <v>270</v>
      </c>
      <c r="E482" s="132">
        <f t="shared" si="141"/>
        <v>93.9</v>
      </c>
      <c r="F482" s="139">
        <f t="shared" ref="F482:F489" si="142">$O$487-P482*($O$487-$O$477)</f>
        <v>92.289285714285725</v>
      </c>
      <c r="G482" s="149"/>
      <c r="H482" s="82" t="str">
        <f t="shared" si="130"/>
        <v>0 percent up in Turonian international stage</v>
      </c>
      <c r="I482" s="142" t="str">
        <f t="shared" si="131"/>
        <v>35.7 percent up in Turonian international stage</v>
      </c>
      <c r="J482" s="7">
        <v>0</v>
      </c>
      <c r="K482" s="129">
        <f t="shared" si="132"/>
        <v>0</v>
      </c>
      <c r="L482" s="8" t="s">
        <v>54</v>
      </c>
      <c r="M482" s="5" t="s">
        <v>82</v>
      </c>
      <c r="N482" s="5" t="s">
        <v>82</v>
      </c>
      <c r="O482" s="83"/>
      <c r="P482" s="20">
        <v>0.35714285714285693</v>
      </c>
      <c r="Q482" s="143">
        <f t="shared" si="133"/>
        <v>35.700000000000003</v>
      </c>
      <c r="R482" s="21" t="s">
        <v>54</v>
      </c>
      <c r="S482" s="8" t="s">
        <v>230</v>
      </c>
      <c r="T482" s="7" t="s">
        <v>226</v>
      </c>
    </row>
    <row r="483" spans="1:20" ht="28">
      <c r="A483" s="90" t="s">
        <v>688</v>
      </c>
      <c r="B483" s="87" t="s">
        <v>719</v>
      </c>
      <c r="C483" s="5"/>
      <c r="D483" s="5" t="s">
        <v>270</v>
      </c>
      <c r="E483" s="132">
        <f t="shared" si="141"/>
        <v>93.9</v>
      </c>
      <c r="F483" s="139">
        <f t="shared" si="142"/>
        <v>92.289285714285725</v>
      </c>
      <c r="G483" s="149"/>
      <c r="H483" s="82" t="str">
        <f t="shared" si="130"/>
        <v>0 percent up in Turonian international stage</v>
      </c>
      <c r="I483" s="142" t="str">
        <f t="shared" si="131"/>
        <v>35.7 percent up in Turonian international stage</v>
      </c>
      <c r="J483" s="7">
        <v>0</v>
      </c>
      <c r="K483" s="129">
        <f t="shared" si="132"/>
        <v>0</v>
      </c>
      <c r="L483" s="8" t="s">
        <v>54</v>
      </c>
      <c r="M483" s="5" t="s">
        <v>82</v>
      </c>
      <c r="N483" s="5" t="s">
        <v>82</v>
      </c>
      <c r="O483" s="83"/>
      <c r="P483" s="20">
        <v>0.35714285714285693</v>
      </c>
      <c r="Q483" s="143">
        <f t="shared" si="133"/>
        <v>35.700000000000003</v>
      </c>
      <c r="R483" s="21" t="s">
        <v>54</v>
      </c>
      <c r="S483" s="8" t="s">
        <v>230</v>
      </c>
      <c r="T483" s="7" t="s">
        <v>226</v>
      </c>
    </row>
    <row r="484" spans="1:20" ht="28">
      <c r="A484" s="90"/>
      <c r="B484" s="87" t="s">
        <v>2136</v>
      </c>
      <c r="C484" s="5"/>
      <c r="D484" s="5"/>
      <c r="E484" s="132">
        <f t="shared" ref="E484:E486" si="143">$O$487-J484*($O$487-$O$477)</f>
        <v>90.517499999999998</v>
      </c>
      <c r="F484" s="139">
        <f t="shared" si="142"/>
        <v>89.39</v>
      </c>
      <c r="G484" s="149" t="s">
        <v>2139</v>
      </c>
      <c r="H484" s="82" t="str">
        <f t="shared" ref="H484:H486" si="144">CONCATENATE(K484," percent up in ",L484," international stage")</f>
        <v>75 percent up in Turonian international stage</v>
      </c>
      <c r="I484" s="142" t="str">
        <f t="shared" ref="I484:I486" si="145">CONCATENATE(Q484," percent up in ",R484," international stage")</f>
        <v>100 percent up in Turonian international stage</v>
      </c>
      <c r="J484" s="7">
        <v>0.75</v>
      </c>
      <c r="K484" s="129">
        <f t="shared" ref="K484:K486" si="146">ROUND(J484*100,1)</f>
        <v>75</v>
      </c>
      <c r="L484" s="8" t="s">
        <v>54</v>
      </c>
      <c r="M484" s="5"/>
      <c r="O484" s="83"/>
      <c r="P484" s="20">
        <v>1</v>
      </c>
      <c r="Q484" s="143">
        <f t="shared" ref="Q484:Q486" si="147">ROUND(P484*100,1)</f>
        <v>100</v>
      </c>
      <c r="R484" s="21" t="s">
        <v>54</v>
      </c>
      <c r="S484" s="8" t="s">
        <v>1916</v>
      </c>
    </row>
    <row r="485" spans="1:20" ht="28">
      <c r="A485" s="90"/>
      <c r="B485" s="87" t="s">
        <v>2137</v>
      </c>
      <c r="C485" s="5"/>
      <c r="D485" s="5"/>
      <c r="E485" s="132">
        <f t="shared" ref="E485" si="148">$O$487-J485*($O$487-$O$477)</f>
        <v>92.772500000000008</v>
      </c>
      <c r="F485" s="139">
        <f t="shared" ref="F485" si="149">$O$487-P485*($O$487-$O$477)</f>
        <v>90.517499999999998</v>
      </c>
      <c r="G485" s="149" t="s">
        <v>2139</v>
      </c>
      <c r="H485" s="82" t="str">
        <f t="shared" ref="H485" si="150">CONCATENATE(K485," percent up in ",L485," international stage")</f>
        <v>25 percent up in Turonian international stage</v>
      </c>
      <c r="I485" s="142" t="str">
        <f t="shared" ref="I485" si="151">CONCATENATE(Q485," percent up in ",R485," international stage")</f>
        <v>75 percent up in Turonian international stage</v>
      </c>
      <c r="J485" s="7">
        <v>0.25</v>
      </c>
      <c r="K485" s="129">
        <f t="shared" ref="K485" si="152">ROUND(J485*100,1)</f>
        <v>25</v>
      </c>
      <c r="L485" s="8" t="s">
        <v>54</v>
      </c>
      <c r="M485" s="5"/>
      <c r="O485" s="83"/>
      <c r="P485" s="20">
        <v>0.75</v>
      </c>
      <c r="Q485" s="143">
        <f t="shared" ref="Q485" si="153">ROUND(P485*100,1)</f>
        <v>75</v>
      </c>
      <c r="R485" s="21" t="s">
        <v>54</v>
      </c>
      <c r="S485" s="8"/>
    </row>
    <row r="486" spans="1:20" ht="28">
      <c r="A486" s="90"/>
      <c r="B486" s="87" t="s">
        <v>2138</v>
      </c>
      <c r="C486" s="5"/>
      <c r="D486" s="5"/>
      <c r="E486" s="132">
        <f t="shared" si="143"/>
        <v>93.9</v>
      </c>
      <c r="F486" s="139">
        <f t="shared" si="142"/>
        <v>92.772500000000008</v>
      </c>
      <c r="G486" s="149" t="s">
        <v>2139</v>
      </c>
      <c r="H486" s="82" t="str">
        <f t="shared" si="144"/>
        <v>0 percent up in Turonian international stage</v>
      </c>
      <c r="I486" s="142" t="str">
        <f t="shared" si="145"/>
        <v>25 percent up in Turonian international stage</v>
      </c>
      <c r="J486" s="7">
        <v>0</v>
      </c>
      <c r="K486" s="129">
        <f t="shared" si="146"/>
        <v>0</v>
      </c>
      <c r="L486" s="8" t="s">
        <v>54</v>
      </c>
      <c r="M486" s="5"/>
      <c r="O486" s="83"/>
      <c r="P486" s="20">
        <v>0.25</v>
      </c>
      <c r="Q486" s="143">
        <f t="shared" si="147"/>
        <v>25</v>
      </c>
      <c r="R486" s="21" t="s">
        <v>54</v>
      </c>
      <c r="S486" s="8" t="s">
        <v>1917</v>
      </c>
    </row>
    <row r="487" spans="1:20" ht="28">
      <c r="A487" s="90" t="s">
        <v>688</v>
      </c>
      <c r="B487" s="88" t="s">
        <v>54</v>
      </c>
      <c r="C487" s="134"/>
      <c r="D487" s="134" t="s">
        <v>222</v>
      </c>
      <c r="E487" s="132">
        <f t="shared" si="141"/>
        <v>93.9</v>
      </c>
      <c r="F487" s="139">
        <f t="shared" si="142"/>
        <v>89.39</v>
      </c>
      <c r="G487" s="149"/>
      <c r="H487" s="82" t="str">
        <f t="shared" si="130"/>
        <v>0 percent up in Turonian international stage</v>
      </c>
      <c r="I487" s="142" t="str">
        <f t="shared" si="131"/>
        <v>100 percent up in Turonian international stage</v>
      </c>
      <c r="J487" s="7">
        <v>0</v>
      </c>
      <c r="K487" s="129">
        <f t="shared" si="132"/>
        <v>0</v>
      </c>
      <c r="L487" s="8" t="s">
        <v>54</v>
      </c>
      <c r="M487" s="5" t="s">
        <v>224</v>
      </c>
      <c r="N487" s="5" t="s">
        <v>720</v>
      </c>
      <c r="O487" s="84">
        <f>Master_Chronostrat!I42</f>
        <v>93.9</v>
      </c>
      <c r="P487" s="20">
        <v>1</v>
      </c>
      <c r="Q487" s="143">
        <f t="shared" si="133"/>
        <v>100</v>
      </c>
      <c r="R487" s="21" t="s">
        <v>54</v>
      </c>
      <c r="S487" s="8" t="s">
        <v>224</v>
      </c>
      <c r="T487" s="7" t="s">
        <v>226</v>
      </c>
    </row>
    <row r="488" spans="1:20" ht="28">
      <c r="A488" s="90" t="s">
        <v>688</v>
      </c>
      <c r="B488" s="88" t="s">
        <v>721</v>
      </c>
      <c r="C488" s="5"/>
      <c r="D488" s="5" t="s">
        <v>236</v>
      </c>
      <c r="E488" s="132">
        <f t="shared" ref="E488:E499" si="154">$O$499-J488*($O$499-$O$487)</f>
        <v>95.522950819672133</v>
      </c>
      <c r="F488" s="139">
        <f t="shared" si="142"/>
        <v>93.363095238095241</v>
      </c>
      <c r="G488" s="149"/>
      <c r="H488" s="82" t="str">
        <f t="shared" si="130"/>
        <v>75.4 percent up in Cenomanian international stage</v>
      </c>
      <c r="I488" s="142" t="str">
        <f t="shared" si="131"/>
        <v>11.9 percent up in Turonian international stage</v>
      </c>
      <c r="J488" s="7">
        <v>0.75409836065573743</v>
      </c>
      <c r="K488" s="129">
        <f t="shared" si="132"/>
        <v>75.400000000000006</v>
      </c>
      <c r="L488" s="8" t="s">
        <v>56</v>
      </c>
      <c r="M488" s="5" t="s">
        <v>82</v>
      </c>
      <c r="N488" s="5" t="s">
        <v>82</v>
      </c>
      <c r="O488" s="83"/>
      <c r="P488" s="20">
        <v>0.11904761904761897</v>
      </c>
      <c r="Q488" s="143">
        <f t="shared" si="133"/>
        <v>11.9</v>
      </c>
      <c r="R488" s="21" t="s">
        <v>54</v>
      </c>
      <c r="S488" s="8" t="s">
        <v>246</v>
      </c>
      <c r="T488" s="7" t="s">
        <v>226</v>
      </c>
    </row>
    <row r="489" spans="1:20" ht="28">
      <c r="A489" s="90" t="s">
        <v>688</v>
      </c>
      <c r="B489" s="88" t="s">
        <v>722</v>
      </c>
      <c r="C489" s="5"/>
      <c r="D489" s="5" t="s">
        <v>354</v>
      </c>
      <c r="E489" s="132">
        <f t="shared" si="154"/>
        <v>97.254098360655732</v>
      </c>
      <c r="F489" s="139">
        <f t="shared" si="142"/>
        <v>89.39</v>
      </c>
      <c r="G489" s="149"/>
      <c r="H489" s="82" t="str">
        <f t="shared" si="130"/>
        <v>49.2 percent up in Cenomanian international stage</v>
      </c>
      <c r="I489" s="142" t="str">
        <f t="shared" si="131"/>
        <v>100 percent up in Turonian international stage</v>
      </c>
      <c r="J489" s="7">
        <v>0.49180327868852503</v>
      </c>
      <c r="K489" s="129">
        <f t="shared" si="132"/>
        <v>49.2</v>
      </c>
      <c r="L489" s="8" t="s">
        <v>56</v>
      </c>
      <c r="M489" s="5" t="s">
        <v>82</v>
      </c>
      <c r="N489" s="5" t="s">
        <v>82</v>
      </c>
      <c r="O489" s="83"/>
      <c r="P489" s="20">
        <v>1</v>
      </c>
      <c r="Q489" s="143">
        <f t="shared" si="133"/>
        <v>100</v>
      </c>
      <c r="R489" s="21" t="s">
        <v>54</v>
      </c>
      <c r="S489" s="8" t="s">
        <v>246</v>
      </c>
      <c r="T489" s="7" t="s">
        <v>226</v>
      </c>
    </row>
    <row r="490" spans="1:20" ht="28">
      <c r="A490" s="90" t="s">
        <v>688</v>
      </c>
      <c r="B490" s="88" t="s">
        <v>723</v>
      </c>
      <c r="C490" s="5"/>
      <c r="D490" s="5" t="s">
        <v>82</v>
      </c>
      <c r="E490" s="132">
        <f t="shared" si="154"/>
        <v>100.5</v>
      </c>
      <c r="F490" s="139">
        <f>$O$450-P490*($O$450-$O$440)</f>
        <v>66.040000000000006</v>
      </c>
      <c r="G490" s="149"/>
      <c r="H490" s="82" t="str">
        <f t="shared" si="130"/>
        <v>0 percent up in Cenomanian international stage</v>
      </c>
      <c r="I490" s="142" t="str">
        <f t="shared" si="131"/>
        <v>100 percent up in Maastrichtian international stage</v>
      </c>
      <c r="J490" s="7">
        <v>0</v>
      </c>
      <c r="K490" s="129">
        <f t="shared" si="132"/>
        <v>0</v>
      </c>
      <c r="L490" s="8" t="s">
        <v>56</v>
      </c>
      <c r="M490" s="5" t="s">
        <v>82</v>
      </c>
      <c r="N490" s="5" t="s">
        <v>82</v>
      </c>
      <c r="O490" s="83"/>
      <c r="P490" s="20">
        <v>1</v>
      </c>
      <c r="Q490" s="143">
        <f t="shared" si="133"/>
        <v>100</v>
      </c>
      <c r="R490" s="21" t="s">
        <v>50</v>
      </c>
      <c r="S490" s="8" t="s">
        <v>232</v>
      </c>
      <c r="T490" s="7" t="s">
        <v>226</v>
      </c>
    </row>
    <row r="491" spans="1:20" ht="42">
      <c r="A491" s="90" t="s">
        <v>688</v>
      </c>
      <c r="B491" s="88" t="s">
        <v>724</v>
      </c>
      <c r="C491" s="5"/>
      <c r="D491" s="5" t="s">
        <v>725</v>
      </c>
      <c r="E491" s="132">
        <f t="shared" si="154"/>
        <v>100.5</v>
      </c>
      <c r="F491" s="139">
        <f>$O$450-P491*($O$450-$O$440)</f>
        <v>66.040000000000006</v>
      </c>
      <c r="G491" s="149"/>
      <c r="H491" s="82" t="str">
        <f t="shared" si="130"/>
        <v>0 percent up in Cenomanian international stage</v>
      </c>
      <c r="I491" s="142" t="str">
        <f t="shared" si="131"/>
        <v>100 percent up in Maastrichtian international stage</v>
      </c>
      <c r="J491" s="7">
        <v>0</v>
      </c>
      <c r="K491" s="129">
        <f t="shared" si="132"/>
        <v>0</v>
      </c>
      <c r="L491" s="8" t="s">
        <v>56</v>
      </c>
      <c r="M491" s="5" t="s">
        <v>82</v>
      </c>
      <c r="N491" s="5" t="s">
        <v>82</v>
      </c>
      <c r="O491" s="83"/>
      <c r="P491" s="20">
        <v>1</v>
      </c>
      <c r="Q491" s="143">
        <f t="shared" si="133"/>
        <v>100</v>
      </c>
      <c r="R491" s="21" t="s">
        <v>50</v>
      </c>
      <c r="S491" s="8" t="s">
        <v>232</v>
      </c>
      <c r="T491" s="7" t="s">
        <v>226</v>
      </c>
    </row>
    <row r="492" spans="1:20" ht="28">
      <c r="A492" s="90" t="s">
        <v>688</v>
      </c>
      <c r="B492" s="88" t="s">
        <v>726</v>
      </c>
      <c r="C492" s="5"/>
      <c r="D492" s="5" t="s">
        <v>244</v>
      </c>
      <c r="E492" s="132">
        <f t="shared" si="154"/>
        <v>100.5</v>
      </c>
      <c r="F492" s="139">
        <f>$O$450-P492*($O$450-$O$440)</f>
        <v>66.040000000000006</v>
      </c>
      <c r="G492" s="149"/>
      <c r="H492" s="82" t="str">
        <f t="shared" si="130"/>
        <v>0 percent up in Cenomanian international stage</v>
      </c>
      <c r="I492" s="142" t="str">
        <f t="shared" si="131"/>
        <v>100 percent up in Maastrichtian international stage</v>
      </c>
      <c r="J492" s="7">
        <v>0</v>
      </c>
      <c r="K492" s="129">
        <f t="shared" si="132"/>
        <v>0</v>
      </c>
      <c r="L492" s="8" t="s">
        <v>56</v>
      </c>
      <c r="M492" s="5" t="s">
        <v>82</v>
      </c>
      <c r="N492" s="5" t="s">
        <v>82</v>
      </c>
      <c r="O492" s="83"/>
      <c r="P492" s="20">
        <v>1</v>
      </c>
      <c r="Q492" s="143">
        <f t="shared" si="133"/>
        <v>100</v>
      </c>
      <c r="R492" s="21" t="s">
        <v>50</v>
      </c>
      <c r="S492" s="8" t="s">
        <v>232</v>
      </c>
      <c r="T492" s="7" t="s">
        <v>226</v>
      </c>
    </row>
    <row r="493" spans="1:20" ht="28">
      <c r="A493" s="90" t="s">
        <v>688</v>
      </c>
      <c r="B493" s="88" t="s">
        <v>727</v>
      </c>
      <c r="C493" s="5"/>
      <c r="D493" s="5" t="s">
        <v>236</v>
      </c>
      <c r="E493" s="132">
        <f t="shared" si="154"/>
        <v>100.5</v>
      </c>
      <c r="F493" s="139">
        <f t="shared" ref="F493:F498" si="155">$O$499-P493*($O$499-$O$487)</f>
        <v>95.522950819672133</v>
      </c>
      <c r="G493" s="149"/>
      <c r="H493" s="82" t="str">
        <f t="shared" si="130"/>
        <v>0 percent up in Cenomanian international stage</v>
      </c>
      <c r="I493" s="142" t="str">
        <f t="shared" si="131"/>
        <v>75.4 percent up in Cenomanian international stage</v>
      </c>
      <c r="J493" s="7">
        <v>0</v>
      </c>
      <c r="K493" s="129">
        <f t="shared" si="132"/>
        <v>0</v>
      </c>
      <c r="L493" s="8" t="s">
        <v>56</v>
      </c>
      <c r="M493" s="5" t="s">
        <v>82</v>
      </c>
      <c r="N493" s="5" t="s">
        <v>82</v>
      </c>
      <c r="O493" s="83"/>
      <c r="P493" s="20">
        <v>0.75409836065573743</v>
      </c>
      <c r="Q493" s="143">
        <f t="shared" si="133"/>
        <v>75.400000000000006</v>
      </c>
      <c r="R493" s="21" t="s">
        <v>56</v>
      </c>
      <c r="S493" s="8" t="s">
        <v>230</v>
      </c>
      <c r="T493" s="7" t="s">
        <v>226</v>
      </c>
    </row>
    <row r="494" spans="1:20" ht="28">
      <c r="A494" s="90" t="s">
        <v>688</v>
      </c>
      <c r="B494" s="88" t="s">
        <v>728</v>
      </c>
      <c r="C494" s="5"/>
      <c r="D494" s="5" t="s">
        <v>82</v>
      </c>
      <c r="E494" s="132">
        <f t="shared" si="154"/>
        <v>100.5</v>
      </c>
      <c r="F494" s="139">
        <f t="shared" si="155"/>
        <v>93.9</v>
      </c>
      <c r="G494" s="149"/>
      <c r="H494" s="82" t="str">
        <f t="shared" si="130"/>
        <v>0 percent up in Cenomanian international stage</v>
      </c>
      <c r="I494" s="142" t="str">
        <f t="shared" si="131"/>
        <v>100 percent up in Cenomanian international stage</v>
      </c>
      <c r="J494" s="7">
        <v>0</v>
      </c>
      <c r="K494" s="129">
        <f t="shared" si="132"/>
        <v>0</v>
      </c>
      <c r="L494" s="8" t="s">
        <v>56</v>
      </c>
      <c r="M494" s="5" t="s">
        <v>82</v>
      </c>
      <c r="N494" s="5" t="s">
        <v>82</v>
      </c>
      <c r="O494" s="83"/>
      <c r="P494" s="20">
        <v>1</v>
      </c>
      <c r="Q494" s="143">
        <f t="shared" si="133"/>
        <v>100</v>
      </c>
      <c r="R494" s="21" t="s">
        <v>56</v>
      </c>
      <c r="S494" s="8" t="s">
        <v>232</v>
      </c>
      <c r="T494" s="7" t="s">
        <v>226</v>
      </c>
    </row>
    <row r="495" spans="1:20" ht="28">
      <c r="A495" s="90"/>
      <c r="B495" s="88" t="s">
        <v>1821</v>
      </c>
      <c r="C495" s="5"/>
      <c r="D495" s="5"/>
      <c r="E495" s="132">
        <f t="shared" ref="E495" si="156">$O$499-J495*($O$499-$O$487)</f>
        <v>95.550000000000011</v>
      </c>
      <c r="F495" s="139">
        <f t="shared" si="155"/>
        <v>93.9</v>
      </c>
      <c r="G495" s="149" t="s">
        <v>2141</v>
      </c>
      <c r="H495" s="82" t="str">
        <f t="shared" ref="H495" si="157">CONCATENATE(K495," percent up in ",L495," international stage")</f>
        <v>75 percent up in Cenomanian international stage</v>
      </c>
      <c r="I495" s="142" t="str">
        <f t="shared" ref="I495" si="158">CONCATENATE(Q495," percent up in ",R495," international stage")</f>
        <v>100 percent up in Cenomanian international stage</v>
      </c>
      <c r="J495" s="7">
        <v>0.75</v>
      </c>
      <c r="K495" s="129">
        <f t="shared" ref="K495" si="159">ROUND(J495*100,1)</f>
        <v>75</v>
      </c>
      <c r="L495" s="8" t="s">
        <v>56</v>
      </c>
      <c r="M495" s="5"/>
      <c r="O495" s="83"/>
      <c r="P495" s="20">
        <v>1</v>
      </c>
      <c r="Q495" s="143">
        <f t="shared" ref="Q495:Q497" si="160">ROUND(P495*100,1)</f>
        <v>100</v>
      </c>
      <c r="R495" s="21" t="s">
        <v>56</v>
      </c>
      <c r="S495" s="8" t="s">
        <v>1601</v>
      </c>
    </row>
    <row r="496" spans="1:20" ht="28">
      <c r="A496" s="90"/>
      <c r="B496" s="88" t="s">
        <v>2140</v>
      </c>
      <c r="C496" s="5"/>
      <c r="D496" s="5"/>
      <c r="E496" s="132">
        <f t="shared" ref="E496" si="161">$O$499-J496*($O$499-$O$487)</f>
        <v>97.2</v>
      </c>
      <c r="F496" s="139">
        <f t="shared" si="155"/>
        <v>95.550000000000011</v>
      </c>
      <c r="G496" s="149" t="s">
        <v>2141</v>
      </c>
      <c r="H496" s="82" t="str">
        <f t="shared" ref="H496" si="162">CONCATENATE(K496," percent up in ",L496," international stage")</f>
        <v>50 percent up in Cenomanian international stage</v>
      </c>
      <c r="I496" s="142" t="str">
        <f t="shared" ref="I496" si="163">CONCATENATE(Q496," percent up in ",R496," international stage")</f>
        <v>75 percent up in Cenomanian international stage</v>
      </c>
      <c r="J496" s="7">
        <v>0.5</v>
      </c>
      <c r="K496" s="129">
        <f t="shared" ref="K496" si="164">ROUND(J496*100,1)</f>
        <v>50</v>
      </c>
      <c r="L496" s="8" t="s">
        <v>56</v>
      </c>
      <c r="M496" s="5"/>
      <c r="O496" s="83"/>
      <c r="P496" s="20">
        <v>0.75</v>
      </c>
      <c r="Q496" s="143">
        <f t="shared" ref="Q496" si="165">ROUND(P496*100,1)</f>
        <v>75</v>
      </c>
      <c r="R496" s="21" t="s">
        <v>56</v>
      </c>
      <c r="S496" s="8"/>
    </row>
    <row r="497" spans="1:20" ht="28">
      <c r="A497" s="90"/>
      <c r="B497" s="88" t="s">
        <v>1822</v>
      </c>
      <c r="C497" s="5"/>
      <c r="D497" s="5"/>
      <c r="E497" s="132">
        <f t="shared" ref="E497" si="166">$O$499-J497*($O$499-$O$487)</f>
        <v>100.5</v>
      </c>
      <c r="F497" s="139">
        <f t="shared" si="155"/>
        <v>97.2</v>
      </c>
      <c r="G497" s="8" t="s">
        <v>2142</v>
      </c>
      <c r="H497" s="82" t="str">
        <f t="shared" ref="H497" si="167">CONCATENATE(K497," percent up in ",L497," international stage")</f>
        <v>0 percent up in Cenomanian international stage</v>
      </c>
      <c r="I497" s="142" t="str">
        <f t="shared" ref="I497" si="168">CONCATENATE(Q497," percent up in ",R497," international stage")</f>
        <v>50 percent up in Cenomanian international stage</v>
      </c>
      <c r="J497" s="7">
        <v>0</v>
      </c>
      <c r="K497" s="129">
        <f t="shared" ref="K497" si="169">ROUND(J497*100,1)</f>
        <v>0</v>
      </c>
      <c r="L497" s="8" t="s">
        <v>56</v>
      </c>
      <c r="M497" s="5"/>
      <c r="O497" s="83"/>
      <c r="P497" s="20">
        <v>0.5</v>
      </c>
      <c r="Q497" s="143">
        <f t="shared" si="160"/>
        <v>50</v>
      </c>
      <c r="R497" s="21" t="s">
        <v>56</v>
      </c>
      <c r="S497" s="8" t="s">
        <v>1602</v>
      </c>
    </row>
    <row r="498" spans="1:20" ht="28">
      <c r="A498" s="90" t="s">
        <v>688</v>
      </c>
      <c r="B498" s="88" t="s">
        <v>56</v>
      </c>
      <c r="C498" s="134"/>
      <c r="D498" s="134" t="s">
        <v>222</v>
      </c>
      <c r="E498" s="132">
        <f t="shared" si="154"/>
        <v>100.5</v>
      </c>
      <c r="F498" s="139">
        <f t="shared" si="155"/>
        <v>93.9</v>
      </c>
      <c r="G498" s="149"/>
      <c r="H498" s="82" t="str">
        <f t="shared" si="130"/>
        <v>0 percent up in Cenomanian international stage</v>
      </c>
      <c r="I498" s="142" t="str">
        <f t="shared" si="131"/>
        <v>100 percent up in Cenomanian international stage</v>
      </c>
      <c r="J498" s="7">
        <v>0</v>
      </c>
      <c r="K498" s="129">
        <f t="shared" si="132"/>
        <v>0</v>
      </c>
      <c r="L498" s="8" t="s">
        <v>56</v>
      </c>
      <c r="M498" s="5" t="s">
        <v>224</v>
      </c>
      <c r="N498" s="5" t="s">
        <v>729</v>
      </c>
      <c r="O498" s="84">
        <f>Master_Chronostrat!I45</f>
        <v>100.5</v>
      </c>
      <c r="P498" s="20">
        <v>1</v>
      </c>
      <c r="Q498" s="143">
        <f t="shared" si="133"/>
        <v>100</v>
      </c>
      <c r="R498" s="21" t="s">
        <v>56</v>
      </c>
      <c r="S498" s="8" t="s">
        <v>224</v>
      </c>
      <c r="T498" s="7" t="s">
        <v>226</v>
      </c>
    </row>
    <row r="499" spans="1:20" ht="28">
      <c r="A499" s="90" t="s">
        <v>688</v>
      </c>
      <c r="B499" s="88" t="s">
        <v>730</v>
      </c>
      <c r="C499" s="134"/>
      <c r="D499" s="134" t="s">
        <v>222</v>
      </c>
      <c r="E499" s="132">
        <f t="shared" si="154"/>
        <v>100.5</v>
      </c>
      <c r="F499" s="139">
        <f>$O$450-P499*($O$450-$O$440)</f>
        <v>66.040000000000006</v>
      </c>
      <c r="G499" s="149"/>
      <c r="H499" s="82" t="str">
        <f t="shared" si="130"/>
        <v>0 percent up in Cenomanian international stage</v>
      </c>
      <c r="I499" s="142" t="str">
        <f t="shared" si="131"/>
        <v>100 percent up in Maastrichtian international stage</v>
      </c>
      <c r="J499" s="7">
        <v>0</v>
      </c>
      <c r="K499" s="129">
        <f t="shared" si="132"/>
        <v>0</v>
      </c>
      <c r="L499" s="8" t="s">
        <v>56</v>
      </c>
      <c r="M499" s="5" t="s">
        <v>224</v>
      </c>
      <c r="N499" s="5" t="s">
        <v>731</v>
      </c>
      <c r="O499" s="84">
        <f>Master_Chronostrat!I45</f>
        <v>100.5</v>
      </c>
      <c r="P499" s="20">
        <v>1</v>
      </c>
      <c r="Q499" s="143">
        <f t="shared" si="133"/>
        <v>100</v>
      </c>
      <c r="R499" s="21" t="s">
        <v>50</v>
      </c>
      <c r="S499" s="8" t="s">
        <v>239</v>
      </c>
      <c r="T499" s="7" t="s">
        <v>226</v>
      </c>
    </row>
    <row r="500" spans="1:20" ht="28">
      <c r="A500" s="90" t="s">
        <v>688</v>
      </c>
      <c r="B500" s="88" t="s">
        <v>732</v>
      </c>
      <c r="C500" s="5"/>
      <c r="D500" s="5" t="s">
        <v>270</v>
      </c>
      <c r="E500" s="132">
        <f t="shared" ref="E500:E507" si="170">$O$507-J500*($O$507-$O$499)</f>
        <v>102.08750000000001</v>
      </c>
      <c r="F500" s="139">
        <f t="shared" ref="F500:F507" si="171">$O$507-P500*($O$507-$O$499)</f>
        <v>100.5</v>
      </c>
      <c r="G500" s="149"/>
      <c r="H500" s="82" t="str">
        <f t="shared" si="130"/>
        <v>87.5 percent up in Albian international stage</v>
      </c>
      <c r="I500" s="142" t="str">
        <f t="shared" si="131"/>
        <v>100 percent up in Albian international stage</v>
      </c>
      <c r="J500" s="7">
        <v>0.87499999999999911</v>
      </c>
      <c r="K500" s="129">
        <f t="shared" si="132"/>
        <v>87.5</v>
      </c>
      <c r="L500" s="8" t="s">
        <v>57</v>
      </c>
      <c r="M500" s="5" t="s">
        <v>82</v>
      </c>
      <c r="N500" s="5" t="s">
        <v>82</v>
      </c>
      <c r="O500" s="83"/>
      <c r="P500" s="20">
        <v>1</v>
      </c>
      <c r="Q500" s="143">
        <f t="shared" si="133"/>
        <v>100</v>
      </c>
      <c r="R500" s="21" t="s">
        <v>57</v>
      </c>
      <c r="S500" s="8" t="s">
        <v>272</v>
      </c>
      <c r="T500" s="7" t="s">
        <v>226</v>
      </c>
    </row>
    <row r="501" spans="1:20" ht="28">
      <c r="A501" s="90" t="s">
        <v>688</v>
      </c>
      <c r="B501" s="88" t="s">
        <v>733</v>
      </c>
      <c r="C501" s="5"/>
      <c r="D501" s="5" t="s">
        <v>236</v>
      </c>
      <c r="E501" s="132">
        <f t="shared" si="170"/>
        <v>105.00645161290323</v>
      </c>
      <c r="F501" s="139">
        <f t="shared" si="171"/>
        <v>100.5</v>
      </c>
      <c r="G501" s="149"/>
      <c r="H501" s="82" t="str">
        <f t="shared" si="130"/>
        <v>64.5 percent up in Albian international stage</v>
      </c>
      <c r="I501" s="142" t="str">
        <f t="shared" si="131"/>
        <v>100 percent up in Albian international stage</v>
      </c>
      <c r="J501" s="7">
        <v>0.64516129032258029</v>
      </c>
      <c r="K501" s="129">
        <f t="shared" si="132"/>
        <v>64.5</v>
      </c>
      <c r="L501" s="8" t="s">
        <v>57</v>
      </c>
      <c r="M501" s="5" t="s">
        <v>82</v>
      </c>
      <c r="N501" s="5" t="s">
        <v>82</v>
      </c>
      <c r="O501" s="83"/>
      <c r="P501" s="20">
        <v>1</v>
      </c>
      <c r="Q501" s="143">
        <f t="shared" si="133"/>
        <v>100</v>
      </c>
      <c r="R501" s="21" t="s">
        <v>57</v>
      </c>
      <c r="S501" s="8" t="s">
        <v>272</v>
      </c>
      <c r="T501" s="7" t="s">
        <v>226</v>
      </c>
    </row>
    <row r="502" spans="1:20" ht="28">
      <c r="A502" s="90" t="s">
        <v>688</v>
      </c>
      <c r="B502" s="88" t="s">
        <v>734</v>
      </c>
      <c r="C502" s="5"/>
      <c r="D502" s="5" t="s">
        <v>236</v>
      </c>
      <c r="E502" s="132">
        <f t="shared" si="170"/>
        <v>111.15161290322581</v>
      </c>
      <c r="F502" s="139">
        <f t="shared" si="171"/>
        <v>105.00645161290323</v>
      </c>
      <c r="G502" s="149"/>
      <c r="H502" s="82" t="str">
        <f t="shared" si="130"/>
        <v>16.1 percent up in Albian international stage</v>
      </c>
      <c r="I502" s="142" t="str">
        <f t="shared" si="131"/>
        <v>64.5 percent up in Albian international stage</v>
      </c>
      <c r="J502" s="7">
        <v>0.16129032258064513</v>
      </c>
      <c r="K502" s="129">
        <f t="shared" si="132"/>
        <v>16.100000000000001</v>
      </c>
      <c r="L502" s="8" t="s">
        <v>57</v>
      </c>
      <c r="M502" s="5" t="s">
        <v>82</v>
      </c>
      <c r="N502" s="5" t="s">
        <v>82</v>
      </c>
      <c r="O502" s="83"/>
      <c r="P502" s="20">
        <v>0.64516129032258029</v>
      </c>
      <c r="Q502" s="143">
        <f t="shared" si="133"/>
        <v>64.5</v>
      </c>
      <c r="R502" s="21" t="s">
        <v>57</v>
      </c>
      <c r="S502" s="8" t="s">
        <v>259</v>
      </c>
      <c r="T502" s="7">
        <v>0.48387096774193539</v>
      </c>
    </row>
    <row r="503" spans="1:20" ht="28">
      <c r="A503" s="90" t="s">
        <v>688</v>
      </c>
      <c r="B503" s="88" t="s">
        <v>735</v>
      </c>
      <c r="C503" s="5"/>
      <c r="D503" s="5" t="s">
        <v>82</v>
      </c>
      <c r="E503" s="132">
        <f t="shared" si="170"/>
        <v>113.2</v>
      </c>
      <c r="F503" s="139">
        <f t="shared" si="171"/>
        <v>100.5</v>
      </c>
      <c r="G503" s="149"/>
      <c r="H503" s="82" t="str">
        <f t="shared" si="130"/>
        <v>0 percent up in Albian international stage</v>
      </c>
      <c r="I503" s="142" t="str">
        <f t="shared" si="131"/>
        <v>100 percent up in Albian international stage</v>
      </c>
      <c r="J503" s="7">
        <v>0</v>
      </c>
      <c r="K503" s="129">
        <f t="shared" si="132"/>
        <v>0</v>
      </c>
      <c r="L503" s="8" t="s">
        <v>57</v>
      </c>
      <c r="M503" s="5" t="s">
        <v>82</v>
      </c>
      <c r="N503" s="5" t="s">
        <v>82</v>
      </c>
      <c r="O503" s="83"/>
      <c r="P503" s="20">
        <v>1</v>
      </c>
      <c r="Q503" s="143">
        <f t="shared" si="133"/>
        <v>100</v>
      </c>
      <c r="R503" s="21" t="s">
        <v>57</v>
      </c>
      <c r="S503" s="8" t="s">
        <v>232</v>
      </c>
      <c r="T503" s="7" t="s">
        <v>226</v>
      </c>
    </row>
    <row r="504" spans="1:20" ht="28">
      <c r="A504" s="90"/>
      <c r="B504" s="88" t="s">
        <v>1582</v>
      </c>
      <c r="C504" s="5"/>
      <c r="D504" s="5"/>
      <c r="E504" s="132">
        <f t="shared" si="170"/>
        <v>106.85</v>
      </c>
      <c r="F504" s="139">
        <f t="shared" si="171"/>
        <v>100.5</v>
      </c>
      <c r="G504" s="149" t="s">
        <v>2144</v>
      </c>
      <c r="H504" s="82" t="str">
        <f t="shared" ref="H504:H506" si="172">CONCATENATE(K504," percent up in ",L504," international stage")</f>
        <v>50 percent up in Albian international stage</v>
      </c>
      <c r="I504" s="142" t="str">
        <f t="shared" ref="I504:I506" si="173">CONCATENATE(Q504," percent up in ",R504," international stage")</f>
        <v>100 percent up in Albian international stage</v>
      </c>
      <c r="J504" s="7">
        <v>0.5</v>
      </c>
      <c r="K504" s="129">
        <f t="shared" ref="K504:K506" si="174">ROUND(J504*100,1)</f>
        <v>50</v>
      </c>
      <c r="L504" s="8" t="s">
        <v>57</v>
      </c>
      <c r="M504" s="5" t="s">
        <v>82</v>
      </c>
      <c r="N504" s="5" t="s">
        <v>82</v>
      </c>
      <c r="O504" s="83"/>
      <c r="P504" s="20">
        <v>1</v>
      </c>
      <c r="Q504" s="143">
        <f t="shared" ref="Q504:Q506" si="175">ROUND(P504*100,1)</f>
        <v>100</v>
      </c>
      <c r="R504" s="21" t="s">
        <v>57</v>
      </c>
      <c r="S504" s="150" t="s">
        <v>1590</v>
      </c>
    </row>
    <row r="505" spans="1:20" ht="28">
      <c r="A505" s="90"/>
      <c r="B505" s="88" t="s">
        <v>2115</v>
      </c>
      <c r="C505" s="5"/>
      <c r="D505" s="5"/>
      <c r="E505" s="132">
        <f t="shared" ref="E505" si="176">$O$507-J505*($O$507-$O$499)</f>
        <v>110.02500000000001</v>
      </c>
      <c r="F505" s="139">
        <f t="shared" ref="F505" si="177">$O$507-P505*($O$507-$O$499)</f>
        <v>106.85</v>
      </c>
      <c r="G505" s="149" t="s">
        <v>2143</v>
      </c>
      <c r="H505" s="82" t="str">
        <f t="shared" ref="H505" si="178">CONCATENATE(K505," percent up in ",L505," international stage")</f>
        <v>25 percent up in Albian international stage</v>
      </c>
      <c r="I505" s="142" t="str">
        <f t="shared" ref="I505" si="179">CONCATENATE(Q505," percent up in ",R505," international stage")</f>
        <v>50 percent up in Albian international stage</v>
      </c>
      <c r="J505" s="7">
        <v>0.25</v>
      </c>
      <c r="K505" s="129">
        <f t="shared" ref="K505" si="180">ROUND(J505*100,1)</f>
        <v>25</v>
      </c>
      <c r="L505" s="8" t="s">
        <v>57</v>
      </c>
      <c r="M505" s="5"/>
      <c r="O505" s="83"/>
      <c r="P505" s="20">
        <v>0.5</v>
      </c>
      <c r="Q505" s="143">
        <f t="shared" ref="Q505" si="181">ROUND(P505*100,1)</f>
        <v>50</v>
      </c>
      <c r="R505" s="21" t="s">
        <v>57</v>
      </c>
      <c r="S505" s="150"/>
    </row>
    <row r="506" spans="1:20" ht="28">
      <c r="A506" s="90"/>
      <c r="B506" s="88" t="s">
        <v>1583</v>
      </c>
      <c r="C506" s="5"/>
      <c r="D506" s="5"/>
      <c r="E506" s="132">
        <f t="shared" si="170"/>
        <v>113.2</v>
      </c>
      <c r="F506" s="139">
        <f t="shared" si="171"/>
        <v>110.02500000000001</v>
      </c>
      <c r="G506" s="149" t="s">
        <v>2145</v>
      </c>
      <c r="H506" s="82" t="str">
        <f t="shared" si="172"/>
        <v>0 percent up in Albian international stage</v>
      </c>
      <c r="I506" s="142" t="str">
        <f t="shared" si="173"/>
        <v>25 percent up in Albian international stage</v>
      </c>
      <c r="J506" s="7">
        <v>0</v>
      </c>
      <c r="K506" s="129">
        <f t="shared" si="174"/>
        <v>0</v>
      </c>
      <c r="L506" s="8" t="s">
        <v>57</v>
      </c>
      <c r="M506" s="5" t="s">
        <v>82</v>
      </c>
      <c r="N506" s="5" t="s">
        <v>82</v>
      </c>
      <c r="O506" s="83"/>
      <c r="P506" s="20">
        <v>0.25</v>
      </c>
      <c r="Q506" s="143">
        <f t="shared" si="175"/>
        <v>25</v>
      </c>
      <c r="R506" s="21" t="s">
        <v>57</v>
      </c>
      <c r="S506" s="150" t="s">
        <v>1591</v>
      </c>
    </row>
    <row r="507" spans="1:20" ht="28">
      <c r="A507" s="90" t="s">
        <v>688</v>
      </c>
      <c r="B507" s="88" t="s">
        <v>57</v>
      </c>
      <c r="C507" s="134"/>
      <c r="D507" s="134" t="s">
        <v>222</v>
      </c>
      <c r="E507" s="132">
        <f t="shared" si="170"/>
        <v>113.2</v>
      </c>
      <c r="F507" s="139">
        <f t="shared" si="171"/>
        <v>100.5</v>
      </c>
      <c r="G507" s="149"/>
      <c r="H507" s="82" t="str">
        <f t="shared" si="130"/>
        <v>0 percent up in Albian international stage</v>
      </c>
      <c r="I507" s="142" t="str">
        <f t="shared" si="131"/>
        <v>100 percent up in Albian international stage</v>
      </c>
      <c r="J507" s="7">
        <v>0</v>
      </c>
      <c r="K507" s="129">
        <f t="shared" si="132"/>
        <v>0</v>
      </c>
      <c r="L507" s="8" t="s">
        <v>57</v>
      </c>
      <c r="M507" s="5" t="s">
        <v>224</v>
      </c>
      <c r="N507" s="5" t="s">
        <v>736</v>
      </c>
      <c r="O507" s="84">
        <f>Master_Chronostrat!I48</f>
        <v>113.2</v>
      </c>
      <c r="P507" s="20">
        <v>1</v>
      </c>
      <c r="Q507" s="143">
        <f t="shared" si="133"/>
        <v>100</v>
      </c>
      <c r="R507" s="21" t="s">
        <v>57</v>
      </c>
      <c r="S507" s="8" t="s">
        <v>224</v>
      </c>
      <c r="T507" s="7" t="s">
        <v>226</v>
      </c>
    </row>
    <row r="508" spans="1:20" ht="28">
      <c r="A508" s="90" t="s">
        <v>688</v>
      </c>
      <c r="B508" s="88" t="s">
        <v>737</v>
      </c>
      <c r="C508" s="5"/>
      <c r="D508" s="5" t="s">
        <v>270</v>
      </c>
      <c r="E508" s="132">
        <f t="shared" ref="E508:E518" si="182">$O$518-J508*($O$518-$O$507)</f>
        <v>115.25</v>
      </c>
      <c r="F508" s="139">
        <f>$O$518-P508*($O$518-$O$507)</f>
        <v>113.2</v>
      </c>
      <c r="G508" s="149"/>
      <c r="H508" s="82" t="str">
        <f t="shared" si="130"/>
        <v>75 percent up in Aptian international stage</v>
      </c>
      <c r="I508" s="142" t="str">
        <f t="shared" si="131"/>
        <v>100 percent up in Aptian international stage</v>
      </c>
      <c r="J508" s="7">
        <v>0.75</v>
      </c>
      <c r="K508" s="129">
        <f t="shared" si="132"/>
        <v>75</v>
      </c>
      <c r="L508" s="8" t="s">
        <v>59</v>
      </c>
      <c r="M508" s="5" t="s">
        <v>82</v>
      </c>
      <c r="N508" s="5" t="s">
        <v>82</v>
      </c>
      <c r="O508" s="83"/>
      <c r="P508" s="20">
        <v>1</v>
      </c>
      <c r="Q508" s="143">
        <f t="shared" si="133"/>
        <v>100</v>
      </c>
      <c r="R508" s="21" t="s">
        <v>59</v>
      </c>
      <c r="S508" s="8" t="s">
        <v>272</v>
      </c>
      <c r="T508" s="7" t="s">
        <v>226</v>
      </c>
    </row>
    <row r="509" spans="1:20" ht="28">
      <c r="A509" s="90" t="s">
        <v>688</v>
      </c>
      <c r="B509" s="87" t="s">
        <v>738</v>
      </c>
      <c r="C509" s="5"/>
      <c r="D509" s="5" t="s">
        <v>236</v>
      </c>
      <c r="E509" s="132">
        <f t="shared" si="182"/>
        <v>117.61538461538461</v>
      </c>
      <c r="F509" s="139">
        <f>$O$507-P509*($O$507-$O$499)</f>
        <v>111.15161290322581</v>
      </c>
      <c r="G509" s="149"/>
      <c r="H509" s="82" t="str">
        <f t="shared" si="130"/>
        <v>46.2 percent up in Aptian international stage</v>
      </c>
      <c r="I509" s="142" t="str">
        <f t="shared" si="131"/>
        <v>16.1 percent up in Albian international stage</v>
      </c>
      <c r="J509" s="7">
        <v>0.46153846153846156</v>
      </c>
      <c r="K509" s="129">
        <f t="shared" si="132"/>
        <v>46.2</v>
      </c>
      <c r="L509" s="8" t="s">
        <v>59</v>
      </c>
      <c r="M509" s="5" t="s">
        <v>82</v>
      </c>
      <c r="N509" s="5" t="s">
        <v>82</v>
      </c>
      <c r="O509" s="83"/>
      <c r="P509" s="20">
        <v>0.16129032258064507</v>
      </c>
      <c r="Q509" s="143">
        <f t="shared" si="133"/>
        <v>16.100000000000001</v>
      </c>
      <c r="R509" s="21" t="s">
        <v>57</v>
      </c>
      <c r="S509" s="8" t="s">
        <v>246</v>
      </c>
      <c r="T509" s="7" t="s">
        <v>226</v>
      </c>
    </row>
    <row r="510" spans="1:20" ht="28">
      <c r="A510" s="90" t="s">
        <v>688</v>
      </c>
      <c r="B510" s="88" t="s">
        <v>739</v>
      </c>
      <c r="C510" s="5"/>
      <c r="D510" s="5" t="s">
        <v>236</v>
      </c>
      <c r="E510" s="132">
        <f t="shared" si="182"/>
        <v>117.61538461538461</v>
      </c>
      <c r="F510" s="139">
        <f>$O$507-P510*($O$507-$O$499)</f>
        <v>111.15161290322581</v>
      </c>
      <c r="G510" s="149"/>
      <c r="H510" s="82" t="str">
        <f t="shared" si="130"/>
        <v>46.2 percent up in Aptian international stage</v>
      </c>
      <c r="I510" s="142" t="str">
        <f t="shared" si="131"/>
        <v>16.1 percent up in Albian international stage</v>
      </c>
      <c r="J510" s="7">
        <v>0.46153846153846156</v>
      </c>
      <c r="K510" s="129">
        <f t="shared" si="132"/>
        <v>46.2</v>
      </c>
      <c r="L510" s="8" t="s">
        <v>59</v>
      </c>
      <c r="M510" s="5" t="s">
        <v>82</v>
      </c>
      <c r="N510" s="5" t="s">
        <v>82</v>
      </c>
      <c r="O510" s="83"/>
      <c r="P510" s="20">
        <v>0.16129032258064507</v>
      </c>
      <c r="Q510" s="143">
        <f t="shared" si="133"/>
        <v>16.100000000000001</v>
      </c>
      <c r="R510" s="21" t="s">
        <v>57</v>
      </c>
      <c r="S510" s="8" t="s">
        <v>246</v>
      </c>
      <c r="T510" s="7" t="s">
        <v>226</v>
      </c>
    </row>
    <row r="511" spans="1:20" ht="28">
      <c r="A511" s="90" t="s">
        <v>688</v>
      </c>
      <c r="B511" s="88" t="s">
        <v>740</v>
      </c>
      <c r="C511" s="5"/>
      <c r="D511" s="5" t="s">
        <v>270</v>
      </c>
      <c r="E511" s="132">
        <f t="shared" si="182"/>
        <v>117.80461538461539</v>
      </c>
      <c r="F511" s="139">
        <f>$O$518-P511*($O$518-$O$507)</f>
        <v>115.28153846153846</v>
      </c>
      <c r="G511" s="149"/>
      <c r="H511" s="82" t="str">
        <f t="shared" si="130"/>
        <v>43.8 percent up in Aptian international stage</v>
      </c>
      <c r="I511" s="142" t="str">
        <f t="shared" si="131"/>
        <v>74.6 percent up in Aptian international stage</v>
      </c>
      <c r="J511" s="7">
        <v>0.43846153846153868</v>
      </c>
      <c r="K511" s="129">
        <f t="shared" si="132"/>
        <v>43.8</v>
      </c>
      <c r="L511" s="8" t="s">
        <v>59</v>
      </c>
      <c r="M511" s="5" t="s">
        <v>82</v>
      </c>
      <c r="N511" s="5" t="s">
        <v>82</v>
      </c>
      <c r="O511" s="83"/>
      <c r="P511" s="20">
        <v>0.74615384615384639</v>
      </c>
      <c r="Q511" s="143">
        <f t="shared" si="133"/>
        <v>74.599999999999994</v>
      </c>
      <c r="R511" s="21" t="s">
        <v>59</v>
      </c>
      <c r="S511" s="8" t="s">
        <v>259</v>
      </c>
      <c r="T511" s="7">
        <v>0.30769230769230776</v>
      </c>
    </row>
    <row r="512" spans="1:20" ht="28">
      <c r="A512" s="90" t="s">
        <v>688</v>
      </c>
      <c r="B512" s="88" t="s">
        <v>741</v>
      </c>
      <c r="C512" s="5"/>
      <c r="D512" s="5" t="s">
        <v>354</v>
      </c>
      <c r="E512" s="132">
        <f t="shared" si="182"/>
        <v>121.4</v>
      </c>
      <c r="F512" s="139">
        <f>$O$499-P512*($O$499-$O$487)</f>
        <v>97.254098360655732</v>
      </c>
      <c r="G512" s="149"/>
      <c r="H512" s="82" t="str">
        <f t="shared" si="130"/>
        <v>0 percent up in Aptian international stage</v>
      </c>
      <c r="I512" s="142" t="str">
        <f t="shared" si="131"/>
        <v>49.2 percent up in Cenomanian international stage</v>
      </c>
      <c r="J512" s="7">
        <v>0</v>
      </c>
      <c r="K512" s="129">
        <f t="shared" si="132"/>
        <v>0</v>
      </c>
      <c r="L512" s="8" t="s">
        <v>59</v>
      </c>
      <c r="M512" s="5" t="s">
        <v>82</v>
      </c>
      <c r="N512" s="5" t="s">
        <v>82</v>
      </c>
      <c r="O512" s="83"/>
      <c r="P512" s="20">
        <v>0.49180327868852503</v>
      </c>
      <c r="Q512" s="143">
        <f t="shared" si="133"/>
        <v>49.2</v>
      </c>
      <c r="R512" s="21" t="s">
        <v>56</v>
      </c>
      <c r="S512" s="8" t="s">
        <v>246</v>
      </c>
      <c r="T512" s="7" t="s">
        <v>226</v>
      </c>
    </row>
    <row r="513" spans="1:20" ht="28">
      <c r="A513" s="90" t="s">
        <v>688</v>
      </c>
      <c r="B513" s="88" t="s">
        <v>742</v>
      </c>
      <c r="C513" s="5"/>
      <c r="D513" s="5" t="s">
        <v>82</v>
      </c>
      <c r="E513" s="132">
        <f t="shared" si="182"/>
        <v>121.4</v>
      </c>
      <c r="F513" s="139">
        <f t="shared" ref="F513:F519" si="183">$O$518-P513*($O$518-$O$507)</f>
        <v>113.2</v>
      </c>
      <c r="G513" s="149"/>
      <c r="H513" s="82" t="str">
        <f t="shared" si="130"/>
        <v>0 percent up in Aptian international stage</v>
      </c>
      <c r="I513" s="142" t="str">
        <f t="shared" si="131"/>
        <v>100 percent up in Aptian international stage</v>
      </c>
      <c r="J513" s="7">
        <v>0</v>
      </c>
      <c r="K513" s="129">
        <f t="shared" si="132"/>
        <v>0</v>
      </c>
      <c r="L513" s="8" t="s">
        <v>59</v>
      </c>
      <c r="M513" s="5" t="s">
        <v>82</v>
      </c>
      <c r="N513" s="5" t="s">
        <v>82</v>
      </c>
      <c r="O513" s="83"/>
      <c r="P513" s="20">
        <v>1</v>
      </c>
      <c r="Q513" s="143">
        <f t="shared" si="133"/>
        <v>100</v>
      </c>
      <c r="R513" s="21" t="s">
        <v>59</v>
      </c>
      <c r="S513" s="8" t="s">
        <v>232</v>
      </c>
      <c r="T513" s="7" t="s">
        <v>226</v>
      </c>
    </row>
    <row r="514" spans="1:20" ht="28">
      <c r="A514" s="90" t="s">
        <v>688</v>
      </c>
      <c r="B514" s="87" t="s">
        <v>743</v>
      </c>
      <c r="C514" s="5"/>
      <c r="D514" s="5" t="s">
        <v>82</v>
      </c>
      <c r="E514" s="132">
        <f>$O$518-J514*($O$518-$O$507)</f>
        <v>121.4</v>
      </c>
      <c r="F514" s="139">
        <f t="shared" si="183"/>
        <v>120.13846153846154</v>
      </c>
      <c r="G514" s="149"/>
      <c r="H514" s="82" t="str">
        <f t="shared" si="130"/>
        <v>0 percent up in Aptian international stage</v>
      </c>
      <c r="I514" s="142" t="str">
        <f t="shared" si="131"/>
        <v>15.4 percent up in Aptian international stage</v>
      </c>
      <c r="J514" s="7">
        <v>0</v>
      </c>
      <c r="K514" s="129">
        <f t="shared" si="132"/>
        <v>0</v>
      </c>
      <c r="L514" s="8" t="s">
        <v>59</v>
      </c>
      <c r="M514" s="5" t="s">
        <v>82</v>
      </c>
      <c r="N514" s="5" t="s">
        <v>82</v>
      </c>
      <c r="O514" s="83"/>
      <c r="P514" s="20">
        <v>0.15384615384615385</v>
      </c>
      <c r="Q514" s="143">
        <f t="shared" si="133"/>
        <v>15.4</v>
      </c>
      <c r="R514" s="21" t="s">
        <v>59</v>
      </c>
      <c r="S514" s="8" t="s">
        <v>230</v>
      </c>
      <c r="T514" s="7" t="s">
        <v>226</v>
      </c>
    </row>
    <row r="515" spans="1:20" ht="28">
      <c r="A515" s="90"/>
      <c r="B515" s="87" t="s">
        <v>1584</v>
      </c>
      <c r="C515" s="5"/>
      <c r="D515" s="5"/>
      <c r="E515" s="132">
        <f>$O$518-J515*($O$518-$O$507)</f>
        <v>115.988</v>
      </c>
      <c r="F515" s="139">
        <f t="shared" si="183"/>
        <v>113.2</v>
      </c>
      <c r="G515" s="149" t="s">
        <v>2119</v>
      </c>
      <c r="H515" s="82" t="str">
        <f t="shared" ref="H515:H517" si="184">CONCATENATE(K515," percent up in ",L515," international stage")</f>
        <v>66 percent up in Aptian international stage</v>
      </c>
      <c r="I515" s="142" t="str">
        <f t="shared" ref="I515:I517" si="185">CONCATENATE(Q515," percent up in ",R515," international stage")</f>
        <v>100 percent up in Aptian international stage</v>
      </c>
      <c r="J515" s="7">
        <v>0.66</v>
      </c>
      <c r="K515" s="129">
        <f t="shared" ref="K515:K517" si="186">ROUND(J515*100,1)</f>
        <v>66</v>
      </c>
      <c r="L515" s="8" t="s">
        <v>59</v>
      </c>
      <c r="M515" s="5" t="s">
        <v>82</v>
      </c>
      <c r="N515" s="5" t="s">
        <v>82</v>
      </c>
      <c r="O515" s="83"/>
      <c r="P515" s="20">
        <v>1</v>
      </c>
      <c r="Q515" s="143">
        <f t="shared" ref="Q515:Q517" si="187">ROUND(P515*100,1)</f>
        <v>100</v>
      </c>
      <c r="R515" s="21" t="s">
        <v>59</v>
      </c>
      <c r="S515" s="150" t="s">
        <v>1586</v>
      </c>
    </row>
    <row r="516" spans="1:20" ht="28">
      <c r="A516" s="90"/>
      <c r="B516" s="87" t="s">
        <v>2116</v>
      </c>
      <c r="C516" s="5"/>
      <c r="D516" s="5"/>
      <c r="E516" s="132">
        <f>$O$518-J516*($O$518-$O$507)</f>
        <v>118.694</v>
      </c>
      <c r="F516" s="139">
        <f t="shared" ref="F516" si="188">$O$518-P516*($O$518-$O$507)</f>
        <v>115.988</v>
      </c>
      <c r="G516" s="149" t="s">
        <v>2117</v>
      </c>
      <c r="H516" s="82" t="str">
        <f t="shared" ref="H516" si="189">CONCATENATE(K516," percent up in ",L516," international stage")</f>
        <v>33 percent up in Aptian international stage</v>
      </c>
      <c r="I516" s="142" t="str">
        <f t="shared" ref="I516" si="190">CONCATENATE(Q516," percent up in ",R516," international stage")</f>
        <v>66 percent up in Aptian international stage</v>
      </c>
      <c r="J516" s="7">
        <v>0.33</v>
      </c>
      <c r="K516" s="129">
        <f t="shared" ref="K516" si="191">ROUND(J516*100,1)</f>
        <v>33</v>
      </c>
      <c r="L516" s="8" t="s">
        <v>59</v>
      </c>
      <c r="M516" s="5"/>
      <c r="O516" s="83"/>
      <c r="P516" s="20">
        <v>0.66</v>
      </c>
      <c r="Q516" s="143">
        <f t="shared" ref="Q516" si="192">ROUND(P516*100,1)</f>
        <v>66</v>
      </c>
      <c r="R516" s="21" t="s">
        <v>59</v>
      </c>
      <c r="S516" s="150"/>
    </row>
    <row r="517" spans="1:20" ht="28">
      <c r="A517" s="90"/>
      <c r="B517" s="87" t="s">
        <v>1585</v>
      </c>
      <c r="C517" s="5"/>
      <c r="D517" s="5"/>
      <c r="E517" s="132">
        <f t="shared" ref="E517" si="193">$O$518-J517*($O$518-$O$507)</f>
        <v>121.4</v>
      </c>
      <c r="F517" s="139">
        <f t="shared" si="183"/>
        <v>118.694</v>
      </c>
      <c r="G517" s="149" t="s">
        <v>2118</v>
      </c>
      <c r="H517" s="82" t="str">
        <f t="shared" si="184"/>
        <v>0 percent up in Aptian international stage</v>
      </c>
      <c r="I517" s="142" t="str">
        <f t="shared" si="185"/>
        <v>33 percent up in Aptian international stage</v>
      </c>
      <c r="J517" s="7">
        <v>0</v>
      </c>
      <c r="K517" s="129">
        <f t="shared" si="186"/>
        <v>0</v>
      </c>
      <c r="L517" s="8" t="s">
        <v>59</v>
      </c>
      <c r="M517" s="5" t="s">
        <v>82</v>
      </c>
      <c r="N517" s="5" t="s">
        <v>82</v>
      </c>
      <c r="O517" s="83"/>
      <c r="P517" s="20">
        <v>0.33</v>
      </c>
      <c r="Q517" s="143">
        <f t="shared" si="187"/>
        <v>33</v>
      </c>
      <c r="R517" s="21" t="s">
        <v>59</v>
      </c>
      <c r="S517" s="150" t="s">
        <v>1587</v>
      </c>
    </row>
    <row r="518" spans="1:20" ht="28">
      <c r="A518" s="90" t="s">
        <v>688</v>
      </c>
      <c r="B518" s="88" t="s">
        <v>59</v>
      </c>
      <c r="C518" s="134"/>
      <c r="D518" s="134" t="s">
        <v>222</v>
      </c>
      <c r="E518" s="132">
        <f t="shared" si="182"/>
        <v>121.4</v>
      </c>
      <c r="F518" s="139">
        <f t="shared" si="183"/>
        <v>113.2</v>
      </c>
      <c r="G518" s="149"/>
      <c r="H518" s="82" t="str">
        <f t="shared" si="130"/>
        <v>0 percent up in Aptian international stage</v>
      </c>
      <c r="I518" s="142" t="str">
        <f t="shared" si="131"/>
        <v>100 percent up in Aptian international stage</v>
      </c>
      <c r="J518" s="7">
        <v>0</v>
      </c>
      <c r="K518" s="129">
        <f t="shared" si="132"/>
        <v>0</v>
      </c>
      <c r="L518" s="8" t="s">
        <v>59</v>
      </c>
      <c r="M518" s="5" t="s">
        <v>224</v>
      </c>
      <c r="N518" s="5" t="s">
        <v>744</v>
      </c>
      <c r="O518" s="84">
        <f>Master_Chronostrat!I51</f>
        <v>121.4</v>
      </c>
      <c r="P518" s="20">
        <v>1</v>
      </c>
      <c r="Q518" s="143">
        <f t="shared" si="133"/>
        <v>100</v>
      </c>
      <c r="R518" s="21" t="s">
        <v>59</v>
      </c>
      <c r="S518" s="8" t="s">
        <v>224</v>
      </c>
      <c r="T518" s="7" t="s">
        <v>226</v>
      </c>
    </row>
    <row r="519" spans="1:20" ht="28">
      <c r="A519" s="90" t="s">
        <v>688</v>
      </c>
      <c r="B519" s="89" t="s">
        <v>745</v>
      </c>
      <c r="C519" s="5"/>
      <c r="D519" s="5" t="s">
        <v>270</v>
      </c>
      <c r="E519" s="132">
        <f t="shared" ref="E519:E529" si="194">$O$529-J519*($O$529-$O$518)</f>
        <v>122.42</v>
      </c>
      <c r="F519" s="139">
        <f t="shared" si="183"/>
        <v>117.80461538461539</v>
      </c>
      <c r="G519" s="149"/>
      <c r="H519" s="82" t="str">
        <f t="shared" si="130"/>
        <v>80 percent up in Barremian international stage</v>
      </c>
      <c r="I519" s="142" t="str">
        <f t="shared" si="131"/>
        <v>43.8 percent up in Aptian international stage</v>
      </c>
      <c r="J519" s="7">
        <v>0.8</v>
      </c>
      <c r="K519" s="129">
        <f t="shared" si="132"/>
        <v>80</v>
      </c>
      <c r="L519" s="8" t="s">
        <v>60</v>
      </c>
      <c r="M519" s="5" t="s">
        <v>82</v>
      </c>
      <c r="N519" s="5" t="s">
        <v>82</v>
      </c>
      <c r="O519" s="83"/>
      <c r="P519" s="20">
        <v>0.43846153846153868</v>
      </c>
      <c r="Q519" s="143">
        <f t="shared" si="133"/>
        <v>43.8</v>
      </c>
      <c r="R519" s="21" t="s">
        <v>59</v>
      </c>
      <c r="S519" s="8" t="s">
        <v>246</v>
      </c>
      <c r="T519" s="7" t="s">
        <v>226</v>
      </c>
    </row>
    <row r="520" spans="1:20" ht="28">
      <c r="A520" s="90" t="s">
        <v>688</v>
      </c>
      <c r="B520" s="88" t="s">
        <v>746</v>
      </c>
      <c r="C520" s="5"/>
      <c r="D520" s="5" t="s">
        <v>270</v>
      </c>
      <c r="E520" s="132">
        <f t="shared" si="194"/>
        <v>122.42</v>
      </c>
      <c r="F520" s="139">
        <f>$O$507-P520*($O$507-$O$499)</f>
        <v>100.5</v>
      </c>
      <c r="G520" s="149"/>
      <c r="H520" s="82" t="str">
        <f t="shared" si="130"/>
        <v>80 percent up in Barremian international stage</v>
      </c>
      <c r="I520" s="142" t="str">
        <f t="shared" si="131"/>
        <v>100 percent up in Albian international stage</v>
      </c>
      <c r="J520" s="7">
        <v>0.8</v>
      </c>
      <c r="K520" s="129">
        <f t="shared" si="132"/>
        <v>80</v>
      </c>
      <c r="L520" s="8" t="s">
        <v>60</v>
      </c>
      <c r="M520" s="5" t="s">
        <v>82</v>
      </c>
      <c r="N520" s="5" t="s">
        <v>82</v>
      </c>
      <c r="O520" s="83"/>
      <c r="P520" s="20">
        <v>1</v>
      </c>
      <c r="Q520" s="143">
        <f t="shared" si="133"/>
        <v>100</v>
      </c>
      <c r="R520" s="21" t="s">
        <v>57</v>
      </c>
      <c r="S520" s="8" t="s">
        <v>246</v>
      </c>
      <c r="T520" s="7" t="s">
        <v>226</v>
      </c>
    </row>
    <row r="521" spans="1:20" ht="28">
      <c r="A521" s="90" t="s">
        <v>688</v>
      </c>
      <c r="B521" s="88" t="s">
        <v>747</v>
      </c>
      <c r="C521" s="5"/>
      <c r="D521" s="5" t="s">
        <v>244</v>
      </c>
      <c r="E521" s="132">
        <f t="shared" si="194"/>
        <v>123.44</v>
      </c>
      <c r="F521" s="139">
        <f>$O$507-P521*($O$507-$O$499)</f>
        <v>100.5</v>
      </c>
      <c r="G521" s="149"/>
      <c r="H521" s="82" t="str">
        <f t="shared" si="130"/>
        <v>60 percent up in Barremian international stage</v>
      </c>
      <c r="I521" s="142" t="str">
        <f t="shared" si="131"/>
        <v>100 percent up in Albian international stage</v>
      </c>
      <c r="J521" s="7">
        <v>0.6</v>
      </c>
      <c r="K521" s="129">
        <f t="shared" si="132"/>
        <v>60</v>
      </c>
      <c r="L521" s="8" t="s">
        <v>60</v>
      </c>
      <c r="M521" s="5" t="s">
        <v>82</v>
      </c>
      <c r="N521" s="5" t="s">
        <v>82</v>
      </c>
      <c r="O521" s="83"/>
      <c r="P521" s="20">
        <v>1</v>
      </c>
      <c r="Q521" s="143">
        <f t="shared" si="133"/>
        <v>100</v>
      </c>
      <c r="R521" s="21" t="s">
        <v>57</v>
      </c>
      <c r="S521" s="8" t="s">
        <v>246</v>
      </c>
      <c r="T521" s="7" t="s">
        <v>226</v>
      </c>
    </row>
    <row r="522" spans="1:20" ht="28">
      <c r="A522" s="90" t="s">
        <v>688</v>
      </c>
      <c r="B522" s="88" t="s">
        <v>748</v>
      </c>
      <c r="C522" s="5"/>
      <c r="D522" s="5" t="s">
        <v>264</v>
      </c>
      <c r="E522" s="132">
        <f t="shared" si="194"/>
        <v>126.5</v>
      </c>
      <c r="F522" s="139">
        <f>$O$487-P522*($O$487-$O$477)</f>
        <v>89.39</v>
      </c>
      <c r="G522" s="149"/>
      <c r="H522" s="82" t="str">
        <f t="shared" si="130"/>
        <v>0 percent up in Barremian international stage</v>
      </c>
      <c r="I522" s="142" t="str">
        <f t="shared" si="131"/>
        <v>100 percent up in Turonian international stage</v>
      </c>
      <c r="J522" s="7">
        <v>0</v>
      </c>
      <c r="K522" s="129">
        <f t="shared" si="132"/>
        <v>0</v>
      </c>
      <c r="L522" s="8" t="s">
        <v>60</v>
      </c>
      <c r="M522" s="5" t="s">
        <v>82</v>
      </c>
      <c r="N522" s="5" t="s">
        <v>82</v>
      </c>
      <c r="O522" s="83"/>
      <c r="P522" s="20">
        <v>1</v>
      </c>
      <c r="Q522" s="143">
        <f t="shared" si="133"/>
        <v>100</v>
      </c>
      <c r="R522" s="21" t="s">
        <v>54</v>
      </c>
      <c r="S522" s="8" t="s">
        <v>232</v>
      </c>
      <c r="T522" s="7" t="s">
        <v>226</v>
      </c>
    </row>
    <row r="523" spans="1:20" ht="28">
      <c r="A523" s="90" t="s">
        <v>688</v>
      </c>
      <c r="B523" s="88" t="s">
        <v>749</v>
      </c>
      <c r="C523" s="5"/>
      <c r="D523" s="5" t="s">
        <v>82</v>
      </c>
      <c r="E523" s="132">
        <f t="shared" si="194"/>
        <v>126.5</v>
      </c>
      <c r="F523" s="139">
        <f>$O$487-P523*($O$487-$O$477)</f>
        <v>89.39</v>
      </c>
      <c r="G523" s="149"/>
      <c r="H523" s="82" t="str">
        <f t="shared" si="130"/>
        <v>0 percent up in Barremian international stage</v>
      </c>
      <c r="I523" s="142" t="str">
        <f t="shared" si="131"/>
        <v>100 percent up in Turonian international stage</v>
      </c>
      <c r="J523" s="7">
        <v>0</v>
      </c>
      <c r="K523" s="129">
        <f t="shared" si="132"/>
        <v>0</v>
      </c>
      <c r="L523" s="8" t="s">
        <v>60</v>
      </c>
      <c r="M523" s="5" t="s">
        <v>82</v>
      </c>
      <c r="N523" s="5" t="s">
        <v>82</v>
      </c>
      <c r="O523" s="83"/>
      <c r="P523" s="20">
        <v>1</v>
      </c>
      <c r="Q523" s="143">
        <f t="shared" si="133"/>
        <v>100</v>
      </c>
      <c r="R523" s="21" t="s">
        <v>54</v>
      </c>
      <c r="S523" s="8" t="s">
        <v>232</v>
      </c>
      <c r="T523" s="7" t="s">
        <v>226</v>
      </c>
    </row>
    <row r="524" spans="1:20" ht="28">
      <c r="A524" s="90" t="s">
        <v>688</v>
      </c>
      <c r="B524" s="87" t="s">
        <v>750</v>
      </c>
      <c r="C524" s="5"/>
      <c r="D524" s="5" t="s">
        <v>82</v>
      </c>
      <c r="E524" s="132">
        <f t="shared" si="194"/>
        <v>126.5</v>
      </c>
      <c r="F524" s="139">
        <f>$O$529-P524*($O$529-$O$518)</f>
        <v>121.4</v>
      </c>
      <c r="G524" s="149"/>
      <c r="H524" s="82" t="str">
        <f t="shared" si="130"/>
        <v>0 percent up in Barremian international stage</v>
      </c>
      <c r="I524" s="142" t="str">
        <f t="shared" si="131"/>
        <v>100 percent up in Barremian international stage</v>
      </c>
      <c r="J524" s="7">
        <v>0</v>
      </c>
      <c r="K524" s="129">
        <f t="shared" si="132"/>
        <v>0</v>
      </c>
      <c r="L524" s="8" t="s">
        <v>60</v>
      </c>
      <c r="M524" s="5" t="s">
        <v>82</v>
      </c>
      <c r="N524" s="5" t="s">
        <v>82</v>
      </c>
      <c r="O524" s="83"/>
      <c r="P524" s="20">
        <v>1</v>
      </c>
      <c r="Q524" s="143">
        <f t="shared" si="133"/>
        <v>100</v>
      </c>
      <c r="R524" s="21" t="s">
        <v>60</v>
      </c>
      <c r="S524" s="8" t="s">
        <v>232</v>
      </c>
      <c r="T524" s="7" t="s">
        <v>226</v>
      </c>
    </row>
    <row r="525" spans="1:20" ht="28">
      <c r="A525" s="90" t="s">
        <v>688</v>
      </c>
      <c r="B525" s="88" t="s">
        <v>751</v>
      </c>
      <c r="C525" s="5"/>
      <c r="D525" s="5" t="s">
        <v>82</v>
      </c>
      <c r="E525" s="132">
        <f t="shared" si="194"/>
        <v>126.5</v>
      </c>
      <c r="F525" s="139">
        <f>$O$487-P525*($O$487-$O$477)</f>
        <v>89.39</v>
      </c>
      <c r="G525" s="149"/>
      <c r="H525" s="82" t="str">
        <f t="shared" si="130"/>
        <v>0 percent up in Barremian international stage</v>
      </c>
      <c r="I525" s="142" t="str">
        <f t="shared" si="131"/>
        <v>100 percent up in Turonian international stage</v>
      </c>
      <c r="J525" s="7">
        <v>0</v>
      </c>
      <c r="K525" s="129">
        <f t="shared" si="132"/>
        <v>0</v>
      </c>
      <c r="L525" s="8" t="s">
        <v>60</v>
      </c>
      <c r="M525" s="5" t="s">
        <v>82</v>
      </c>
      <c r="N525" s="5" t="s">
        <v>82</v>
      </c>
      <c r="O525" s="83"/>
      <c r="P525" s="20">
        <v>1</v>
      </c>
      <c r="Q525" s="143">
        <f t="shared" si="133"/>
        <v>100</v>
      </c>
      <c r="R525" s="21" t="s">
        <v>54</v>
      </c>
      <c r="S525" s="8" t="s">
        <v>232</v>
      </c>
      <c r="T525" s="7" t="s">
        <v>226</v>
      </c>
    </row>
    <row r="526" spans="1:20" ht="28">
      <c r="A526" s="90"/>
      <c r="B526" s="88" t="s">
        <v>1823</v>
      </c>
      <c r="C526" s="5"/>
      <c r="D526" s="5"/>
      <c r="E526" s="132">
        <f t="shared" ref="E526:E528" si="195">$O$529-J526*($O$529-$O$518)</f>
        <v>123.95</v>
      </c>
      <c r="F526" s="139">
        <f>$O$529-P526*($O$529-$O$518)</f>
        <v>121.4</v>
      </c>
      <c r="G526" s="8" t="s">
        <v>1601</v>
      </c>
      <c r="H526" s="82" t="str">
        <f t="shared" ref="H526:H528" si="196">CONCATENATE(K526," percent up in ",L526," international stage")</f>
        <v>50 percent up in Barremian international stage</v>
      </c>
      <c r="I526" s="142" t="str">
        <f t="shared" ref="I526:I528" si="197">CONCATENATE(Q526," percent up in ",R526," international stage")</f>
        <v>100 percent up in Barremian international stage</v>
      </c>
      <c r="J526" s="7">
        <v>0.5</v>
      </c>
      <c r="K526" s="129">
        <f t="shared" ref="K526:K528" si="198">ROUND(J526*100,1)</f>
        <v>50</v>
      </c>
      <c r="L526" s="8" t="s">
        <v>60</v>
      </c>
      <c r="M526" s="5"/>
      <c r="O526" s="83"/>
      <c r="P526" s="20">
        <v>1</v>
      </c>
      <c r="Q526" s="143">
        <f t="shared" ref="Q526:Q528" si="199">ROUND(P526*100,1)</f>
        <v>100</v>
      </c>
      <c r="R526" s="21" t="s">
        <v>60</v>
      </c>
      <c r="S526" s="8" t="s">
        <v>1601</v>
      </c>
    </row>
    <row r="527" spans="1:20" ht="42">
      <c r="A527" s="90"/>
      <c r="B527" s="88" t="s">
        <v>2156</v>
      </c>
      <c r="C527" s="5"/>
      <c r="D527" s="5"/>
      <c r="E527" s="132">
        <f t="shared" ref="E527" si="200">$O$529-J527*($O$529-$O$518)</f>
        <v>124.97</v>
      </c>
      <c r="F527" s="139">
        <f>$O$529-P527*($O$529-$O$518)</f>
        <v>123.185</v>
      </c>
      <c r="G527" s="149" t="s">
        <v>2153</v>
      </c>
      <c r="H527" s="82" t="str">
        <f t="shared" ref="H527" si="201">CONCATENATE(K527," percent up in ",L527," international stage")</f>
        <v>30 percent up in Barremian international stage</v>
      </c>
      <c r="I527" s="142" t="str">
        <f t="shared" ref="I527" si="202">CONCATENATE(Q527," percent up in ",R527," international stage")</f>
        <v>65 percent up in Barremian international stage</v>
      </c>
      <c r="J527" s="7">
        <v>0.3</v>
      </c>
      <c r="K527" s="129">
        <f t="shared" ref="K527" si="203">ROUND(J527*100,1)</f>
        <v>30</v>
      </c>
      <c r="L527" s="8" t="s">
        <v>60</v>
      </c>
      <c r="M527" s="5"/>
      <c r="O527" s="83"/>
      <c r="P527" s="20">
        <v>0.65</v>
      </c>
      <c r="Q527" s="143">
        <f t="shared" ref="Q527" si="204">ROUND(P527*100,1)</f>
        <v>65</v>
      </c>
      <c r="R527" s="21" t="s">
        <v>60</v>
      </c>
      <c r="S527" s="8"/>
    </row>
    <row r="528" spans="1:20" ht="28">
      <c r="A528" s="90"/>
      <c r="B528" s="88" t="s">
        <v>1824</v>
      </c>
      <c r="C528" s="5"/>
      <c r="D528" s="5"/>
      <c r="E528" s="132">
        <f t="shared" si="195"/>
        <v>126.5</v>
      </c>
      <c r="F528" s="139">
        <f>$O$529-P528*($O$529-$O$518)</f>
        <v>123.95</v>
      </c>
      <c r="G528" s="8" t="s">
        <v>1602</v>
      </c>
      <c r="H528" s="82" t="str">
        <f t="shared" si="196"/>
        <v>0 percent up in Barremian international stage</v>
      </c>
      <c r="I528" s="142" t="str">
        <f t="shared" si="197"/>
        <v>50 percent up in Barremian international stage</v>
      </c>
      <c r="J528" s="7">
        <v>0</v>
      </c>
      <c r="K528" s="129">
        <f t="shared" si="198"/>
        <v>0</v>
      </c>
      <c r="L528" s="8" t="s">
        <v>60</v>
      </c>
      <c r="M528" s="5"/>
      <c r="O528" s="83"/>
      <c r="P528" s="20">
        <v>0.5</v>
      </c>
      <c r="Q528" s="143">
        <f t="shared" si="199"/>
        <v>50</v>
      </c>
      <c r="R528" s="21" t="s">
        <v>60</v>
      </c>
      <c r="S528" s="8" t="s">
        <v>1602</v>
      </c>
    </row>
    <row r="529" spans="1:20" ht="28">
      <c r="A529" s="90" t="s">
        <v>688</v>
      </c>
      <c r="B529" s="88" t="s">
        <v>60</v>
      </c>
      <c r="C529" s="134"/>
      <c r="D529" s="134" t="s">
        <v>222</v>
      </c>
      <c r="E529" s="132">
        <f t="shared" si="194"/>
        <v>126.5</v>
      </c>
      <c r="F529" s="139">
        <f>$O$529-P529*($O$529-$O$518)</f>
        <v>121.4</v>
      </c>
      <c r="G529" s="149"/>
      <c r="H529" s="82" t="str">
        <f t="shared" si="130"/>
        <v>0 percent up in Barremian international stage</v>
      </c>
      <c r="I529" s="142" t="str">
        <f t="shared" si="131"/>
        <v>100 percent up in Barremian international stage</v>
      </c>
      <c r="J529" s="7">
        <v>0</v>
      </c>
      <c r="K529" s="129">
        <f t="shared" si="132"/>
        <v>0</v>
      </c>
      <c r="L529" s="8" t="s">
        <v>60</v>
      </c>
      <c r="M529" s="5" t="s">
        <v>224</v>
      </c>
      <c r="N529" s="5" t="s">
        <v>752</v>
      </c>
      <c r="O529" s="84">
        <f>Master_Chronostrat!I53</f>
        <v>126.5</v>
      </c>
      <c r="P529" s="20">
        <v>1</v>
      </c>
      <c r="Q529" s="143">
        <f t="shared" si="133"/>
        <v>100</v>
      </c>
      <c r="R529" s="21" t="s">
        <v>60</v>
      </c>
      <c r="S529" s="8" t="s">
        <v>224</v>
      </c>
      <c r="T529" s="7" t="s">
        <v>226</v>
      </c>
    </row>
    <row r="530" spans="1:20" ht="28">
      <c r="A530" s="90" t="s">
        <v>688</v>
      </c>
      <c r="B530" s="87" t="s">
        <v>753</v>
      </c>
      <c r="C530" s="5"/>
      <c r="D530" s="5" t="s">
        <v>270</v>
      </c>
      <c r="E530" s="132">
        <f t="shared" ref="E530:E535" si="205">$O$535-J530*($O$535-$O$529)</f>
        <v>129.359375</v>
      </c>
      <c r="F530" s="139">
        <f>$O$518-P530*($O$518-$O$507)</f>
        <v>117.30000000000001</v>
      </c>
      <c r="G530" s="149"/>
      <c r="H530" s="82" t="str">
        <f t="shared" si="130"/>
        <v>53.1 percent up in Hauterivian international stage</v>
      </c>
      <c r="I530" s="142" t="str">
        <f t="shared" si="131"/>
        <v>50 percent up in Aptian international stage</v>
      </c>
      <c r="J530" s="7">
        <v>0.53125000000000044</v>
      </c>
      <c r="K530" s="129">
        <f t="shared" si="132"/>
        <v>53.1</v>
      </c>
      <c r="L530" s="8" t="s">
        <v>61</v>
      </c>
      <c r="M530" s="5" t="s">
        <v>82</v>
      </c>
      <c r="N530" s="5" t="s">
        <v>82</v>
      </c>
      <c r="O530" s="83"/>
      <c r="P530" s="20">
        <v>0.5</v>
      </c>
      <c r="Q530" s="143">
        <f t="shared" si="133"/>
        <v>50</v>
      </c>
      <c r="R530" s="21" t="s">
        <v>59</v>
      </c>
      <c r="S530" s="8" t="s">
        <v>246</v>
      </c>
      <c r="T530" s="7" t="s">
        <v>226</v>
      </c>
    </row>
    <row r="531" spans="1:20" ht="28">
      <c r="A531" s="90" t="s">
        <v>688</v>
      </c>
      <c r="B531" s="88" t="s">
        <v>754</v>
      </c>
      <c r="C531" s="5"/>
      <c r="D531" s="5" t="s">
        <v>354</v>
      </c>
      <c r="E531" s="132">
        <f t="shared" si="205"/>
        <v>132.6</v>
      </c>
      <c r="F531" s="139">
        <f>$O$529-P531*($O$529-$O$518)</f>
        <v>121.4</v>
      </c>
      <c r="G531" s="149"/>
      <c r="H531" s="82" t="str">
        <f t="shared" si="130"/>
        <v>0 percent up in Hauterivian international stage</v>
      </c>
      <c r="I531" s="142" t="str">
        <f t="shared" si="131"/>
        <v>100 percent up in Barremian international stage</v>
      </c>
      <c r="J531" s="7">
        <v>0</v>
      </c>
      <c r="K531" s="129">
        <f t="shared" si="132"/>
        <v>0</v>
      </c>
      <c r="L531" s="8" t="s">
        <v>61</v>
      </c>
      <c r="M531" s="5" t="s">
        <v>82</v>
      </c>
      <c r="N531" s="5" t="s">
        <v>82</v>
      </c>
      <c r="O531" s="83"/>
      <c r="P531" s="20">
        <v>1</v>
      </c>
      <c r="Q531" s="143">
        <f t="shared" si="133"/>
        <v>100</v>
      </c>
      <c r="R531" s="21" t="s">
        <v>60</v>
      </c>
      <c r="S531" s="8" t="s">
        <v>232</v>
      </c>
      <c r="T531" s="7" t="s">
        <v>226</v>
      </c>
    </row>
    <row r="532" spans="1:20" ht="28">
      <c r="A532" s="90"/>
      <c r="B532" s="88" t="s">
        <v>1588</v>
      </c>
      <c r="C532" s="5"/>
      <c r="D532" s="5"/>
      <c r="E532" s="132">
        <f t="shared" si="205"/>
        <v>129.85499999999999</v>
      </c>
      <c r="F532" s="139">
        <f>$O$535-P532*($O$535-$O$529)</f>
        <v>126.5</v>
      </c>
      <c r="G532" s="149" t="s">
        <v>1592</v>
      </c>
      <c r="H532" s="82" t="str">
        <f t="shared" ref="H532:H534" si="206">CONCATENATE(K532," percent up in ",L532," international stage")</f>
        <v>45 percent up in Hauterivian international stage</v>
      </c>
      <c r="I532" s="142" t="str">
        <f t="shared" ref="I532:I534" si="207">CONCATENATE(Q532," percent up in ",R532," international stage")</f>
        <v>100 percent up in Hauterivian international stage</v>
      </c>
      <c r="J532" s="7">
        <v>0.45</v>
      </c>
      <c r="K532" s="129">
        <f t="shared" ref="K532:K534" si="208">ROUND(J532*100,1)</f>
        <v>45</v>
      </c>
      <c r="L532" s="8" t="s">
        <v>61</v>
      </c>
      <c r="M532" s="5" t="s">
        <v>82</v>
      </c>
      <c r="N532" s="5" t="s">
        <v>82</v>
      </c>
      <c r="O532" s="83"/>
      <c r="P532" s="20">
        <v>1</v>
      </c>
      <c r="Q532" s="143">
        <f t="shared" ref="Q532:Q534" si="209">ROUND(P532*100,1)</f>
        <v>100</v>
      </c>
      <c r="R532" s="21" t="s">
        <v>61</v>
      </c>
      <c r="S532" s="150" t="s">
        <v>1590</v>
      </c>
    </row>
    <row r="533" spans="1:20" ht="42">
      <c r="A533" s="90"/>
      <c r="B533" s="88" t="s">
        <v>2166</v>
      </c>
      <c r="C533" s="5"/>
      <c r="D533" s="5"/>
      <c r="E533" s="132">
        <f t="shared" si="205"/>
        <v>130.58699999999999</v>
      </c>
      <c r="F533" s="139">
        <f>$O$535-P533*($O$535-$O$529)</f>
        <v>128.63499999999999</v>
      </c>
      <c r="G533" s="149" t="s">
        <v>2167</v>
      </c>
      <c r="H533" s="82" t="str">
        <f t="shared" ref="H533" si="210">CONCATENATE(K533," percent up in ",L533," international stage")</f>
        <v>33 percent up in Hauterivian international stage</v>
      </c>
      <c r="I533" s="142" t="str">
        <f t="shared" ref="I533" si="211">CONCATENATE(Q533," percent up in ",R533," international stage")</f>
        <v>65 percent up in Hauterivian international stage</v>
      </c>
      <c r="J533" s="7">
        <v>0.33</v>
      </c>
      <c r="K533" s="129">
        <f t="shared" ref="K533" si="212">ROUND(J533*100,1)</f>
        <v>33</v>
      </c>
      <c r="L533" s="8" t="s">
        <v>61</v>
      </c>
      <c r="M533" s="5" t="s">
        <v>82</v>
      </c>
      <c r="N533" s="5" t="s">
        <v>82</v>
      </c>
      <c r="O533" s="83"/>
      <c r="P533" s="20">
        <v>0.65</v>
      </c>
      <c r="Q533" s="143">
        <f t="shared" ref="Q533" si="213">ROUND(P533*100,1)</f>
        <v>65</v>
      </c>
      <c r="R533" s="21" t="s">
        <v>61</v>
      </c>
      <c r="S533" s="150"/>
    </row>
    <row r="534" spans="1:20" ht="28">
      <c r="A534" s="90"/>
      <c r="B534" s="88" t="s">
        <v>1589</v>
      </c>
      <c r="C534" s="5"/>
      <c r="D534" s="5"/>
      <c r="E534" s="132">
        <f t="shared" si="205"/>
        <v>132.6</v>
      </c>
      <c r="F534" s="139">
        <f>$O$535-P534*($O$535-$O$529)</f>
        <v>129.85499999999999</v>
      </c>
      <c r="G534" s="149" t="s">
        <v>1593</v>
      </c>
      <c r="H534" s="82" t="str">
        <f t="shared" si="206"/>
        <v>0 percent up in Hauterivian international stage</v>
      </c>
      <c r="I534" s="142" t="str">
        <f t="shared" si="207"/>
        <v>45 percent up in Hauterivian international stage</v>
      </c>
      <c r="J534" s="7">
        <v>0</v>
      </c>
      <c r="K534" s="129">
        <f t="shared" si="208"/>
        <v>0</v>
      </c>
      <c r="L534" s="8" t="s">
        <v>61</v>
      </c>
      <c r="M534" s="5" t="s">
        <v>82</v>
      </c>
      <c r="N534" s="5" t="s">
        <v>82</v>
      </c>
      <c r="O534" s="83"/>
      <c r="P534" s="20">
        <v>0.45</v>
      </c>
      <c r="Q534" s="143">
        <f t="shared" si="209"/>
        <v>45</v>
      </c>
      <c r="R534" s="21" t="s">
        <v>61</v>
      </c>
      <c r="S534" s="150" t="s">
        <v>1591</v>
      </c>
    </row>
    <row r="535" spans="1:20" ht="28">
      <c r="A535" s="90" t="s">
        <v>688</v>
      </c>
      <c r="B535" s="88" t="s">
        <v>61</v>
      </c>
      <c r="C535" s="134"/>
      <c r="D535" s="134" t="s">
        <v>222</v>
      </c>
      <c r="E535" s="132">
        <f t="shared" si="205"/>
        <v>132.6</v>
      </c>
      <c r="F535" s="139">
        <f>$O$535-P535*($O$535-$O$529)</f>
        <v>126.5</v>
      </c>
      <c r="G535" s="149"/>
      <c r="H535" s="82" t="str">
        <f t="shared" si="130"/>
        <v>0 percent up in Hauterivian international stage</v>
      </c>
      <c r="I535" s="142" t="str">
        <f t="shared" si="131"/>
        <v>100 percent up in Hauterivian international stage</v>
      </c>
      <c r="J535" s="7">
        <v>0</v>
      </c>
      <c r="K535" s="129">
        <f t="shared" si="132"/>
        <v>0</v>
      </c>
      <c r="L535" s="8" t="s">
        <v>61</v>
      </c>
      <c r="M535" s="5" t="s">
        <v>224</v>
      </c>
      <c r="N535" s="5" t="s">
        <v>755</v>
      </c>
      <c r="O535" s="84">
        <f>Master_Chronostrat!I55</f>
        <v>132.6</v>
      </c>
      <c r="P535" s="20">
        <v>1</v>
      </c>
      <c r="Q535" s="143">
        <f t="shared" si="133"/>
        <v>100</v>
      </c>
      <c r="R535" s="21" t="s">
        <v>61</v>
      </c>
      <c r="S535" s="8" t="s">
        <v>224</v>
      </c>
      <c r="T535" s="7" t="s">
        <v>226</v>
      </c>
    </row>
    <row r="536" spans="1:20" ht="34">
      <c r="A536" s="90" t="s">
        <v>688</v>
      </c>
      <c r="B536" s="87" t="s">
        <v>756</v>
      </c>
      <c r="C536" s="5"/>
      <c r="D536" s="5" t="s">
        <v>270</v>
      </c>
      <c r="E536" s="132">
        <f>$O$540-J536*($O$540-$O$535)</f>
        <v>137.69999999999999</v>
      </c>
      <c r="F536" s="139">
        <f>$O$518-P536*($O$518-$O$507)</f>
        <v>117.30000000000001</v>
      </c>
      <c r="G536" s="149"/>
      <c r="H536" s="82" t="str">
        <f t="shared" si="130"/>
        <v>0 percent up in Valanginian international stage</v>
      </c>
      <c r="I536" s="142" t="str">
        <f t="shared" si="131"/>
        <v>50 percent up in Aptian international stage</v>
      </c>
      <c r="J536" s="7">
        <v>0</v>
      </c>
      <c r="K536" s="129">
        <f t="shared" si="132"/>
        <v>0</v>
      </c>
      <c r="L536" s="8" t="s">
        <v>62</v>
      </c>
      <c r="M536" s="5" t="s">
        <v>82</v>
      </c>
      <c r="N536" s="5" t="s">
        <v>82</v>
      </c>
      <c r="O536" s="83"/>
      <c r="P536" s="20">
        <v>0.5</v>
      </c>
      <c r="Q536" s="143">
        <f t="shared" si="133"/>
        <v>50</v>
      </c>
      <c r="R536" s="21" t="s">
        <v>59</v>
      </c>
      <c r="S536" s="8" t="s">
        <v>246</v>
      </c>
      <c r="T536" s="7" t="s">
        <v>226</v>
      </c>
    </row>
    <row r="537" spans="1:20" ht="28">
      <c r="A537" s="90" t="s">
        <v>688</v>
      </c>
      <c r="B537" s="88" t="s">
        <v>757</v>
      </c>
      <c r="C537" s="5"/>
      <c r="D537" s="5" t="s">
        <v>270</v>
      </c>
      <c r="E537" s="132">
        <f>$O$540-J537*($O$540-$O$535)</f>
        <v>137.69999999999999</v>
      </c>
      <c r="F537" s="139">
        <f>$O$529-P537*($O$529-$O$518)</f>
        <v>123.95</v>
      </c>
      <c r="G537" s="149"/>
      <c r="H537" s="82" t="str">
        <f t="shared" si="130"/>
        <v>0 percent up in Valanginian international stage</v>
      </c>
      <c r="I537" s="142" t="str">
        <f t="shared" si="131"/>
        <v>50 percent up in Barremian international stage</v>
      </c>
      <c r="J537" s="7">
        <v>0</v>
      </c>
      <c r="K537" s="129">
        <f t="shared" si="132"/>
        <v>0</v>
      </c>
      <c r="L537" s="8" t="s">
        <v>62</v>
      </c>
      <c r="M537" s="5" t="s">
        <v>82</v>
      </c>
      <c r="N537" s="5" t="s">
        <v>82</v>
      </c>
      <c r="O537" s="83"/>
      <c r="P537" s="20">
        <v>0.5</v>
      </c>
      <c r="Q537" s="143">
        <f t="shared" si="133"/>
        <v>50</v>
      </c>
      <c r="R537" s="21" t="s">
        <v>60</v>
      </c>
      <c r="S537" s="8" t="s">
        <v>246</v>
      </c>
      <c r="T537" s="7" t="s">
        <v>226</v>
      </c>
    </row>
    <row r="538" spans="1:20" ht="28">
      <c r="A538" s="90"/>
      <c r="B538" s="88" t="s">
        <v>1825</v>
      </c>
      <c r="C538" s="5"/>
      <c r="D538" s="5"/>
      <c r="E538" s="132">
        <f>$O$540-J538*($O$540-$O$535)</f>
        <v>135.405</v>
      </c>
      <c r="F538" s="139">
        <f>$O$540-P538*($O$540-$O$535)</f>
        <v>132.6</v>
      </c>
      <c r="G538" s="149" t="s">
        <v>1592</v>
      </c>
      <c r="H538" s="82" t="str">
        <f t="shared" ref="H538" si="214">CONCATENATE(K538," percent up in ",L538," international stage")</f>
        <v>45 percent up in Valanginian international stage</v>
      </c>
      <c r="I538" s="142" t="str">
        <f t="shared" ref="I538" si="215">CONCATENATE(Q538," percent up in ",R538," international stage")</f>
        <v>100 percent up in Valanginian international stage</v>
      </c>
      <c r="J538" s="7">
        <v>0.45</v>
      </c>
      <c r="K538" s="129">
        <f t="shared" ref="K538" si="216">ROUND(J538*100,1)</f>
        <v>45</v>
      </c>
      <c r="L538" s="8" t="s">
        <v>62</v>
      </c>
      <c r="M538" s="5" t="s">
        <v>82</v>
      </c>
      <c r="N538" s="5" t="s">
        <v>82</v>
      </c>
      <c r="O538" s="83"/>
      <c r="P538" s="20">
        <v>1</v>
      </c>
      <c r="Q538" s="143">
        <f t="shared" ref="Q538:Q539" si="217">ROUND(P538*100,1)</f>
        <v>100</v>
      </c>
      <c r="R538" s="21" t="s">
        <v>62</v>
      </c>
      <c r="S538" s="150" t="s">
        <v>1590</v>
      </c>
    </row>
    <row r="539" spans="1:20" ht="28">
      <c r="A539" s="90"/>
      <c r="B539" s="88" t="s">
        <v>1594</v>
      </c>
      <c r="C539" s="5"/>
      <c r="D539" s="5"/>
      <c r="E539" s="132">
        <f>$O$540-J539*($O$540-$O$535)</f>
        <v>137.69999999999999</v>
      </c>
      <c r="F539" s="139">
        <f>$O$540-P539*($O$540-$O$535)</f>
        <v>135.405</v>
      </c>
      <c r="G539" s="149" t="s">
        <v>1593</v>
      </c>
      <c r="H539" s="82" t="str">
        <f t="shared" ref="H539" si="218">CONCATENATE(K539," percent up in ",L539," international stage")</f>
        <v>0 percent up in Valanginian international stage</v>
      </c>
      <c r="I539" s="142" t="str">
        <f t="shared" ref="I539" si="219">CONCATENATE(Q539," percent up in ",R539," international stage")</f>
        <v>45 percent up in Valanginian international stage</v>
      </c>
      <c r="J539" s="7">
        <v>0</v>
      </c>
      <c r="K539" s="129">
        <f t="shared" ref="K539" si="220">ROUND(J539*100,1)</f>
        <v>0</v>
      </c>
      <c r="L539" s="8" t="s">
        <v>62</v>
      </c>
      <c r="M539" s="5" t="s">
        <v>82</v>
      </c>
      <c r="N539" s="5" t="s">
        <v>82</v>
      </c>
      <c r="O539" s="83"/>
      <c r="P539" s="20">
        <v>0.45</v>
      </c>
      <c r="Q539" s="143">
        <f t="shared" si="217"/>
        <v>45</v>
      </c>
      <c r="R539" s="21" t="s">
        <v>62</v>
      </c>
      <c r="S539" s="150" t="s">
        <v>1591</v>
      </c>
    </row>
    <row r="540" spans="1:20" ht="28">
      <c r="A540" s="90" t="s">
        <v>688</v>
      </c>
      <c r="B540" s="88" t="s">
        <v>62</v>
      </c>
      <c r="C540" s="134"/>
      <c r="D540" s="134" t="s">
        <v>222</v>
      </c>
      <c r="E540" s="132">
        <f>$O$540-J540*($O$540-$O$535)</f>
        <v>137.69999999999999</v>
      </c>
      <c r="F540" s="139">
        <f>$O$540-P540*($O$540-$O$535)</f>
        <v>132.6</v>
      </c>
      <c r="G540" s="149"/>
      <c r="H540" s="82" t="str">
        <f t="shared" si="130"/>
        <v>0 percent up in Valanginian international stage</v>
      </c>
      <c r="I540" s="142" t="str">
        <f t="shared" si="131"/>
        <v>100 percent up in Valanginian international stage</v>
      </c>
      <c r="J540" s="7">
        <v>0</v>
      </c>
      <c r="K540" s="129">
        <f t="shared" si="132"/>
        <v>0</v>
      </c>
      <c r="L540" s="8" t="s">
        <v>62</v>
      </c>
      <c r="M540" s="5" t="s">
        <v>224</v>
      </c>
      <c r="N540" s="5" t="s">
        <v>758</v>
      </c>
      <c r="O540" s="84">
        <f>Master_Chronostrat!I57</f>
        <v>137.69999999999999</v>
      </c>
      <c r="P540" s="20">
        <v>1</v>
      </c>
      <c r="Q540" s="143">
        <f t="shared" si="133"/>
        <v>100</v>
      </c>
      <c r="R540" s="21" t="s">
        <v>62</v>
      </c>
      <c r="S540" s="8" t="s">
        <v>224</v>
      </c>
      <c r="T540" s="7" t="s">
        <v>226</v>
      </c>
    </row>
    <row r="541" spans="1:20" ht="28">
      <c r="A541" s="90"/>
      <c r="B541" s="88" t="s">
        <v>2127</v>
      </c>
      <c r="C541" s="5"/>
      <c r="D541" s="5" t="s">
        <v>82</v>
      </c>
      <c r="E541" s="132">
        <f t="shared" ref="E541" si="221">$O$554-J541*($O$554-$O$540)</f>
        <v>139.75199999999998</v>
      </c>
      <c r="F541" s="139">
        <f>$O$554-P541*($O$554-$O$540)</f>
        <v>137.69999999999999</v>
      </c>
      <c r="G541" s="186" t="s">
        <v>2134</v>
      </c>
      <c r="H541" s="82" t="str">
        <f t="shared" si="130"/>
        <v>62 percent up in Berriasian international stage</v>
      </c>
      <c r="I541" s="142" t="str">
        <f t="shared" si="131"/>
        <v>100 percent up in Berriasian international stage</v>
      </c>
      <c r="J541" s="7">
        <v>0.62</v>
      </c>
      <c r="K541" s="129">
        <f t="shared" si="132"/>
        <v>62</v>
      </c>
      <c r="L541" s="8" t="s">
        <v>65</v>
      </c>
      <c r="M541" s="5" t="s">
        <v>82</v>
      </c>
      <c r="N541" s="5" t="s">
        <v>82</v>
      </c>
      <c r="O541" s="83"/>
      <c r="P541" s="20">
        <v>1</v>
      </c>
      <c r="Q541" s="143">
        <f t="shared" ref="Q541" si="222">ROUND(P541*100,1)</f>
        <v>100</v>
      </c>
      <c r="R541" s="21" t="s">
        <v>65</v>
      </c>
      <c r="S541" s="8"/>
    </row>
    <row r="542" spans="1:20" ht="28">
      <c r="A542" s="90"/>
      <c r="B542" s="88" t="s">
        <v>2128</v>
      </c>
      <c r="C542" s="5"/>
      <c r="D542" s="5" t="s">
        <v>82</v>
      </c>
      <c r="E542" s="132">
        <f t="shared" ref="E542:E554" si="223">$O$554-J542*($O$554-$O$540)</f>
        <v>141.75</v>
      </c>
      <c r="F542" s="139">
        <f>$O$554-P542*($O$554-$O$540)</f>
        <v>139.75199999999998</v>
      </c>
      <c r="G542" s="186" t="s">
        <v>2135</v>
      </c>
      <c r="H542" s="82" t="str">
        <f t="shared" ref="H542:H543" si="224">CONCATENATE(K542," percent up in ",L542," international stage")</f>
        <v>25 percent up in Berriasian international stage</v>
      </c>
      <c r="I542" s="142" t="str">
        <f t="shared" ref="I542:I543" si="225">CONCATENATE(Q542," percent up in ",R542," international stage")</f>
        <v>62 percent up in Berriasian international stage</v>
      </c>
      <c r="J542" s="7">
        <v>0.25</v>
      </c>
      <c r="K542" s="129">
        <f t="shared" ref="K542:K543" si="226">ROUND(J542*100,1)</f>
        <v>25</v>
      </c>
      <c r="L542" s="8" t="s">
        <v>65</v>
      </c>
      <c r="M542" s="5" t="s">
        <v>82</v>
      </c>
      <c r="N542" s="5" t="s">
        <v>82</v>
      </c>
      <c r="O542" s="83"/>
      <c r="P542" s="20">
        <v>0.62</v>
      </c>
      <c r="Q542" s="143">
        <f t="shared" ref="Q542:Q543" si="227">ROUND(P542*100,1)</f>
        <v>62</v>
      </c>
      <c r="R542" s="21" t="s">
        <v>65</v>
      </c>
      <c r="S542" s="8"/>
    </row>
    <row r="543" spans="1:20" ht="28">
      <c r="A543" s="90"/>
      <c r="B543" s="88" t="s">
        <v>759</v>
      </c>
      <c r="C543" s="5"/>
      <c r="D543" s="5" t="s">
        <v>82</v>
      </c>
      <c r="E543" s="132">
        <f t="shared" ref="E543" si="228">$O$554-J543*($O$554-$O$540)</f>
        <v>141.75</v>
      </c>
      <c r="F543" s="139">
        <f>$O$554-P543*($O$554-$O$540)</f>
        <v>137.69999999999999</v>
      </c>
      <c r="G543" s="186" t="s">
        <v>2130</v>
      </c>
      <c r="H543" s="82" t="str">
        <f t="shared" si="224"/>
        <v>25 percent up in Berriasian international stage</v>
      </c>
      <c r="I543" s="142" t="str">
        <f t="shared" si="225"/>
        <v>100 percent up in Berriasian international stage</v>
      </c>
      <c r="J543" s="7">
        <v>0.25</v>
      </c>
      <c r="K543" s="129">
        <f t="shared" si="226"/>
        <v>25</v>
      </c>
      <c r="L543" s="8" t="s">
        <v>65</v>
      </c>
      <c r="M543" s="5" t="s">
        <v>82</v>
      </c>
      <c r="N543" s="5" t="s">
        <v>82</v>
      </c>
      <c r="O543" s="83"/>
      <c r="P543" s="20">
        <v>1</v>
      </c>
      <c r="Q543" s="143">
        <f t="shared" si="227"/>
        <v>100</v>
      </c>
      <c r="R543" s="21" t="s">
        <v>65</v>
      </c>
      <c r="S543" s="8"/>
    </row>
    <row r="544" spans="1:20" ht="28">
      <c r="A544" s="90" t="s">
        <v>688</v>
      </c>
      <c r="B544" s="88" t="s">
        <v>2129</v>
      </c>
      <c r="C544" s="5"/>
      <c r="D544" s="5" t="s">
        <v>82</v>
      </c>
      <c r="E544" s="132">
        <f t="shared" si="223"/>
        <v>141.75</v>
      </c>
      <c r="F544" s="139">
        <f>$O$554-P544*($O$554-$O$540)</f>
        <v>137.69999999999999</v>
      </c>
      <c r="G544" s="186" t="s">
        <v>2133</v>
      </c>
      <c r="H544" s="82" t="str">
        <f t="shared" si="130"/>
        <v>25 percent up in Berriasian international stage</v>
      </c>
      <c r="I544" s="142" t="str">
        <f t="shared" si="131"/>
        <v>100 percent up in Berriasian international stage</v>
      </c>
      <c r="J544" s="7">
        <v>0.25</v>
      </c>
      <c r="K544" s="129">
        <f t="shared" si="132"/>
        <v>25</v>
      </c>
      <c r="L544" s="8" t="s">
        <v>65</v>
      </c>
      <c r="M544" s="5" t="s">
        <v>82</v>
      </c>
      <c r="N544" s="5" t="s">
        <v>82</v>
      </c>
      <c r="O544" s="83"/>
      <c r="P544" s="20">
        <v>1</v>
      </c>
      <c r="Q544" s="143">
        <f t="shared" si="133"/>
        <v>100</v>
      </c>
      <c r="R544" s="21" t="s">
        <v>65</v>
      </c>
      <c r="S544" s="8" t="s">
        <v>246</v>
      </c>
      <c r="T544" s="7" t="s">
        <v>226</v>
      </c>
    </row>
    <row r="545" spans="1:20" ht="28">
      <c r="A545" s="90" t="s">
        <v>688</v>
      </c>
      <c r="B545" s="88" t="s">
        <v>760</v>
      </c>
      <c r="C545" s="5"/>
      <c r="D545" s="5" t="s">
        <v>244</v>
      </c>
      <c r="E545" s="132">
        <f t="shared" si="223"/>
        <v>143.1</v>
      </c>
      <c r="F545" s="139">
        <f>$O$529-P545*($O$529-$O$518)</f>
        <v>123.44</v>
      </c>
      <c r="G545" s="149"/>
      <c r="H545" s="82" t="str">
        <f t="shared" si="130"/>
        <v>0 percent up in Berriasian international stage</v>
      </c>
      <c r="I545" s="142" t="str">
        <f t="shared" si="131"/>
        <v>60 percent up in Barremian international stage</v>
      </c>
      <c r="J545" s="7">
        <v>0</v>
      </c>
      <c r="K545" s="129">
        <f t="shared" si="132"/>
        <v>0</v>
      </c>
      <c r="L545" s="8" t="s">
        <v>65</v>
      </c>
      <c r="M545" s="5" t="s">
        <v>82</v>
      </c>
      <c r="N545" s="5" t="s">
        <v>82</v>
      </c>
      <c r="O545" s="83"/>
      <c r="P545" s="20">
        <v>0.6</v>
      </c>
      <c r="Q545" s="143">
        <f t="shared" si="133"/>
        <v>60</v>
      </c>
      <c r="R545" s="21" t="s">
        <v>60</v>
      </c>
      <c r="S545" s="8" t="s">
        <v>246</v>
      </c>
      <c r="T545" s="7" t="s">
        <v>226</v>
      </c>
    </row>
    <row r="546" spans="1:20" ht="28">
      <c r="A546" s="90" t="s">
        <v>688</v>
      </c>
      <c r="B546" s="88" t="s">
        <v>761</v>
      </c>
      <c r="C546" s="5"/>
      <c r="D546" s="5" t="s">
        <v>82</v>
      </c>
      <c r="E546" s="132">
        <f t="shared" si="223"/>
        <v>143.1</v>
      </c>
      <c r="F546" s="139">
        <f>$O$507-P546*($O$507-$O$499)</f>
        <v>100.5</v>
      </c>
      <c r="G546" s="149"/>
      <c r="H546" s="82" t="str">
        <f t="shared" si="130"/>
        <v>0 percent up in Berriasian international stage</v>
      </c>
      <c r="I546" s="142" t="str">
        <f t="shared" si="131"/>
        <v>100 percent up in Albian international stage</v>
      </c>
      <c r="J546" s="7">
        <v>0</v>
      </c>
      <c r="K546" s="129">
        <f t="shared" si="132"/>
        <v>0</v>
      </c>
      <c r="L546" s="8" t="s">
        <v>65</v>
      </c>
      <c r="M546" s="5" t="s">
        <v>82</v>
      </c>
      <c r="N546" s="5" t="s">
        <v>82</v>
      </c>
      <c r="O546" s="83"/>
      <c r="P546" s="20">
        <v>1</v>
      </c>
      <c r="Q546" s="143">
        <f t="shared" si="133"/>
        <v>100</v>
      </c>
      <c r="R546" s="21" t="s">
        <v>57</v>
      </c>
      <c r="S546" s="8" t="s">
        <v>232</v>
      </c>
      <c r="T546" s="7" t="s">
        <v>226</v>
      </c>
    </row>
    <row r="547" spans="1:20" ht="28">
      <c r="A547" s="90" t="s">
        <v>688</v>
      </c>
      <c r="B547" s="88" t="s">
        <v>762</v>
      </c>
      <c r="C547" s="5"/>
      <c r="D547" s="5" t="s">
        <v>354</v>
      </c>
      <c r="E547" s="132">
        <f t="shared" si="223"/>
        <v>143.1</v>
      </c>
      <c r="F547" s="139">
        <f>$O$540-P547*($O$540-$O$535)</f>
        <v>132.6</v>
      </c>
      <c r="G547" s="149"/>
      <c r="H547" s="82" t="str">
        <f t="shared" si="130"/>
        <v>0 percent up in Berriasian international stage</v>
      </c>
      <c r="I547" s="142" t="str">
        <f t="shared" si="131"/>
        <v>100 percent up in Valanginian international stage</v>
      </c>
      <c r="J547" s="7">
        <v>0</v>
      </c>
      <c r="K547" s="129">
        <f t="shared" si="132"/>
        <v>0</v>
      </c>
      <c r="L547" s="8" t="s">
        <v>65</v>
      </c>
      <c r="M547" s="5" t="s">
        <v>82</v>
      </c>
      <c r="N547" s="5" t="s">
        <v>82</v>
      </c>
      <c r="O547" s="83"/>
      <c r="P547" s="20">
        <v>1</v>
      </c>
      <c r="Q547" s="143">
        <f t="shared" si="133"/>
        <v>100</v>
      </c>
      <c r="R547" s="21" t="s">
        <v>62</v>
      </c>
      <c r="S547" s="8" t="s">
        <v>232</v>
      </c>
      <c r="T547" s="7" t="s">
        <v>226</v>
      </c>
    </row>
    <row r="548" spans="1:20" ht="28">
      <c r="A548" s="90" t="s">
        <v>688</v>
      </c>
      <c r="B548" s="88" t="s">
        <v>763</v>
      </c>
      <c r="C548" s="5"/>
      <c r="D548" s="5" t="s">
        <v>236</v>
      </c>
      <c r="E548" s="132">
        <f t="shared" si="223"/>
        <v>143.1</v>
      </c>
      <c r="F548" s="139">
        <f>$O$518-P548*($O$518-$O$507)</f>
        <v>117.61538461538461</v>
      </c>
      <c r="G548" s="149"/>
      <c r="H548" s="82" t="str">
        <f t="shared" si="130"/>
        <v>0 percent up in Berriasian international stage</v>
      </c>
      <c r="I548" s="142" t="str">
        <f t="shared" si="131"/>
        <v>46.2 percent up in Aptian international stage</v>
      </c>
      <c r="J548" s="7">
        <v>0</v>
      </c>
      <c r="K548" s="129">
        <f t="shared" si="132"/>
        <v>0</v>
      </c>
      <c r="L548" s="8" t="s">
        <v>65</v>
      </c>
      <c r="M548" s="5" t="s">
        <v>82</v>
      </c>
      <c r="N548" s="5" t="s">
        <v>82</v>
      </c>
      <c r="O548" s="83"/>
      <c r="P548" s="20">
        <v>0.46153846153846156</v>
      </c>
      <c r="Q548" s="143">
        <f t="shared" si="133"/>
        <v>46.2</v>
      </c>
      <c r="R548" s="21" t="s">
        <v>59</v>
      </c>
      <c r="S548" s="8" t="s">
        <v>246</v>
      </c>
      <c r="T548" s="7" t="s">
        <v>226</v>
      </c>
    </row>
    <row r="549" spans="1:20" ht="28">
      <c r="A549" s="90" t="s">
        <v>688</v>
      </c>
      <c r="B549" s="88" t="s">
        <v>764</v>
      </c>
      <c r="C549" s="5"/>
      <c r="D549" s="5" t="s">
        <v>264</v>
      </c>
      <c r="E549" s="132">
        <f t="shared" si="223"/>
        <v>143.1</v>
      </c>
      <c r="F549" s="139">
        <f>$O$535-P549*($O$535-$O$529)</f>
        <v>126.5</v>
      </c>
      <c r="G549" s="149"/>
      <c r="H549" s="82" t="str">
        <f t="shared" si="130"/>
        <v>0 percent up in Berriasian international stage</v>
      </c>
      <c r="I549" s="142" t="str">
        <f t="shared" si="131"/>
        <v>100 percent up in Hauterivian international stage</v>
      </c>
      <c r="J549" s="7">
        <v>0</v>
      </c>
      <c r="K549" s="129">
        <f t="shared" si="132"/>
        <v>0</v>
      </c>
      <c r="L549" s="8" t="s">
        <v>65</v>
      </c>
      <c r="M549" s="5" t="s">
        <v>82</v>
      </c>
      <c r="N549" s="5" t="s">
        <v>82</v>
      </c>
      <c r="O549" s="83"/>
      <c r="P549" s="20">
        <v>1</v>
      </c>
      <c r="Q549" s="143">
        <f t="shared" si="133"/>
        <v>100</v>
      </c>
      <c r="R549" s="21" t="s">
        <v>61</v>
      </c>
      <c r="S549" s="8" t="s">
        <v>232</v>
      </c>
      <c r="T549" s="7" t="s">
        <v>226</v>
      </c>
    </row>
    <row r="550" spans="1:20" ht="39">
      <c r="A550" s="90"/>
      <c r="B550" s="88" t="s">
        <v>2163</v>
      </c>
      <c r="C550" s="5"/>
      <c r="D550" s="5"/>
      <c r="E550" s="132">
        <f t="shared" ref="E550:E551" si="229">$O$554-J550*($O$554-$O$540)</f>
        <v>140.39999999999998</v>
      </c>
      <c r="F550" s="139">
        <f>$O$554-P550*($O$554-$O$540)</f>
        <v>137.69999999999999</v>
      </c>
      <c r="G550" s="186" t="s">
        <v>2165</v>
      </c>
      <c r="H550" s="82" t="str">
        <f t="shared" ref="H550:H551" si="230">CONCATENATE(K550," percent up in ",L550," international stage")</f>
        <v>50 percent up in Berriasian international stage</v>
      </c>
      <c r="I550" s="142" t="str">
        <f t="shared" ref="I550:I551" si="231">CONCATENATE(Q550," percent up in ",R550," international stage")</f>
        <v>100 percent up in Berriasian international stage</v>
      </c>
      <c r="J550" s="7">
        <v>0.5</v>
      </c>
      <c r="K550" s="129">
        <f t="shared" ref="K550:K551" si="232">ROUND(J550*100,1)</f>
        <v>50</v>
      </c>
      <c r="L550" s="8" t="s">
        <v>65</v>
      </c>
      <c r="M550" s="5"/>
      <c r="O550" s="83"/>
      <c r="P550" s="20">
        <v>1</v>
      </c>
      <c r="Q550" s="143">
        <f t="shared" ref="Q550:Q551" si="233">ROUND(P550*100,1)</f>
        <v>100</v>
      </c>
      <c r="R550" s="21" t="s">
        <v>65</v>
      </c>
      <c r="S550" s="8"/>
    </row>
    <row r="551" spans="1:20" ht="39">
      <c r="A551" s="90"/>
      <c r="B551" s="88" t="s">
        <v>2164</v>
      </c>
      <c r="C551" s="5"/>
      <c r="D551" s="5"/>
      <c r="E551" s="132">
        <f t="shared" si="229"/>
        <v>143.1</v>
      </c>
      <c r="F551" s="139">
        <f>$O$554-P551*($O$554-$O$540)</f>
        <v>140.39999999999998</v>
      </c>
      <c r="G551" s="186" t="s">
        <v>2165</v>
      </c>
      <c r="H551" s="82" t="str">
        <f t="shared" si="230"/>
        <v>0 percent up in Berriasian international stage</v>
      </c>
      <c r="I551" s="142" t="str">
        <f t="shared" si="231"/>
        <v>50 percent up in Berriasian international stage</v>
      </c>
      <c r="J551" s="7">
        <v>0</v>
      </c>
      <c r="K551" s="129">
        <f t="shared" si="232"/>
        <v>0</v>
      </c>
      <c r="L551" s="8" t="s">
        <v>65</v>
      </c>
      <c r="M551" s="5"/>
      <c r="O551" s="83"/>
      <c r="P551" s="20">
        <v>0.5</v>
      </c>
      <c r="Q551" s="143">
        <f t="shared" si="233"/>
        <v>50</v>
      </c>
      <c r="R551" s="21" t="s">
        <v>65</v>
      </c>
      <c r="S551" s="8"/>
    </row>
    <row r="552" spans="1:20" ht="28">
      <c r="A552" s="90" t="s">
        <v>688</v>
      </c>
      <c r="B552" s="88" t="s">
        <v>65</v>
      </c>
      <c r="C552" s="134"/>
      <c r="D552" s="134" t="s">
        <v>222</v>
      </c>
      <c r="E552" s="132">
        <f t="shared" si="223"/>
        <v>143.1</v>
      </c>
      <c r="F552" s="139">
        <f>$O$554-P552*($O$554-$O$540)</f>
        <v>137.69999999999999</v>
      </c>
      <c r="G552" s="149"/>
      <c r="H552" s="82" t="str">
        <f t="shared" si="130"/>
        <v>0 percent up in Berriasian international stage</v>
      </c>
      <c r="I552" s="142" t="str">
        <f t="shared" si="131"/>
        <v>100 percent up in Berriasian international stage</v>
      </c>
      <c r="J552" s="7">
        <v>0</v>
      </c>
      <c r="K552" s="129">
        <f t="shared" si="132"/>
        <v>0</v>
      </c>
      <c r="L552" s="8" t="s">
        <v>65</v>
      </c>
      <c r="M552" s="5" t="s">
        <v>224</v>
      </c>
      <c r="N552" s="5" t="s">
        <v>765</v>
      </c>
      <c r="O552" s="84">
        <f>Master_Chronostrat!I60</f>
        <v>143.1</v>
      </c>
      <c r="P552" s="20">
        <v>1</v>
      </c>
      <c r="Q552" s="143">
        <f t="shared" si="133"/>
        <v>100</v>
      </c>
      <c r="R552" s="21" t="s">
        <v>65</v>
      </c>
      <c r="S552" s="8" t="s">
        <v>224</v>
      </c>
      <c r="T552" s="7" t="s">
        <v>226</v>
      </c>
    </row>
    <row r="553" spans="1:20" ht="28">
      <c r="A553" s="90" t="s">
        <v>688</v>
      </c>
      <c r="B553" s="88" t="s">
        <v>766</v>
      </c>
      <c r="C553" s="134"/>
      <c r="D553" s="134" t="s">
        <v>222</v>
      </c>
      <c r="E553" s="132">
        <f t="shared" si="223"/>
        <v>143.1</v>
      </c>
      <c r="F553" s="139">
        <f>$O$507-P553*($O$507-$O$499)</f>
        <v>100.5</v>
      </c>
      <c r="G553" s="149"/>
      <c r="H553" s="82" t="str">
        <f t="shared" si="130"/>
        <v>0 percent up in Berriasian international stage</v>
      </c>
      <c r="I553" s="142" t="str">
        <f t="shared" si="131"/>
        <v>100 percent up in Albian international stage</v>
      </c>
      <c r="J553" s="7">
        <v>0</v>
      </c>
      <c r="K553" s="129">
        <f t="shared" si="132"/>
        <v>0</v>
      </c>
      <c r="L553" s="8" t="s">
        <v>65</v>
      </c>
      <c r="M553" s="5" t="s">
        <v>224</v>
      </c>
      <c r="N553" s="5" t="s">
        <v>767</v>
      </c>
      <c r="O553" s="84">
        <f>Master_Chronostrat!I60</f>
        <v>143.1</v>
      </c>
      <c r="P553" s="20">
        <v>1</v>
      </c>
      <c r="Q553" s="143">
        <f t="shared" si="133"/>
        <v>100</v>
      </c>
      <c r="R553" s="21" t="s">
        <v>57</v>
      </c>
      <c r="S553" s="8" t="s">
        <v>239</v>
      </c>
      <c r="T553" s="7" t="s">
        <v>226</v>
      </c>
    </row>
    <row r="554" spans="1:20" ht="28">
      <c r="A554" s="90" t="s">
        <v>688</v>
      </c>
      <c r="B554" s="88" t="s">
        <v>63</v>
      </c>
      <c r="C554" s="134"/>
      <c r="D554" s="134" t="s">
        <v>222</v>
      </c>
      <c r="E554" s="132">
        <f t="shared" si="223"/>
        <v>143.1</v>
      </c>
      <c r="F554" s="139">
        <f>$O$450-P554*($O$450-$O$440)</f>
        <v>66.040000000000006</v>
      </c>
      <c r="G554" s="149"/>
      <c r="H554" s="82" t="str">
        <f t="shared" si="130"/>
        <v>0 percent up in Berriasian international stage</v>
      </c>
      <c r="I554" s="142" t="str">
        <f t="shared" si="131"/>
        <v>100 percent up in Maastrichtian international stage</v>
      </c>
      <c r="J554" s="7">
        <v>0</v>
      </c>
      <c r="K554" s="129">
        <f t="shared" si="132"/>
        <v>0</v>
      </c>
      <c r="L554" s="8" t="s">
        <v>65</v>
      </c>
      <c r="M554" s="5" t="s">
        <v>224</v>
      </c>
      <c r="N554" s="5" t="s">
        <v>768</v>
      </c>
      <c r="O554" s="84">
        <f>Master_Chronostrat!I60</f>
        <v>143.1</v>
      </c>
      <c r="P554" s="20">
        <v>1</v>
      </c>
      <c r="Q554" s="143">
        <f t="shared" si="133"/>
        <v>100</v>
      </c>
      <c r="R554" s="21" t="s">
        <v>50</v>
      </c>
      <c r="S554" s="8" t="s">
        <v>239</v>
      </c>
      <c r="T554" s="7" t="s">
        <v>226</v>
      </c>
    </row>
    <row r="555" spans="1:20" ht="52">
      <c r="A555" s="91"/>
      <c r="B555" s="92" t="s">
        <v>2123</v>
      </c>
      <c r="C555" s="5"/>
      <c r="D555" s="5"/>
      <c r="E555" s="132">
        <f t="shared" ref="E555" si="234">$O$571-J555*($O$571-$O$554)</f>
        <v>144.02099999999999</v>
      </c>
      <c r="F555" s="139">
        <f>$O$554-P555*($O$554-$O$540)</f>
        <v>141.75</v>
      </c>
      <c r="G555" s="186" t="s">
        <v>2125</v>
      </c>
      <c r="H555" s="82" t="str">
        <f t="shared" si="130"/>
        <v>85 percent up in Tithonian international stage</v>
      </c>
      <c r="I555" s="142" t="str">
        <f t="shared" si="131"/>
        <v>25 percent up in Berriasian international stage</v>
      </c>
      <c r="J555" s="7">
        <v>0.85</v>
      </c>
      <c r="K555" s="129">
        <f t="shared" si="132"/>
        <v>85</v>
      </c>
      <c r="L555" s="8" t="s">
        <v>66</v>
      </c>
      <c r="M555" s="5"/>
      <c r="O555" s="83"/>
      <c r="P555" s="20">
        <v>0.25</v>
      </c>
      <c r="Q555" s="143">
        <f t="shared" ref="Q555" si="235">ROUND(P555*100,1)</f>
        <v>25</v>
      </c>
      <c r="R555" s="21" t="s">
        <v>65</v>
      </c>
      <c r="S555" s="8"/>
    </row>
    <row r="556" spans="1:20" ht="28">
      <c r="A556" s="91"/>
      <c r="B556" s="92" t="s">
        <v>2160</v>
      </c>
      <c r="C556" s="5"/>
      <c r="D556" s="5"/>
      <c r="E556" s="132">
        <f t="shared" ref="E556" si="236">$O$571-J556*($O$571-$O$554)</f>
        <v>144.94200000000001</v>
      </c>
      <c r="F556" s="139">
        <f t="shared" ref="F556" si="237">$O$571-P556*($O$571-$O$554)</f>
        <v>144.02099999999999</v>
      </c>
      <c r="G556" s="149" t="s">
        <v>2124</v>
      </c>
      <c r="H556" s="82" t="str">
        <f t="shared" ref="H556" si="238">CONCATENATE(K556," percent up in ",L556," international stage")</f>
        <v>70 percent up in Tithonian international stage</v>
      </c>
      <c r="I556" s="142" t="str">
        <f t="shared" ref="I556" si="239">CONCATENATE(Q556," percent up in ",R556," international stage")</f>
        <v>85 percent up in Tithonian international stage</v>
      </c>
      <c r="J556" s="7">
        <v>0.7</v>
      </c>
      <c r="K556" s="129">
        <f t="shared" ref="K556" si="240">ROUND(J556*100,1)</f>
        <v>70</v>
      </c>
      <c r="L556" s="8" t="s">
        <v>66</v>
      </c>
      <c r="M556" s="5"/>
      <c r="O556" s="83"/>
      <c r="P556" s="20">
        <v>0.85</v>
      </c>
      <c r="Q556" s="143">
        <f t="shared" ref="Q556" si="241">ROUND(P556*100,1)</f>
        <v>85</v>
      </c>
      <c r="R556" s="21" t="s">
        <v>66</v>
      </c>
      <c r="S556" s="8"/>
    </row>
    <row r="557" spans="1:20" ht="28">
      <c r="A557" s="91" t="s">
        <v>769</v>
      </c>
      <c r="B557" s="92" t="s">
        <v>770</v>
      </c>
      <c r="C557" s="5"/>
      <c r="D557" s="5" t="s">
        <v>270</v>
      </c>
      <c r="E557" s="132">
        <f t="shared" ref="E557:E571" si="242">$O$571-J557*($O$571-$O$554)</f>
        <v>144.94200000000001</v>
      </c>
      <c r="F557" s="139">
        <f>$O$554-P557*($O$554-$O$540)</f>
        <v>141.75</v>
      </c>
      <c r="G557" s="149"/>
      <c r="H557" s="82" t="str">
        <f t="shared" si="130"/>
        <v>70 percent up in Tithonian international stage</v>
      </c>
      <c r="I557" s="142" t="str">
        <f t="shared" si="131"/>
        <v>25 percent up in Berriasian international stage</v>
      </c>
      <c r="J557" s="7">
        <v>0.7</v>
      </c>
      <c r="K557" s="129">
        <f t="shared" si="132"/>
        <v>70</v>
      </c>
      <c r="L557" s="8" t="s">
        <v>66</v>
      </c>
      <c r="M557" s="5" t="s">
        <v>82</v>
      </c>
      <c r="N557" s="5" t="s">
        <v>82</v>
      </c>
      <c r="O557" s="83"/>
      <c r="P557" s="20">
        <v>0.25</v>
      </c>
      <c r="Q557" s="143">
        <f t="shared" si="133"/>
        <v>25</v>
      </c>
      <c r="R557" s="21" t="s">
        <v>65</v>
      </c>
      <c r="S557" s="8" t="s">
        <v>246</v>
      </c>
      <c r="T557" s="7" t="s">
        <v>226</v>
      </c>
    </row>
    <row r="558" spans="1:20" ht="34">
      <c r="A558" s="91" t="s">
        <v>769</v>
      </c>
      <c r="B558" s="92" t="s">
        <v>771</v>
      </c>
      <c r="C558" s="5"/>
      <c r="D558" s="5" t="s">
        <v>270</v>
      </c>
      <c r="E558" s="132">
        <f t="shared" si="242"/>
        <v>144.8377358490566</v>
      </c>
      <c r="F558" s="139">
        <f>$O$554-P558*($O$554-$O$540)</f>
        <v>137.69999999999999</v>
      </c>
      <c r="G558" s="187" t="s">
        <v>2126</v>
      </c>
      <c r="H558" s="82" t="str">
        <f t="shared" si="130"/>
        <v>71.7 percent up in Tithonian international stage</v>
      </c>
      <c r="I558" s="142" t="str">
        <f t="shared" si="131"/>
        <v>100 percent up in Berriasian international stage</v>
      </c>
      <c r="J558" s="7">
        <v>0.71698113207547232</v>
      </c>
      <c r="K558" s="129">
        <f t="shared" si="132"/>
        <v>71.7</v>
      </c>
      <c r="L558" s="8" t="s">
        <v>66</v>
      </c>
      <c r="M558" s="5" t="s">
        <v>82</v>
      </c>
      <c r="N558" s="5" t="s">
        <v>82</v>
      </c>
      <c r="O558" s="83"/>
      <c r="P558" s="20">
        <v>1</v>
      </c>
      <c r="Q558" s="143">
        <f t="shared" si="133"/>
        <v>100</v>
      </c>
      <c r="R558" s="21" t="s">
        <v>65</v>
      </c>
      <c r="S558" s="8" t="s">
        <v>246</v>
      </c>
      <c r="T558" s="7" t="s">
        <v>226</v>
      </c>
    </row>
    <row r="559" spans="1:20" ht="28">
      <c r="A559" s="91" t="s">
        <v>769</v>
      </c>
      <c r="B559" s="93" t="s">
        <v>772</v>
      </c>
      <c r="C559" s="5"/>
      <c r="D559" s="5" t="s">
        <v>270</v>
      </c>
      <c r="E559" s="132">
        <f t="shared" si="242"/>
        <v>145.13894339622641</v>
      </c>
      <c r="F559" s="139">
        <f t="shared" ref="F559:F564" si="243">$O$571-P559*($O$571-$O$554)</f>
        <v>143.1</v>
      </c>
      <c r="G559" s="149"/>
      <c r="H559" s="82" t="str">
        <f t="shared" si="130"/>
        <v>66.8 percent up in Tithonian international stage</v>
      </c>
      <c r="I559" s="142" t="str">
        <f t="shared" si="131"/>
        <v>100 percent up in Tithonian international stage</v>
      </c>
      <c r="J559" s="7">
        <v>0.6679245283018892</v>
      </c>
      <c r="K559" s="129">
        <f t="shared" si="132"/>
        <v>66.8</v>
      </c>
      <c r="L559" s="8" t="s">
        <v>66</v>
      </c>
      <c r="M559" s="5" t="s">
        <v>82</v>
      </c>
      <c r="N559" s="5" t="s">
        <v>82</v>
      </c>
      <c r="O559" s="83"/>
      <c r="P559" s="20">
        <v>1</v>
      </c>
      <c r="Q559" s="143">
        <f t="shared" si="133"/>
        <v>100</v>
      </c>
      <c r="R559" s="21" t="s">
        <v>66</v>
      </c>
      <c r="S559" s="8" t="s">
        <v>272</v>
      </c>
      <c r="T559" s="7" t="s">
        <v>226</v>
      </c>
    </row>
    <row r="560" spans="1:20" ht="28">
      <c r="A560" s="91" t="s">
        <v>769</v>
      </c>
      <c r="B560" s="92" t="s">
        <v>773</v>
      </c>
      <c r="C560" s="5"/>
      <c r="D560" s="5" t="s">
        <v>248</v>
      </c>
      <c r="E560" s="132">
        <f t="shared" si="242"/>
        <v>147.15471698113208</v>
      </c>
      <c r="F560" s="139">
        <f t="shared" si="243"/>
        <v>143.1</v>
      </c>
      <c r="G560" s="149"/>
      <c r="H560" s="82" t="str">
        <f t="shared" si="130"/>
        <v>34 percent up in Tithonian international stage</v>
      </c>
      <c r="I560" s="142" t="str">
        <f t="shared" si="131"/>
        <v>100 percent up in Tithonian international stage</v>
      </c>
      <c r="J560" s="7">
        <v>0.33962264150943533</v>
      </c>
      <c r="K560" s="129">
        <f t="shared" si="132"/>
        <v>34</v>
      </c>
      <c r="L560" s="8" t="s">
        <v>66</v>
      </c>
      <c r="M560" s="5" t="s">
        <v>82</v>
      </c>
      <c r="N560" s="5" t="s">
        <v>82</v>
      </c>
      <c r="O560" s="83"/>
      <c r="P560" s="20">
        <v>1</v>
      </c>
      <c r="Q560" s="143">
        <f t="shared" si="133"/>
        <v>100</v>
      </c>
      <c r="R560" s="21" t="s">
        <v>66</v>
      </c>
      <c r="S560" s="8" t="s">
        <v>272</v>
      </c>
      <c r="T560" s="7" t="s">
        <v>226</v>
      </c>
    </row>
    <row r="561" spans="1:20" ht="28">
      <c r="A561" s="91" t="s">
        <v>769</v>
      </c>
      <c r="B561" s="92" t="s">
        <v>774</v>
      </c>
      <c r="C561" s="5"/>
      <c r="D561" s="5" t="s">
        <v>236</v>
      </c>
      <c r="E561" s="132">
        <f t="shared" si="242"/>
        <v>148.31320754716981</v>
      </c>
      <c r="F561" s="139">
        <f t="shared" si="243"/>
        <v>143.1</v>
      </c>
      <c r="G561" s="149"/>
      <c r="H561" s="82" t="str">
        <f t="shared" si="130"/>
        <v>15.1 percent up in Tithonian international stage</v>
      </c>
      <c r="I561" s="142" t="str">
        <f t="shared" si="131"/>
        <v>100 percent up in Tithonian international stage</v>
      </c>
      <c r="J561" s="7">
        <v>0.15094339622641695</v>
      </c>
      <c r="K561" s="129">
        <f t="shared" si="132"/>
        <v>15.1</v>
      </c>
      <c r="L561" s="8" t="s">
        <v>66</v>
      </c>
      <c r="M561" s="5" t="s">
        <v>82</v>
      </c>
      <c r="N561" s="5" t="s">
        <v>82</v>
      </c>
      <c r="O561" s="83"/>
      <c r="P561" s="20">
        <v>1</v>
      </c>
      <c r="Q561" s="143">
        <f t="shared" si="133"/>
        <v>100</v>
      </c>
      <c r="R561" s="21" t="s">
        <v>66</v>
      </c>
      <c r="S561" s="8" t="s">
        <v>272</v>
      </c>
      <c r="T561" s="7" t="s">
        <v>226</v>
      </c>
    </row>
    <row r="562" spans="1:20" ht="28">
      <c r="A562" s="91" t="s">
        <v>769</v>
      </c>
      <c r="B562" s="93" t="s">
        <v>775</v>
      </c>
      <c r="C562" s="5"/>
      <c r="D562" s="5" t="s">
        <v>270</v>
      </c>
      <c r="E562" s="132">
        <f t="shared" si="242"/>
        <v>149.24</v>
      </c>
      <c r="F562" s="139">
        <f t="shared" si="243"/>
        <v>147.18947169811321</v>
      </c>
      <c r="G562" s="149"/>
      <c r="H562" s="82" t="str">
        <f t="shared" si="130"/>
        <v>0 percent up in Tithonian international stage</v>
      </c>
      <c r="I562" s="142" t="str">
        <f t="shared" si="131"/>
        <v>33.4 percent up in Tithonian international stage</v>
      </c>
      <c r="J562" s="7">
        <v>0</v>
      </c>
      <c r="K562" s="129">
        <f t="shared" si="132"/>
        <v>0</v>
      </c>
      <c r="L562" s="8" t="s">
        <v>66</v>
      </c>
      <c r="M562" s="5" t="s">
        <v>82</v>
      </c>
      <c r="N562" s="5" t="s">
        <v>82</v>
      </c>
      <c r="O562" s="83"/>
      <c r="P562" s="20">
        <v>0.3339622641509446</v>
      </c>
      <c r="Q562" s="143">
        <f t="shared" si="133"/>
        <v>33.4</v>
      </c>
      <c r="R562" s="21" t="s">
        <v>66</v>
      </c>
      <c r="S562" s="8" t="s">
        <v>230</v>
      </c>
      <c r="T562" s="7" t="s">
        <v>226</v>
      </c>
    </row>
    <row r="563" spans="1:20" ht="28">
      <c r="A563" s="91" t="s">
        <v>769</v>
      </c>
      <c r="B563" s="93" t="s">
        <v>776</v>
      </c>
      <c r="C563" s="5"/>
      <c r="D563" s="5" t="s">
        <v>270</v>
      </c>
      <c r="E563" s="132">
        <f t="shared" si="242"/>
        <v>149.24</v>
      </c>
      <c r="F563" s="139">
        <f t="shared" si="243"/>
        <v>143.1</v>
      </c>
      <c r="G563" s="149"/>
      <c r="H563" s="82" t="str">
        <f t="shared" si="130"/>
        <v>0 percent up in Tithonian international stage</v>
      </c>
      <c r="I563" s="142" t="str">
        <f t="shared" si="131"/>
        <v>100 percent up in Tithonian international stage</v>
      </c>
      <c r="J563" s="7">
        <v>0</v>
      </c>
      <c r="K563" s="129">
        <f t="shared" si="132"/>
        <v>0</v>
      </c>
      <c r="L563" s="8" t="s">
        <v>66</v>
      </c>
      <c r="M563" s="5" t="s">
        <v>82</v>
      </c>
      <c r="N563" s="5" t="s">
        <v>82</v>
      </c>
      <c r="O563" s="83"/>
      <c r="P563" s="20">
        <v>1</v>
      </c>
      <c r="Q563" s="143">
        <f t="shared" si="133"/>
        <v>100</v>
      </c>
      <c r="R563" s="21" t="s">
        <v>66</v>
      </c>
      <c r="S563" s="8" t="s">
        <v>232</v>
      </c>
      <c r="T563" s="7" t="s">
        <v>226</v>
      </c>
    </row>
    <row r="564" spans="1:20" ht="28">
      <c r="A564" s="91" t="s">
        <v>769</v>
      </c>
      <c r="B564" s="94" t="s">
        <v>777</v>
      </c>
      <c r="C564" s="5"/>
      <c r="D564" s="5" t="s">
        <v>270</v>
      </c>
      <c r="E564" s="132">
        <f t="shared" si="242"/>
        <v>149.24</v>
      </c>
      <c r="F564" s="139">
        <f t="shared" si="243"/>
        <v>143.1</v>
      </c>
      <c r="G564" s="149"/>
      <c r="H564" s="82" t="str">
        <f t="shared" si="130"/>
        <v>0 percent up in Tithonian international stage</v>
      </c>
      <c r="I564" s="142" t="str">
        <f t="shared" si="131"/>
        <v>100 percent up in Tithonian international stage</v>
      </c>
      <c r="J564" s="7">
        <v>0</v>
      </c>
      <c r="K564" s="129">
        <f t="shared" si="132"/>
        <v>0</v>
      </c>
      <c r="L564" s="8" t="s">
        <v>66</v>
      </c>
      <c r="M564" s="5" t="s">
        <v>82</v>
      </c>
      <c r="N564" s="5" t="s">
        <v>82</v>
      </c>
      <c r="O564" s="83"/>
      <c r="P564" s="20">
        <v>1</v>
      </c>
      <c r="Q564" s="143">
        <f t="shared" si="133"/>
        <v>100</v>
      </c>
      <c r="R564" s="21" t="s">
        <v>66</v>
      </c>
      <c r="S564" s="8" t="s">
        <v>232</v>
      </c>
      <c r="T564" s="7" t="s">
        <v>226</v>
      </c>
    </row>
    <row r="565" spans="1:20" ht="28">
      <c r="A565" s="91"/>
      <c r="B565" s="94" t="s">
        <v>1595</v>
      </c>
      <c r="C565" s="5"/>
      <c r="D565" s="5"/>
      <c r="E565" s="132">
        <f t="shared" ref="E565" si="244">$O$571-J565*($O$571-$O$554)</f>
        <v>144.94200000000001</v>
      </c>
      <c r="F565" s="139">
        <f>$O$554-P565*($O$554-$O$540)</f>
        <v>141.75</v>
      </c>
      <c r="G565" s="149" t="s">
        <v>2131</v>
      </c>
      <c r="H565" s="82" t="str">
        <f t="shared" ref="H565" si="245">CONCATENATE(K565," percent up in ",L565," international stage")</f>
        <v>70 percent up in Tithonian international stage</v>
      </c>
      <c r="I565" s="142" t="str">
        <f t="shared" ref="I565" si="246">CONCATENATE(Q565," percent up in ",R565," international stage")</f>
        <v>25 percent up in Berriasian international stage</v>
      </c>
      <c r="J565" s="7">
        <v>0.7</v>
      </c>
      <c r="K565" s="129">
        <f t="shared" ref="K565" si="247">ROUND(J565*100,1)</f>
        <v>70</v>
      </c>
      <c r="L565" s="8" t="s">
        <v>66</v>
      </c>
      <c r="M565" s="5" t="s">
        <v>82</v>
      </c>
      <c r="N565" s="5" t="s">
        <v>82</v>
      </c>
      <c r="O565" s="83"/>
      <c r="P565" s="20">
        <v>0.25</v>
      </c>
      <c r="Q565" s="143">
        <f t="shared" ref="Q565" si="248">ROUND(P565*100,1)</f>
        <v>25</v>
      </c>
      <c r="R565" s="21" t="s">
        <v>65</v>
      </c>
      <c r="S565" s="8" t="s">
        <v>1598</v>
      </c>
    </row>
    <row r="566" spans="1:20" ht="28">
      <c r="A566" s="91"/>
      <c r="B566" s="94" t="s">
        <v>1596</v>
      </c>
      <c r="C566" s="5"/>
      <c r="D566" s="5"/>
      <c r="E566" s="132">
        <f t="shared" ref="E566" si="249">$O$571-J566*($O$571-$O$554)</f>
        <v>149.24</v>
      </c>
      <c r="F566" s="139">
        <f>$O$571-P566*($O$571-$O$554)</f>
        <v>144.94200000000001</v>
      </c>
      <c r="G566" s="149" t="s">
        <v>2132</v>
      </c>
      <c r="H566" s="82" t="str">
        <f t="shared" ref="H566" si="250">CONCATENATE(K566," percent up in ",L566," international stage")</f>
        <v>0 percent up in Tithonian international stage</v>
      </c>
      <c r="I566" s="142" t="str">
        <f t="shared" ref="I566" si="251">CONCATENATE(Q566," percent up in ",R566," international stage")</f>
        <v>70 percent up in Tithonian international stage</v>
      </c>
      <c r="J566" s="7">
        <v>0</v>
      </c>
      <c r="K566" s="129">
        <f t="shared" ref="K566" si="252">ROUND(J566*100,1)</f>
        <v>0</v>
      </c>
      <c r="L566" s="8" t="s">
        <v>66</v>
      </c>
      <c r="M566" s="5" t="s">
        <v>82</v>
      </c>
      <c r="N566" s="5" t="s">
        <v>82</v>
      </c>
      <c r="O566" s="83"/>
      <c r="P566" s="20">
        <v>0.7</v>
      </c>
      <c r="Q566" s="143">
        <f t="shared" ref="Q566" si="253">ROUND(P566*100,1)</f>
        <v>70</v>
      </c>
      <c r="R566" s="21" t="s">
        <v>66</v>
      </c>
      <c r="S566" s="8" t="s">
        <v>1597</v>
      </c>
    </row>
    <row r="567" spans="1:20" ht="28">
      <c r="A567" s="91" t="s">
        <v>769</v>
      </c>
      <c r="B567" s="92" t="s">
        <v>778</v>
      </c>
      <c r="C567" s="5"/>
      <c r="D567" s="5" t="s">
        <v>270</v>
      </c>
      <c r="E567" s="132">
        <f t="shared" si="242"/>
        <v>149.24</v>
      </c>
      <c r="F567" s="139">
        <f>$O$554-P567*($O$554-$O$540)</f>
        <v>139.53396226415094</v>
      </c>
      <c r="G567" s="149"/>
      <c r="H567" s="82" t="str">
        <f t="shared" si="130"/>
        <v>0 percent up in Tithonian international stage</v>
      </c>
      <c r="I567" s="142" t="str">
        <f t="shared" si="131"/>
        <v>66 percent up in Berriasian international stage</v>
      </c>
      <c r="J567" s="7">
        <v>0</v>
      </c>
      <c r="K567" s="129">
        <f t="shared" si="132"/>
        <v>0</v>
      </c>
      <c r="L567" s="8" t="s">
        <v>66</v>
      </c>
      <c r="M567" s="5" t="s">
        <v>82</v>
      </c>
      <c r="N567" s="5" t="s">
        <v>82</v>
      </c>
      <c r="O567" s="83"/>
      <c r="P567" s="20">
        <v>0.66037735849056467</v>
      </c>
      <c r="Q567" s="143">
        <f t="shared" si="133"/>
        <v>66</v>
      </c>
      <c r="R567" s="21" t="s">
        <v>65</v>
      </c>
      <c r="S567" s="8" t="s">
        <v>246</v>
      </c>
      <c r="T567" s="7" t="s">
        <v>226</v>
      </c>
    </row>
    <row r="568" spans="1:20" ht="28">
      <c r="A568" s="91"/>
      <c r="B568" s="92" t="s">
        <v>1959</v>
      </c>
      <c r="C568" s="5"/>
      <c r="D568" s="5"/>
      <c r="E568" s="132">
        <f t="shared" ref="E568:E570" si="254">$O$571-J568*($O$571-$O$554)</f>
        <v>144.94200000000001</v>
      </c>
      <c r="F568" s="139">
        <f>$O$571-P568*($O$571-$O$554)</f>
        <v>143.1</v>
      </c>
      <c r="G568" s="149" t="s">
        <v>2155</v>
      </c>
      <c r="H568" s="82" t="str">
        <f t="shared" ref="H568:H570" si="255">CONCATENATE(K568," percent up in ",L568," international stage")</f>
        <v>70 percent up in Tithonian international stage</v>
      </c>
      <c r="I568" s="142" t="str">
        <f t="shared" ref="I568:I570" si="256">CONCATENATE(Q568," percent up in ",R568," international stage")</f>
        <v>100 percent up in Tithonian international stage</v>
      </c>
      <c r="J568" s="7">
        <v>0.7</v>
      </c>
      <c r="K568" s="129">
        <f t="shared" ref="K568:K570" si="257">ROUND(J568*100,1)</f>
        <v>70</v>
      </c>
      <c r="L568" s="8" t="s">
        <v>66</v>
      </c>
      <c r="M568" s="5"/>
      <c r="O568" s="83"/>
      <c r="P568" s="20">
        <v>1</v>
      </c>
      <c r="Q568" s="143">
        <f t="shared" ref="Q568:Q570" si="258">ROUND(P568*100,1)</f>
        <v>100</v>
      </c>
      <c r="R568" s="21" t="s">
        <v>66</v>
      </c>
      <c r="S568" s="8"/>
    </row>
    <row r="569" spans="1:20" ht="42">
      <c r="A569" s="91"/>
      <c r="B569" s="92" t="s">
        <v>2154</v>
      </c>
      <c r="C569" s="5"/>
      <c r="D569" s="5"/>
      <c r="E569" s="132">
        <f t="shared" ref="E569" si="259">$O$571-J569*($O$571-$O$554)</f>
        <v>147.398</v>
      </c>
      <c r="F569" s="139">
        <f>$O$571-P569*($O$571-$O$554)</f>
        <v>145.249</v>
      </c>
      <c r="G569" s="149" t="s">
        <v>2153</v>
      </c>
      <c r="H569" s="82" t="str">
        <f t="shared" ref="H569" si="260">CONCATENATE(K569," percent up in ",L569," international stage")</f>
        <v>30 percent up in Tithonian international stage</v>
      </c>
      <c r="I569" s="142" t="str">
        <f t="shared" ref="I569" si="261">CONCATENATE(Q569," percent up in ",R569," international stage")</f>
        <v>65 percent up in Tithonian international stage</v>
      </c>
      <c r="J569" s="7">
        <v>0.3</v>
      </c>
      <c r="K569" s="129">
        <f t="shared" ref="K569" si="262">ROUND(J569*100,1)</f>
        <v>30</v>
      </c>
      <c r="L569" s="8" t="s">
        <v>66</v>
      </c>
      <c r="M569" s="5"/>
      <c r="O569" s="83"/>
      <c r="P569" s="20">
        <v>0.65</v>
      </c>
      <c r="Q569" s="143">
        <f t="shared" ref="Q569" si="263">ROUND(P569*100,1)</f>
        <v>65</v>
      </c>
      <c r="R569" s="21" t="s">
        <v>66</v>
      </c>
      <c r="S569" s="8"/>
    </row>
    <row r="570" spans="1:20" ht="28">
      <c r="A570" s="91"/>
      <c r="B570" s="92" t="s">
        <v>1960</v>
      </c>
      <c r="C570" s="5"/>
      <c r="D570" s="5"/>
      <c r="E570" s="132">
        <f t="shared" si="254"/>
        <v>149.24</v>
      </c>
      <c r="F570" s="139">
        <f>$O$571-P570*($O$571-$O$554)</f>
        <v>144.94200000000001</v>
      </c>
      <c r="G570" s="149" t="s">
        <v>2132</v>
      </c>
      <c r="H570" s="82" t="str">
        <f t="shared" si="255"/>
        <v>0 percent up in Tithonian international stage</v>
      </c>
      <c r="I570" s="142" t="str">
        <f t="shared" si="256"/>
        <v>70 percent up in Tithonian international stage</v>
      </c>
      <c r="J570" s="7">
        <v>0</v>
      </c>
      <c r="K570" s="129">
        <f t="shared" si="257"/>
        <v>0</v>
      </c>
      <c r="L570" s="8" t="s">
        <v>66</v>
      </c>
      <c r="M570" s="5"/>
      <c r="O570" s="83"/>
      <c r="P570" s="20">
        <v>0.7</v>
      </c>
      <c r="Q570" s="143">
        <f t="shared" si="258"/>
        <v>70</v>
      </c>
      <c r="R570" s="21" t="s">
        <v>66</v>
      </c>
      <c r="S570" s="8"/>
    </row>
    <row r="571" spans="1:20" ht="28">
      <c r="A571" s="91" t="s">
        <v>769</v>
      </c>
      <c r="B571" s="92" t="s">
        <v>66</v>
      </c>
      <c r="C571" s="134"/>
      <c r="D571" s="134" t="s">
        <v>222</v>
      </c>
      <c r="E571" s="132">
        <f t="shared" si="242"/>
        <v>149.24</v>
      </c>
      <c r="F571" s="139">
        <f>$O$571-P571*($O$571-$O$554)</f>
        <v>143.1</v>
      </c>
      <c r="G571" s="149"/>
      <c r="H571" s="82" t="str">
        <f t="shared" ref="H571:H669" si="264">CONCATENATE(K571," percent up in ",L571," international stage")</f>
        <v>0 percent up in Tithonian international stage</v>
      </c>
      <c r="I571" s="142" t="str">
        <f t="shared" ref="I571:I669" si="265">CONCATENATE(Q571," percent up in ",R571," international stage")</f>
        <v>100 percent up in Tithonian international stage</v>
      </c>
      <c r="J571" s="7">
        <v>0</v>
      </c>
      <c r="K571" s="129">
        <f t="shared" ref="K571:K669" si="266">ROUND(J571*100,1)</f>
        <v>0</v>
      </c>
      <c r="L571" s="8" t="s">
        <v>66</v>
      </c>
      <c r="M571" s="5" t="s">
        <v>224</v>
      </c>
      <c r="N571" s="5" t="s">
        <v>779</v>
      </c>
      <c r="O571" s="83">
        <f>Master_Chronostrat!I62</f>
        <v>149.24</v>
      </c>
      <c r="P571" s="20">
        <v>1</v>
      </c>
      <c r="Q571" s="143">
        <f t="shared" ref="Q571:Q669" si="267">ROUND(P571*100,1)</f>
        <v>100</v>
      </c>
      <c r="R571" s="21" t="s">
        <v>66</v>
      </c>
      <c r="S571" s="8" t="s">
        <v>224</v>
      </c>
      <c r="T571" s="7" t="s">
        <v>226</v>
      </c>
    </row>
    <row r="572" spans="1:20" ht="28">
      <c r="A572" s="91" t="s">
        <v>769</v>
      </c>
      <c r="B572" s="92" t="s">
        <v>780</v>
      </c>
      <c r="C572" s="5"/>
      <c r="D572" s="5" t="s">
        <v>236</v>
      </c>
      <c r="E572" s="132">
        <f t="shared" ref="E572:E578" si="268">$O$578-J572*($O$578-$O$571)</f>
        <v>150.59673469387755</v>
      </c>
      <c r="F572" s="139">
        <f>$O$571-P572*($O$571-$O$554)</f>
        <v>148.31320754716981</v>
      </c>
      <c r="G572" s="149"/>
      <c r="H572" s="82" t="str">
        <f t="shared" si="264"/>
        <v>75.5 percent up in Kimmeridgian international stage</v>
      </c>
      <c r="I572" s="142" t="str">
        <f t="shared" si="265"/>
        <v>15.1 percent up in Tithonian international stage</v>
      </c>
      <c r="J572" s="7">
        <v>0.7551020408163277</v>
      </c>
      <c r="K572" s="129">
        <f t="shared" si="266"/>
        <v>75.5</v>
      </c>
      <c r="L572" s="8" t="s">
        <v>67</v>
      </c>
      <c r="M572" s="5" t="s">
        <v>82</v>
      </c>
      <c r="N572" s="5" t="s">
        <v>82</v>
      </c>
      <c r="O572" s="83"/>
      <c r="P572" s="20">
        <v>0.15094339622641692</v>
      </c>
      <c r="Q572" s="143">
        <f t="shared" si="267"/>
        <v>15.1</v>
      </c>
      <c r="R572" s="21" t="s">
        <v>66</v>
      </c>
      <c r="S572" s="8" t="s">
        <v>246</v>
      </c>
      <c r="T572" s="7" t="s">
        <v>226</v>
      </c>
    </row>
    <row r="573" spans="1:20" ht="42">
      <c r="A573" s="91" t="s">
        <v>769</v>
      </c>
      <c r="B573" s="93" t="s">
        <v>781</v>
      </c>
      <c r="C573" s="5"/>
      <c r="D573" s="5" t="s">
        <v>270</v>
      </c>
      <c r="E573" s="132">
        <f t="shared" si="268"/>
        <v>153.98857142857145</v>
      </c>
      <c r="F573" s="139">
        <f>$O$578-P573*($O$578-$O$571)</f>
        <v>149.24</v>
      </c>
      <c r="G573" s="149"/>
      <c r="H573" s="82" t="str">
        <f t="shared" si="264"/>
        <v>14.3 percent up in Kimmeridgian international stage</v>
      </c>
      <c r="I573" s="142" t="str">
        <f t="shared" si="265"/>
        <v>100 percent up in Kimmeridgian international stage</v>
      </c>
      <c r="J573" s="7">
        <v>0.14285714285714124</v>
      </c>
      <c r="K573" s="129">
        <f t="shared" si="266"/>
        <v>14.3</v>
      </c>
      <c r="L573" s="8" t="s">
        <v>67</v>
      </c>
      <c r="M573" s="5" t="s">
        <v>82</v>
      </c>
      <c r="N573" s="5" t="s">
        <v>82</v>
      </c>
      <c r="O573" s="83"/>
      <c r="P573" s="20">
        <v>1</v>
      </c>
      <c r="Q573" s="143">
        <f t="shared" si="267"/>
        <v>100</v>
      </c>
      <c r="R573" s="21" t="s">
        <v>67</v>
      </c>
      <c r="S573" s="8" t="s">
        <v>272</v>
      </c>
      <c r="T573" s="7" t="s">
        <v>226</v>
      </c>
    </row>
    <row r="574" spans="1:20" ht="28">
      <c r="A574" s="91" t="s">
        <v>769</v>
      </c>
      <c r="B574" s="94" t="s">
        <v>782</v>
      </c>
      <c r="C574" s="5"/>
      <c r="D574" s="5" t="s">
        <v>270</v>
      </c>
      <c r="E574" s="132">
        <f t="shared" si="268"/>
        <v>154.78</v>
      </c>
      <c r="F574" s="139">
        <f>$O$571-P574*($O$571-$O$554)</f>
        <v>143.1</v>
      </c>
      <c r="G574" s="149"/>
      <c r="H574" s="82" t="str">
        <f t="shared" si="264"/>
        <v>0 percent up in Kimmeridgian international stage</v>
      </c>
      <c r="I574" s="142" t="str">
        <f t="shared" si="265"/>
        <v>100 percent up in Tithonian international stage</v>
      </c>
      <c r="J574" s="7">
        <v>0</v>
      </c>
      <c r="K574" s="129">
        <f t="shared" si="266"/>
        <v>0</v>
      </c>
      <c r="L574" s="8" t="s">
        <v>67</v>
      </c>
      <c r="M574" s="5" t="s">
        <v>82</v>
      </c>
      <c r="N574" s="5" t="s">
        <v>82</v>
      </c>
      <c r="O574" s="83"/>
      <c r="P574" s="20">
        <v>1</v>
      </c>
      <c r="Q574" s="143">
        <f t="shared" si="267"/>
        <v>100</v>
      </c>
      <c r="R574" s="21" t="s">
        <v>66</v>
      </c>
      <c r="S574" s="8" t="s">
        <v>232</v>
      </c>
      <c r="T574" s="7" t="s">
        <v>226</v>
      </c>
    </row>
    <row r="575" spans="1:20" ht="42">
      <c r="A575" s="91"/>
      <c r="B575" s="94" t="s">
        <v>1599</v>
      </c>
      <c r="C575" s="5"/>
      <c r="D575" s="5"/>
      <c r="E575" s="132">
        <f t="shared" si="268"/>
        <v>152.01</v>
      </c>
      <c r="F575" s="139">
        <f t="shared" ref="F575:F581" si="269">$O$578-P575*($O$578-$O$571)</f>
        <v>149.24</v>
      </c>
      <c r="G575" s="149" t="s">
        <v>1601</v>
      </c>
      <c r="H575" s="82" t="str">
        <f t="shared" si="264"/>
        <v>50 percent up in Kimmeridgian international stage</v>
      </c>
      <c r="I575" s="142" t="str">
        <f t="shared" si="265"/>
        <v>100 percent up in Kimmeridgian international stage</v>
      </c>
      <c r="J575" s="7">
        <v>0.5</v>
      </c>
      <c r="K575" s="129">
        <f t="shared" ref="K575:K577" si="270">ROUND(J575*100,1)</f>
        <v>50</v>
      </c>
      <c r="L575" s="8" t="s">
        <v>67</v>
      </c>
      <c r="M575" s="5"/>
      <c r="O575" s="83"/>
      <c r="P575" s="20">
        <v>1</v>
      </c>
      <c r="Q575" s="143">
        <f t="shared" ref="Q575:Q577" si="271">ROUND(P575*100,1)</f>
        <v>100</v>
      </c>
      <c r="R575" s="21" t="s">
        <v>67</v>
      </c>
      <c r="S575" s="150" t="s">
        <v>1601</v>
      </c>
    </row>
    <row r="576" spans="1:20" ht="42">
      <c r="A576" s="91"/>
      <c r="B576" s="94" t="s">
        <v>1826</v>
      </c>
      <c r="C576" s="5"/>
      <c r="D576" s="5"/>
      <c r="E576" s="132">
        <f t="shared" ref="E576" si="272">$O$578-J576*($O$578-$O$571)</f>
        <v>152.95179999999999</v>
      </c>
      <c r="F576" s="139">
        <f t="shared" ref="F576" si="273">$O$578-P576*($O$578-$O$571)</f>
        <v>151.12360000000001</v>
      </c>
      <c r="G576" s="150" t="s">
        <v>1828</v>
      </c>
      <c r="H576" s="82" t="str">
        <f t="shared" si="264"/>
        <v>33 percent up in Kimmeridgian international stage</v>
      </c>
      <c r="I576" s="142" t="str">
        <f t="shared" si="265"/>
        <v>66 percent up in Kimmeridgian international stage</v>
      </c>
      <c r="J576" s="7">
        <v>0.33</v>
      </c>
      <c r="K576" s="129">
        <f t="shared" ref="K576" si="274">ROUND(J576*100,1)</f>
        <v>33</v>
      </c>
      <c r="L576" s="8" t="s">
        <v>67</v>
      </c>
      <c r="M576" s="5"/>
      <c r="O576" s="83"/>
      <c r="P576" s="20">
        <v>0.66</v>
      </c>
      <c r="Q576" s="143">
        <f t="shared" ref="Q576" si="275">ROUND(P576*100,1)</f>
        <v>66</v>
      </c>
      <c r="R576" s="21" t="s">
        <v>67</v>
      </c>
      <c r="S576" s="150" t="s">
        <v>1827</v>
      </c>
    </row>
    <row r="577" spans="1:20" ht="34">
      <c r="A577" s="91"/>
      <c r="B577" s="94" t="s">
        <v>1600</v>
      </c>
      <c r="C577" s="5"/>
      <c r="D577" s="5"/>
      <c r="E577" s="132">
        <f t="shared" si="268"/>
        <v>154.78</v>
      </c>
      <c r="F577" s="139">
        <f t="shared" si="269"/>
        <v>152.01</v>
      </c>
      <c r="G577" s="149" t="s">
        <v>1602</v>
      </c>
      <c r="H577" s="82" t="str">
        <f t="shared" ref="H577" si="276">CONCATENATE(K577," percent up in ",L577," international stage")</f>
        <v>0 percent up in Kimmeridgian international stage</v>
      </c>
      <c r="I577" s="142" t="str">
        <f t="shared" ref="I577" si="277">CONCATENATE(Q577," percent up in ",R577," international stage")</f>
        <v>50 percent up in Kimmeridgian international stage</v>
      </c>
      <c r="J577" s="7">
        <v>0</v>
      </c>
      <c r="K577" s="129">
        <f t="shared" si="270"/>
        <v>0</v>
      </c>
      <c r="L577" s="8" t="s">
        <v>67</v>
      </c>
      <c r="M577" s="5"/>
      <c r="O577" s="83"/>
      <c r="P577" s="20">
        <v>0.5</v>
      </c>
      <c r="Q577" s="143">
        <f t="shared" si="271"/>
        <v>50</v>
      </c>
      <c r="R577" s="21" t="s">
        <v>67</v>
      </c>
      <c r="S577" s="150" t="s">
        <v>1602</v>
      </c>
    </row>
    <row r="578" spans="1:20" ht="42">
      <c r="A578" s="91" t="s">
        <v>769</v>
      </c>
      <c r="B578" s="92" t="s">
        <v>67</v>
      </c>
      <c r="C578" s="134"/>
      <c r="D578" s="134" t="s">
        <v>222</v>
      </c>
      <c r="E578" s="132">
        <f t="shared" si="268"/>
        <v>154.78</v>
      </c>
      <c r="F578" s="139">
        <f t="shared" si="269"/>
        <v>149.24</v>
      </c>
      <c r="G578" s="149"/>
      <c r="H578" s="82" t="str">
        <f t="shared" si="264"/>
        <v>0 percent up in Kimmeridgian international stage</v>
      </c>
      <c r="I578" s="142" t="str">
        <f t="shared" si="265"/>
        <v>100 percent up in Kimmeridgian international stage</v>
      </c>
      <c r="J578" s="7">
        <v>0</v>
      </c>
      <c r="K578" s="129">
        <f t="shared" si="266"/>
        <v>0</v>
      </c>
      <c r="L578" s="8" t="s">
        <v>67</v>
      </c>
      <c r="M578" s="5" t="s">
        <v>224</v>
      </c>
      <c r="N578" s="5" t="s">
        <v>783</v>
      </c>
      <c r="O578" s="83">
        <f>Master_Chronostrat!I64</f>
        <v>154.78</v>
      </c>
      <c r="P578" s="20">
        <v>1</v>
      </c>
      <c r="Q578" s="143">
        <f t="shared" si="267"/>
        <v>100</v>
      </c>
      <c r="R578" s="21" t="s">
        <v>67</v>
      </c>
      <c r="S578" s="8" t="s">
        <v>224</v>
      </c>
      <c r="T578" s="7" t="s">
        <v>226</v>
      </c>
    </row>
    <row r="579" spans="1:20" ht="42">
      <c r="A579" s="91" t="s">
        <v>769</v>
      </c>
      <c r="B579" s="92" t="s">
        <v>784</v>
      </c>
      <c r="C579" s="5"/>
      <c r="D579" s="5" t="s">
        <v>270</v>
      </c>
      <c r="E579" s="132">
        <f t="shared" ref="E579:E596" si="278">$O$596-J579*($O$596-$O$578)</f>
        <v>155.14818181818183</v>
      </c>
      <c r="F579" s="139">
        <f t="shared" si="269"/>
        <v>153.98857142857145</v>
      </c>
      <c r="G579" s="149"/>
      <c r="H579" s="82" t="str">
        <f t="shared" si="264"/>
        <v>94.5 percent up in Oxfordian international stage</v>
      </c>
      <c r="I579" s="142" t="str">
        <f t="shared" si="265"/>
        <v>14.3 percent up in Kimmeridgian international stage</v>
      </c>
      <c r="J579" s="7">
        <v>0.94545454545454344</v>
      </c>
      <c r="K579" s="129">
        <f t="shared" si="266"/>
        <v>94.5</v>
      </c>
      <c r="L579" s="8" t="s">
        <v>68</v>
      </c>
      <c r="M579" s="5" t="s">
        <v>82</v>
      </c>
      <c r="N579" s="5" t="s">
        <v>82</v>
      </c>
      <c r="O579" s="83"/>
      <c r="P579" s="20">
        <v>0.14285714285714121</v>
      </c>
      <c r="Q579" s="143">
        <f t="shared" si="267"/>
        <v>14.3</v>
      </c>
      <c r="R579" s="21" t="s">
        <v>67</v>
      </c>
      <c r="S579" s="8" t="s">
        <v>246</v>
      </c>
      <c r="T579" s="7" t="s">
        <v>226</v>
      </c>
    </row>
    <row r="580" spans="1:20" ht="42">
      <c r="A580" s="91" t="s">
        <v>769</v>
      </c>
      <c r="B580" s="92" t="s">
        <v>785</v>
      </c>
      <c r="C580" s="5"/>
      <c r="D580" s="5" t="s">
        <v>236</v>
      </c>
      <c r="E580" s="132">
        <f t="shared" si="278"/>
        <v>155.14818181818183</v>
      </c>
      <c r="F580" s="139">
        <f t="shared" si="269"/>
        <v>150.59673469387755</v>
      </c>
      <c r="G580" s="149"/>
      <c r="H580" s="82" t="str">
        <f t="shared" si="264"/>
        <v>94.5 percent up in Oxfordian international stage</v>
      </c>
      <c r="I580" s="142" t="str">
        <f t="shared" si="265"/>
        <v>75.5 percent up in Kimmeridgian international stage</v>
      </c>
      <c r="J580" s="7">
        <v>0.94545454545454344</v>
      </c>
      <c r="K580" s="129">
        <f t="shared" si="266"/>
        <v>94.5</v>
      </c>
      <c r="L580" s="8" t="s">
        <v>68</v>
      </c>
      <c r="M580" s="5" t="s">
        <v>82</v>
      </c>
      <c r="N580" s="5" t="s">
        <v>82</v>
      </c>
      <c r="O580" s="83"/>
      <c r="P580" s="20">
        <v>0.7551020408163277</v>
      </c>
      <c r="Q580" s="143">
        <f t="shared" si="267"/>
        <v>75.5</v>
      </c>
      <c r="R580" s="21" t="s">
        <v>67</v>
      </c>
      <c r="S580" s="8" t="s">
        <v>246</v>
      </c>
      <c r="T580" s="7" t="s">
        <v>226</v>
      </c>
    </row>
    <row r="581" spans="1:20" ht="28">
      <c r="A581" s="91" t="s">
        <v>769</v>
      </c>
      <c r="B581" s="92" t="s">
        <v>786</v>
      </c>
      <c r="C581" s="5"/>
      <c r="D581" s="5" t="s">
        <v>270</v>
      </c>
      <c r="E581" s="132">
        <f t="shared" si="278"/>
        <v>155.14818181818183</v>
      </c>
      <c r="F581" s="139">
        <f t="shared" si="269"/>
        <v>151.95346938775509</v>
      </c>
      <c r="G581" s="149"/>
      <c r="H581" s="82" t="str">
        <f t="shared" si="264"/>
        <v>94.5 percent up in Oxfordian international stage</v>
      </c>
      <c r="I581" s="142" t="str">
        <f t="shared" si="265"/>
        <v>51 percent up in Kimmeridgian international stage</v>
      </c>
      <c r="J581" s="7">
        <v>0.94545454545454344</v>
      </c>
      <c r="K581" s="129">
        <f t="shared" si="266"/>
        <v>94.5</v>
      </c>
      <c r="L581" s="8" t="s">
        <v>68</v>
      </c>
      <c r="M581" s="5" t="s">
        <v>82</v>
      </c>
      <c r="N581" s="5" t="s">
        <v>82</v>
      </c>
      <c r="O581" s="83"/>
      <c r="P581" s="20">
        <v>0.5102040816326554</v>
      </c>
      <c r="Q581" s="143">
        <f t="shared" si="267"/>
        <v>51</v>
      </c>
      <c r="R581" s="21" t="s">
        <v>67</v>
      </c>
      <c r="S581" s="8" t="s">
        <v>246</v>
      </c>
      <c r="T581" s="7" t="s">
        <v>226</v>
      </c>
    </row>
    <row r="582" spans="1:20" ht="28">
      <c r="A582" s="91" t="s">
        <v>769</v>
      </c>
      <c r="B582" s="92" t="s">
        <v>787</v>
      </c>
      <c r="C582" s="5"/>
      <c r="D582" s="5" t="s">
        <v>270</v>
      </c>
      <c r="E582" s="132">
        <f t="shared" si="278"/>
        <v>156.37545454545457</v>
      </c>
      <c r="F582" s="139">
        <f>$O$596-P582*($O$596-$O$578)</f>
        <v>155.14818181818183</v>
      </c>
      <c r="G582" s="149"/>
      <c r="H582" s="82" t="str">
        <f t="shared" si="264"/>
        <v>76.4 percent up in Oxfordian international stage</v>
      </c>
      <c r="I582" s="142" t="str">
        <f t="shared" si="265"/>
        <v>94.5 percent up in Oxfordian international stage</v>
      </c>
      <c r="J582" s="7">
        <v>0.76363636363636156</v>
      </c>
      <c r="K582" s="129">
        <f t="shared" si="266"/>
        <v>76.400000000000006</v>
      </c>
      <c r="L582" s="8" t="s">
        <v>68</v>
      </c>
      <c r="M582" s="5" t="s">
        <v>82</v>
      </c>
      <c r="N582" s="5" t="s">
        <v>82</v>
      </c>
      <c r="O582" s="83"/>
      <c r="P582" s="20">
        <v>0.94545454545454344</v>
      </c>
      <c r="Q582" s="143">
        <f t="shared" si="267"/>
        <v>94.5</v>
      </c>
      <c r="R582" s="21" t="s">
        <v>68</v>
      </c>
      <c r="S582" s="8" t="s">
        <v>259</v>
      </c>
      <c r="T582" s="7">
        <v>0.18181818181818182</v>
      </c>
    </row>
    <row r="583" spans="1:20" ht="28">
      <c r="A583" s="91" t="s">
        <v>769</v>
      </c>
      <c r="B583" s="92" t="s">
        <v>788</v>
      </c>
      <c r="C583" s="5"/>
      <c r="D583" s="5" t="s">
        <v>270</v>
      </c>
      <c r="E583" s="132">
        <f t="shared" si="278"/>
        <v>158.95272727272729</v>
      </c>
      <c r="F583" s="139">
        <f>$O$596-P583*($O$596-$O$578)</f>
        <v>156.37545454545457</v>
      </c>
      <c r="G583" s="149"/>
      <c r="H583" s="82" t="str">
        <f t="shared" si="264"/>
        <v>38.2 percent up in Oxfordian international stage</v>
      </c>
      <c r="I583" s="142" t="str">
        <f t="shared" si="265"/>
        <v>76.4 percent up in Oxfordian international stage</v>
      </c>
      <c r="J583" s="7">
        <v>0.38181818181818084</v>
      </c>
      <c r="K583" s="129">
        <f t="shared" si="266"/>
        <v>38.200000000000003</v>
      </c>
      <c r="L583" s="8" t="s">
        <v>68</v>
      </c>
      <c r="M583" s="5" t="s">
        <v>82</v>
      </c>
      <c r="N583" s="5" t="s">
        <v>82</v>
      </c>
      <c r="O583" s="83"/>
      <c r="P583" s="20">
        <v>0.76363636363636156</v>
      </c>
      <c r="Q583" s="143">
        <f t="shared" si="267"/>
        <v>76.400000000000006</v>
      </c>
      <c r="R583" s="21" t="s">
        <v>68</v>
      </c>
      <c r="S583" s="8" t="s">
        <v>259</v>
      </c>
      <c r="T583" s="7">
        <v>0.38181818181818367</v>
      </c>
    </row>
    <row r="584" spans="1:20" ht="28">
      <c r="A584" s="91" t="s">
        <v>769</v>
      </c>
      <c r="B584" s="93" t="s">
        <v>789</v>
      </c>
      <c r="C584" s="5"/>
      <c r="D584" s="5" t="s">
        <v>270</v>
      </c>
      <c r="E584" s="132">
        <f t="shared" si="278"/>
        <v>161.53</v>
      </c>
      <c r="F584" s="139">
        <f>$O$596-P584*($O$596-$O$578)</f>
        <v>158.98954545454546</v>
      </c>
      <c r="G584" s="149"/>
      <c r="H584" s="82" t="str">
        <f t="shared" si="264"/>
        <v>0 percent up in Oxfordian international stage</v>
      </c>
      <c r="I584" s="142" t="str">
        <f t="shared" si="265"/>
        <v>37.6 percent up in Oxfordian international stage</v>
      </c>
      <c r="J584" s="7">
        <v>0</v>
      </c>
      <c r="K584" s="129">
        <f t="shared" si="266"/>
        <v>0</v>
      </c>
      <c r="L584" s="8" t="s">
        <v>68</v>
      </c>
      <c r="M584" s="5" t="s">
        <v>82</v>
      </c>
      <c r="N584" s="5" t="s">
        <v>82</v>
      </c>
      <c r="O584" s="83"/>
      <c r="P584" s="20">
        <v>0.37636363636363512</v>
      </c>
      <c r="Q584" s="143">
        <f t="shared" si="267"/>
        <v>37.6</v>
      </c>
      <c r="R584" s="21" t="s">
        <v>68</v>
      </c>
      <c r="S584" s="8" t="s">
        <v>230</v>
      </c>
      <c r="T584" s="7" t="s">
        <v>226</v>
      </c>
    </row>
    <row r="585" spans="1:20" ht="28">
      <c r="A585" s="91" t="s">
        <v>769</v>
      </c>
      <c r="B585" s="94" t="s">
        <v>790</v>
      </c>
      <c r="C585" s="5"/>
      <c r="D585" s="5" t="s">
        <v>270</v>
      </c>
      <c r="E585" s="132">
        <f t="shared" si="278"/>
        <v>161.53</v>
      </c>
      <c r="F585" s="139">
        <f>$O$596-P585*($O$596-$O$578)</f>
        <v>154.78</v>
      </c>
      <c r="G585" s="149"/>
      <c r="H585" s="82" t="str">
        <f t="shared" si="264"/>
        <v>0 percent up in Oxfordian international stage</v>
      </c>
      <c r="I585" s="142" t="str">
        <f t="shared" si="265"/>
        <v>100 percent up in Oxfordian international stage</v>
      </c>
      <c r="J585" s="7">
        <v>0</v>
      </c>
      <c r="K585" s="129">
        <f t="shared" si="266"/>
        <v>0</v>
      </c>
      <c r="L585" s="8" t="s">
        <v>68</v>
      </c>
      <c r="M585" s="5" t="s">
        <v>82</v>
      </c>
      <c r="N585" s="5" t="s">
        <v>82</v>
      </c>
      <c r="O585" s="83"/>
      <c r="P585" s="20">
        <v>1</v>
      </c>
      <c r="Q585" s="143">
        <f t="shared" si="267"/>
        <v>100</v>
      </c>
      <c r="R585" s="21" t="s">
        <v>68</v>
      </c>
      <c r="S585" s="8" t="s">
        <v>232</v>
      </c>
      <c r="T585" s="7" t="s">
        <v>226</v>
      </c>
    </row>
    <row r="586" spans="1:20" ht="28">
      <c r="A586" s="91" t="s">
        <v>769</v>
      </c>
      <c r="B586" s="92" t="s">
        <v>791</v>
      </c>
      <c r="C586" s="5"/>
      <c r="D586" s="5" t="s">
        <v>82</v>
      </c>
      <c r="E586" s="132">
        <f t="shared" si="278"/>
        <v>161.53</v>
      </c>
      <c r="F586" s="139">
        <f>$O$571-P586*($O$571-$O$554)</f>
        <v>143.1</v>
      </c>
      <c r="G586" s="149"/>
      <c r="H586" s="82" t="str">
        <f t="shared" si="264"/>
        <v>0 percent up in Oxfordian international stage</v>
      </c>
      <c r="I586" s="142" t="str">
        <f t="shared" si="265"/>
        <v>100 percent up in Tithonian international stage</v>
      </c>
      <c r="J586" s="7">
        <v>0</v>
      </c>
      <c r="K586" s="129">
        <f t="shared" si="266"/>
        <v>0</v>
      </c>
      <c r="L586" s="8" t="s">
        <v>68</v>
      </c>
      <c r="M586" s="5" t="s">
        <v>82</v>
      </c>
      <c r="N586" s="5" t="s">
        <v>82</v>
      </c>
      <c r="O586" s="83"/>
      <c r="P586" s="20">
        <v>1</v>
      </c>
      <c r="Q586" s="143">
        <f t="shared" si="267"/>
        <v>100</v>
      </c>
      <c r="R586" s="21" t="s">
        <v>66</v>
      </c>
      <c r="S586" s="8" t="s">
        <v>232</v>
      </c>
      <c r="T586" s="7" t="s">
        <v>226</v>
      </c>
    </row>
    <row r="587" spans="1:20" ht="28">
      <c r="A587" s="91" t="s">
        <v>769</v>
      </c>
      <c r="B587" s="93" t="s">
        <v>792</v>
      </c>
      <c r="C587" s="5"/>
      <c r="D587" s="5" t="s">
        <v>270</v>
      </c>
      <c r="E587" s="132">
        <f t="shared" si="278"/>
        <v>161.53</v>
      </c>
      <c r="F587" s="139">
        <f>$O$596-P587*($O$596-$O$578)</f>
        <v>158.95272727272729</v>
      </c>
      <c r="G587" s="149"/>
      <c r="H587" s="82" t="str">
        <f t="shared" si="264"/>
        <v>0 percent up in Oxfordian international stage</v>
      </c>
      <c r="I587" s="142" t="str">
        <f t="shared" si="265"/>
        <v>38.2 percent up in Oxfordian international stage</v>
      </c>
      <c r="J587" s="7">
        <v>0</v>
      </c>
      <c r="K587" s="129">
        <f t="shared" si="266"/>
        <v>0</v>
      </c>
      <c r="L587" s="8" t="s">
        <v>68</v>
      </c>
      <c r="M587" s="5" t="s">
        <v>82</v>
      </c>
      <c r="N587" s="5" t="s">
        <v>82</v>
      </c>
      <c r="O587" s="83"/>
      <c r="P587" s="20">
        <v>0.38181818181818078</v>
      </c>
      <c r="Q587" s="143">
        <f t="shared" si="267"/>
        <v>38.200000000000003</v>
      </c>
      <c r="R587" s="21" t="s">
        <v>68</v>
      </c>
      <c r="S587" s="8" t="s">
        <v>230</v>
      </c>
      <c r="T587" s="7" t="s">
        <v>226</v>
      </c>
    </row>
    <row r="588" spans="1:20" ht="28">
      <c r="A588" s="91" t="s">
        <v>769</v>
      </c>
      <c r="B588" s="92" t="s">
        <v>793</v>
      </c>
      <c r="C588" s="5"/>
      <c r="D588" s="5" t="s">
        <v>248</v>
      </c>
      <c r="E588" s="132">
        <f t="shared" si="278"/>
        <v>161.53</v>
      </c>
      <c r="F588" s="139">
        <f>$O$571-P588*($O$571-$O$554)</f>
        <v>147.15471698113208</v>
      </c>
      <c r="G588" s="149"/>
      <c r="H588" s="82" t="str">
        <f t="shared" si="264"/>
        <v>0 percent up in Oxfordian international stage</v>
      </c>
      <c r="I588" s="142" t="str">
        <f t="shared" si="265"/>
        <v>34 percent up in Tithonian international stage</v>
      </c>
      <c r="J588" s="7">
        <v>0</v>
      </c>
      <c r="K588" s="129">
        <f t="shared" si="266"/>
        <v>0</v>
      </c>
      <c r="L588" s="8" t="s">
        <v>68</v>
      </c>
      <c r="M588" s="5" t="s">
        <v>82</v>
      </c>
      <c r="N588" s="5" t="s">
        <v>82</v>
      </c>
      <c r="O588" s="83"/>
      <c r="P588" s="20">
        <v>0.33962264150943539</v>
      </c>
      <c r="Q588" s="143">
        <f t="shared" si="267"/>
        <v>34</v>
      </c>
      <c r="R588" s="21" t="s">
        <v>66</v>
      </c>
      <c r="S588" s="8" t="s">
        <v>246</v>
      </c>
      <c r="T588" s="7" t="s">
        <v>226</v>
      </c>
    </row>
    <row r="589" spans="1:20" ht="28">
      <c r="A589" s="91" t="s">
        <v>769</v>
      </c>
      <c r="B589" s="93" t="s">
        <v>794</v>
      </c>
      <c r="C589" s="5"/>
      <c r="D589" s="5" t="s">
        <v>270</v>
      </c>
      <c r="E589" s="132">
        <f t="shared" si="278"/>
        <v>161.53</v>
      </c>
      <c r="F589" s="139">
        <f>$O$596-P589*($O$596-$O$578)</f>
        <v>158.98954545454546</v>
      </c>
      <c r="G589" s="149"/>
      <c r="H589" s="82" t="str">
        <f t="shared" si="264"/>
        <v>0 percent up in Oxfordian international stage</v>
      </c>
      <c r="I589" s="142" t="str">
        <f t="shared" si="265"/>
        <v>37.6 percent up in Oxfordian international stage</v>
      </c>
      <c r="J589" s="7">
        <v>0</v>
      </c>
      <c r="K589" s="129">
        <f t="shared" si="266"/>
        <v>0</v>
      </c>
      <c r="L589" s="8" t="s">
        <v>68</v>
      </c>
      <c r="M589" s="5" t="s">
        <v>82</v>
      </c>
      <c r="N589" s="5" t="s">
        <v>82</v>
      </c>
      <c r="O589" s="83"/>
      <c r="P589" s="20">
        <v>0.37636363636363512</v>
      </c>
      <c r="Q589" s="143">
        <f t="shared" si="267"/>
        <v>37.6</v>
      </c>
      <c r="R589" s="21" t="s">
        <v>68</v>
      </c>
      <c r="S589" s="8" t="s">
        <v>230</v>
      </c>
      <c r="T589" s="7" t="s">
        <v>226</v>
      </c>
    </row>
    <row r="590" spans="1:20" ht="28">
      <c r="A590" s="91" t="s">
        <v>769</v>
      </c>
      <c r="B590" s="92" t="s">
        <v>795</v>
      </c>
      <c r="C590" s="5"/>
      <c r="D590" s="5" t="s">
        <v>82</v>
      </c>
      <c r="E590" s="132">
        <f t="shared" si="278"/>
        <v>161.53</v>
      </c>
      <c r="F590" s="139">
        <f>$O$571-P590*($O$571-$O$554)</f>
        <v>143.1</v>
      </c>
      <c r="G590" s="149"/>
      <c r="H590" s="82" t="str">
        <f t="shared" si="264"/>
        <v>0 percent up in Oxfordian international stage</v>
      </c>
      <c r="I590" s="142" t="str">
        <f t="shared" si="265"/>
        <v>100 percent up in Tithonian international stage</v>
      </c>
      <c r="J590" s="7">
        <v>0</v>
      </c>
      <c r="K590" s="129">
        <f t="shared" si="266"/>
        <v>0</v>
      </c>
      <c r="L590" s="8" t="s">
        <v>68</v>
      </c>
      <c r="M590" s="5" t="s">
        <v>82</v>
      </c>
      <c r="N590" s="5" t="s">
        <v>82</v>
      </c>
      <c r="O590" s="83"/>
      <c r="P590" s="20">
        <v>1</v>
      </c>
      <c r="Q590" s="143">
        <f t="shared" si="267"/>
        <v>100</v>
      </c>
      <c r="R590" s="21" t="s">
        <v>66</v>
      </c>
      <c r="S590" s="8" t="s">
        <v>232</v>
      </c>
      <c r="T590" s="7" t="s">
        <v>226</v>
      </c>
    </row>
    <row r="591" spans="1:20" ht="28">
      <c r="A591" s="91" t="s">
        <v>769</v>
      </c>
      <c r="B591" s="92" t="s">
        <v>796</v>
      </c>
      <c r="C591" s="5"/>
      <c r="D591" s="5" t="s">
        <v>557</v>
      </c>
      <c r="E591" s="132">
        <f t="shared" si="278"/>
        <v>161.53</v>
      </c>
      <c r="F591" s="139">
        <f>$O$571-P591*($O$571-$O$554)</f>
        <v>143.1</v>
      </c>
      <c r="G591" s="149"/>
      <c r="H591" s="82" t="str">
        <f t="shared" si="264"/>
        <v>0 percent up in Oxfordian international stage</v>
      </c>
      <c r="I591" s="142" t="str">
        <f t="shared" si="265"/>
        <v>100 percent up in Tithonian international stage</v>
      </c>
      <c r="J591" s="7">
        <v>0</v>
      </c>
      <c r="K591" s="129">
        <f t="shared" si="266"/>
        <v>0</v>
      </c>
      <c r="L591" s="8" t="s">
        <v>68</v>
      </c>
      <c r="M591" s="5" t="s">
        <v>82</v>
      </c>
      <c r="N591" s="5" t="s">
        <v>82</v>
      </c>
      <c r="O591" s="83"/>
      <c r="P591" s="20">
        <v>1</v>
      </c>
      <c r="Q591" s="143">
        <f t="shared" si="267"/>
        <v>100</v>
      </c>
      <c r="R591" s="21" t="s">
        <v>66</v>
      </c>
      <c r="S591" s="8" t="s">
        <v>232</v>
      </c>
      <c r="T591" s="7" t="s">
        <v>226</v>
      </c>
    </row>
    <row r="592" spans="1:20" ht="42">
      <c r="A592" s="91"/>
      <c r="B592" s="92" t="s">
        <v>1605</v>
      </c>
      <c r="C592" s="5"/>
      <c r="D592" s="5"/>
      <c r="E592" s="132">
        <f t="shared" ref="E592:E594" si="279">$O$596-J592*($O$596-$O$578)</f>
        <v>158.155</v>
      </c>
      <c r="F592" s="139">
        <f>$O$596-P592*($O$596-$O$578)</f>
        <v>154.78</v>
      </c>
      <c r="G592" s="149" t="s">
        <v>1603</v>
      </c>
      <c r="H592" s="82" t="str">
        <f t="shared" ref="H592:H594" si="280">CONCATENATE(K592," percent up in ",L592," international stage")</f>
        <v>50 percent up in Oxfordian international stage</v>
      </c>
      <c r="I592" s="142" t="str">
        <f t="shared" ref="I592:I594" si="281">CONCATENATE(Q592," percent up in ",R592," international stage")</f>
        <v>100 percent up in Oxfordian international stage</v>
      </c>
      <c r="J592" s="7">
        <v>0.5</v>
      </c>
      <c r="K592" s="129">
        <f t="shared" ref="K592:K594" si="282">ROUND(J592*100,1)</f>
        <v>50</v>
      </c>
      <c r="L592" s="8" t="s">
        <v>68</v>
      </c>
      <c r="M592" s="5" t="s">
        <v>82</v>
      </c>
      <c r="N592" s="5" t="s">
        <v>82</v>
      </c>
      <c r="O592" s="83"/>
      <c r="P592" s="20">
        <v>1</v>
      </c>
      <c r="Q592" s="143">
        <f t="shared" ref="Q592:Q594" si="283">ROUND(P592*100,1)</f>
        <v>100</v>
      </c>
      <c r="R592" s="21" t="s">
        <v>68</v>
      </c>
      <c r="S592" s="150" t="s">
        <v>1601</v>
      </c>
    </row>
    <row r="593" spans="1:20" ht="42">
      <c r="A593" s="91"/>
      <c r="B593" s="92" t="s">
        <v>1830</v>
      </c>
      <c r="C593" s="5"/>
      <c r="D593" s="5"/>
      <c r="E593" s="132">
        <f t="shared" ref="E593" si="284">$O$578-J593*($O$578-$O$571)</f>
        <v>152.95179999999999</v>
      </c>
      <c r="F593" s="139">
        <f t="shared" ref="F593" si="285">$O$578-P593*($O$578-$O$571)</f>
        <v>151.12360000000001</v>
      </c>
      <c r="G593" s="150" t="s">
        <v>1829</v>
      </c>
      <c r="H593" s="82" t="str">
        <f t="shared" ref="H593" si="286">CONCATENATE(K593," percent up in ",L593," international stage")</f>
        <v>33 percent up in Oxfordian international stage</v>
      </c>
      <c r="I593" s="142" t="str">
        <f t="shared" ref="I593" si="287">CONCATENATE(Q593," percent up in ",R593," international stage")</f>
        <v>66 percent up in Oxfordian international stage</v>
      </c>
      <c r="J593" s="7">
        <v>0.33</v>
      </c>
      <c r="K593" s="129">
        <f t="shared" ref="K593" si="288">ROUND(J593*100,1)</f>
        <v>33</v>
      </c>
      <c r="L593" s="8" t="s">
        <v>68</v>
      </c>
      <c r="M593" s="5" t="s">
        <v>82</v>
      </c>
      <c r="N593" s="5" t="s">
        <v>82</v>
      </c>
      <c r="O593" s="83"/>
      <c r="P593" s="20">
        <v>0.66</v>
      </c>
      <c r="Q593" s="143">
        <f t="shared" ref="Q593" si="289">ROUND(P593*100,1)</f>
        <v>66</v>
      </c>
      <c r="R593" s="21" t="s">
        <v>68</v>
      </c>
      <c r="S593" s="150" t="s">
        <v>1827</v>
      </c>
    </row>
    <row r="594" spans="1:20" ht="42">
      <c r="A594" s="91"/>
      <c r="B594" s="92" t="s">
        <v>1606</v>
      </c>
      <c r="C594" s="5"/>
      <c r="D594" s="5"/>
      <c r="E594" s="132">
        <f t="shared" si="279"/>
        <v>161.53</v>
      </c>
      <c r="F594" s="139">
        <f>$O$596-P594*($O$596-$O$578)</f>
        <v>158.155</v>
      </c>
      <c r="G594" s="149" t="s">
        <v>1604</v>
      </c>
      <c r="H594" s="82" t="str">
        <f t="shared" si="280"/>
        <v>0 percent up in Oxfordian international stage</v>
      </c>
      <c r="I594" s="142" t="str">
        <f t="shared" si="281"/>
        <v>50 percent up in Oxfordian international stage</v>
      </c>
      <c r="J594" s="7">
        <v>0</v>
      </c>
      <c r="K594" s="129">
        <f t="shared" si="282"/>
        <v>0</v>
      </c>
      <c r="L594" s="8" t="s">
        <v>68</v>
      </c>
      <c r="M594" s="5" t="s">
        <v>82</v>
      </c>
      <c r="N594" s="5" t="s">
        <v>82</v>
      </c>
      <c r="O594" s="83"/>
      <c r="P594" s="20">
        <v>0.5</v>
      </c>
      <c r="Q594" s="143">
        <f t="shared" si="283"/>
        <v>50</v>
      </c>
      <c r="R594" s="21" t="s">
        <v>68</v>
      </c>
      <c r="S594" s="150" t="s">
        <v>1602</v>
      </c>
    </row>
    <row r="595" spans="1:20" ht="28">
      <c r="A595" s="91" t="s">
        <v>769</v>
      </c>
      <c r="B595" s="92" t="s">
        <v>68</v>
      </c>
      <c r="C595" s="134"/>
      <c r="D595" s="134" t="s">
        <v>222</v>
      </c>
      <c r="E595" s="132">
        <f t="shared" si="278"/>
        <v>161.53</v>
      </c>
      <c r="F595" s="139">
        <f>$O$596-P595*($O$596-$O$578)</f>
        <v>154.78</v>
      </c>
      <c r="G595" s="149"/>
      <c r="H595" s="82" t="str">
        <f t="shared" si="264"/>
        <v>0 percent up in Oxfordian international stage</v>
      </c>
      <c r="I595" s="142" t="str">
        <f t="shared" si="265"/>
        <v>100 percent up in Oxfordian international stage</v>
      </c>
      <c r="J595" s="7">
        <v>0</v>
      </c>
      <c r="K595" s="129">
        <f t="shared" si="266"/>
        <v>0</v>
      </c>
      <c r="L595" s="8" t="s">
        <v>68</v>
      </c>
      <c r="M595" s="5" t="s">
        <v>224</v>
      </c>
      <c r="N595" s="5" t="s">
        <v>797</v>
      </c>
      <c r="O595" s="83">
        <f>Master_Chronostrat!I67</f>
        <v>161.53</v>
      </c>
      <c r="P595" s="20">
        <v>1</v>
      </c>
      <c r="Q595" s="143">
        <f t="shared" si="267"/>
        <v>100</v>
      </c>
      <c r="R595" s="21" t="s">
        <v>68</v>
      </c>
      <c r="S595" s="8" t="s">
        <v>224</v>
      </c>
      <c r="T595" s="7" t="s">
        <v>226</v>
      </c>
    </row>
    <row r="596" spans="1:20" ht="28">
      <c r="A596" s="91" t="s">
        <v>769</v>
      </c>
      <c r="B596" s="92" t="s">
        <v>798</v>
      </c>
      <c r="C596" s="134"/>
      <c r="D596" s="134" t="s">
        <v>222</v>
      </c>
      <c r="E596" s="132">
        <f t="shared" si="278"/>
        <v>161.53</v>
      </c>
      <c r="F596" s="139">
        <f>$O$571-P596*($O$571-$O$554)</f>
        <v>143.1</v>
      </c>
      <c r="G596" s="149"/>
      <c r="H596" s="82" t="str">
        <f t="shared" si="264"/>
        <v>0 percent up in Oxfordian international stage</v>
      </c>
      <c r="I596" s="142" t="str">
        <f t="shared" si="265"/>
        <v>100 percent up in Tithonian international stage</v>
      </c>
      <c r="J596" s="7">
        <v>0</v>
      </c>
      <c r="K596" s="129">
        <f t="shared" si="266"/>
        <v>0</v>
      </c>
      <c r="L596" s="8" t="s">
        <v>68</v>
      </c>
      <c r="M596" s="5" t="s">
        <v>224</v>
      </c>
      <c r="N596" s="5" t="s">
        <v>799</v>
      </c>
      <c r="O596" s="83">
        <f>Master_Chronostrat!I67</f>
        <v>161.53</v>
      </c>
      <c r="P596" s="20">
        <v>1</v>
      </c>
      <c r="Q596" s="143">
        <f t="shared" si="267"/>
        <v>100</v>
      </c>
      <c r="R596" s="21" t="s">
        <v>66</v>
      </c>
      <c r="S596" s="8" t="s">
        <v>239</v>
      </c>
      <c r="T596" s="7" t="s">
        <v>226</v>
      </c>
    </row>
    <row r="597" spans="1:20" ht="28">
      <c r="A597" s="91" t="s">
        <v>769</v>
      </c>
      <c r="B597" s="92" t="s">
        <v>800</v>
      </c>
      <c r="C597" s="5"/>
      <c r="D597" s="5" t="s">
        <v>82</v>
      </c>
      <c r="E597" s="132">
        <f>$O$601-J597*($O$601-$O$596)</f>
        <v>165.29</v>
      </c>
      <c r="F597" s="139">
        <f t="shared" ref="F597:F602" si="290">$O$601-P597*($O$601-$O$596)</f>
        <v>161.53</v>
      </c>
      <c r="G597" s="149"/>
      <c r="H597" s="82" t="str">
        <f t="shared" si="264"/>
        <v>0 percent up in Callovian international stage</v>
      </c>
      <c r="I597" s="142" t="str">
        <f t="shared" si="265"/>
        <v>100 percent up in Callovian international stage</v>
      </c>
      <c r="J597" s="7">
        <v>0</v>
      </c>
      <c r="K597" s="129">
        <f t="shared" si="266"/>
        <v>0</v>
      </c>
      <c r="L597" s="8" t="s">
        <v>69</v>
      </c>
      <c r="M597" s="5" t="s">
        <v>82</v>
      </c>
      <c r="N597" s="5" t="s">
        <v>82</v>
      </c>
      <c r="O597" s="83"/>
      <c r="P597" s="20">
        <v>1</v>
      </c>
      <c r="Q597" s="143">
        <f t="shared" si="267"/>
        <v>100</v>
      </c>
      <c r="R597" s="21" t="s">
        <v>69</v>
      </c>
      <c r="S597" s="8" t="s">
        <v>232</v>
      </c>
      <c r="T597" s="7" t="s">
        <v>226</v>
      </c>
    </row>
    <row r="598" spans="1:20" ht="28">
      <c r="A598" s="91"/>
      <c r="B598" s="92" t="s">
        <v>1608</v>
      </c>
      <c r="C598" s="5"/>
      <c r="D598" s="5"/>
      <c r="E598" s="132">
        <f>$O$601-J598*($O$601-$O$596)</f>
        <v>162.65799999999999</v>
      </c>
      <c r="F598" s="139">
        <f t="shared" si="290"/>
        <v>161.53</v>
      </c>
      <c r="G598" s="149" t="s">
        <v>1611</v>
      </c>
      <c r="H598" s="82" t="str">
        <f t="shared" ref="H598:H600" si="291">CONCATENATE(K598," percent up in ",L598," international stage")</f>
        <v>70 percent up in Callovian international stage</v>
      </c>
      <c r="I598" s="142" t="str">
        <f t="shared" ref="I598:I600" si="292">CONCATENATE(Q598," percent up in ",R598," international stage")</f>
        <v>100 percent up in Callovian international stage</v>
      </c>
      <c r="J598" s="7">
        <v>0.7</v>
      </c>
      <c r="K598" s="129">
        <f t="shared" ref="K598:K600" si="293">ROUND(J598*100,1)</f>
        <v>70</v>
      </c>
      <c r="L598" s="8" t="s">
        <v>69</v>
      </c>
      <c r="M598" s="5" t="s">
        <v>82</v>
      </c>
      <c r="N598" s="5" t="s">
        <v>82</v>
      </c>
      <c r="O598" s="83"/>
      <c r="P598" s="20">
        <v>1</v>
      </c>
      <c r="Q598" s="143">
        <f t="shared" ref="Q598:Q600" si="294">ROUND(P598*100,1)</f>
        <v>100</v>
      </c>
      <c r="R598" s="21" t="s">
        <v>69</v>
      </c>
      <c r="S598" s="150" t="s">
        <v>1616</v>
      </c>
    </row>
    <row r="599" spans="1:20" ht="28">
      <c r="A599" s="91"/>
      <c r="B599" s="92" t="s">
        <v>1609</v>
      </c>
      <c r="C599" s="5"/>
      <c r="D599" s="5"/>
      <c r="E599" s="132">
        <f>$O$601-J599*($O$601-$O$596)</f>
        <v>163.41</v>
      </c>
      <c r="F599" s="139">
        <f t="shared" si="290"/>
        <v>162.65799999999999</v>
      </c>
      <c r="G599" s="149" t="s">
        <v>1612</v>
      </c>
      <c r="H599" s="82" t="str">
        <f t="shared" si="291"/>
        <v>50 percent up in Callovian international stage</v>
      </c>
      <c r="I599" s="142" t="str">
        <f t="shared" si="292"/>
        <v>70 percent up in Callovian international stage</v>
      </c>
      <c r="J599" s="7">
        <v>0.5</v>
      </c>
      <c r="K599" s="129">
        <f t="shared" si="293"/>
        <v>50</v>
      </c>
      <c r="L599" s="8" t="s">
        <v>69</v>
      </c>
      <c r="M599" s="5" t="s">
        <v>82</v>
      </c>
      <c r="N599" s="5" t="s">
        <v>82</v>
      </c>
      <c r="O599" s="83"/>
      <c r="P599" s="20">
        <v>0.7</v>
      </c>
      <c r="Q599" s="143">
        <f t="shared" si="294"/>
        <v>70</v>
      </c>
      <c r="R599" s="21" t="s">
        <v>69</v>
      </c>
      <c r="S599" s="150" t="s">
        <v>1618</v>
      </c>
    </row>
    <row r="600" spans="1:20" ht="28">
      <c r="A600" s="91"/>
      <c r="B600" s="92" t="s">
        <v>1607</v>
      </c>
      <c r="C600" s="5"/>
      <c r="D600" s="5"/>
      <c r="E600" s="132">
        <f>$O$601-J600*($O$601-$O$596)</f>
        <v>165.29</v>
      </c>
      <c r="F600" s="139">
        <f t="shared" si="290"/>
        <v>163.41</v>
      </c>
      <c r="G600" s="149" t="s">
        <v>1610</v>
      </c>
      <c r="H600" s="82" t="str">
        <f t="shared" si="291"/>
        <v>0 percent up in Callovian international stage</v>
      </c>
      <c r="I600" s="142" t="str">
        <f t="shared" si="292"/>
        <v>50 percent up in Callovian international stage</v>
      </c>
      <c r="J600" s="7">
        <v>0</v>
      </c>
      <c r="K600" s="129">
        <f t="shared" si="293"/>
        <v>0</v>
      </c>
      <c r="L600" s="8" t="s">
        <v>69</v>
      </c>
      <c r="M600" s="5" t="s">
        <v>82</v>
      </c>
      <c r="N600" s="5" t="s">
        <v>82</v>
      </c>
      <c r="O600" s="83"/>
      <c r="P600" s="20">
        <v>0.5</v>
      </c>
      <c r="Q600" s="143">
        <f t="shared" si="294"/>
        <v>50</v>
      </c>
      <c r="R600" s="21" t="s">
        <v>69</v>
      </c>
      <c r="S600" s="150" t="s">
        <v>1617</v>
      </c>
    </row>
    <row r="601" spans="1:20" ht="28">
      <c r="A601" s="91" t="s">
        <v>769</v>
      </c>
      <c r="B601" s="92" t="s">
        <v>69</v>
      </c>
      <c r="C601" s="134"/>
      <c r="D601" s="134" t="s">
        <v>222</v>
      </c>
      <c r="E601" s="132">
        <f>$O$601-J601*($O$601-$O$596)</f>
        <v>165.29</v>
      </c>
      <c r="F601" s="139">
        <f t="shared" si="290"/>
        <v>161.53</v>
      </c>
      <c r="G601" s="149"/>
      <c r="H601" s="82" t="str">
        <f t="shared" si="264"/>
        <v>0 percent up in Callovian international stage</v>
      </c>
      <c r="I601" s="142" t="str">
        <f t="shared" si="265"/>
        <v>100 percent up in Callovian international stage</v>
      </c>
      <c r="J601" s="7">
        <v>0</v>
      </c>
      <c r="K601" s="129">
        <f t="shared" si="266"/>
        <v>0</v>
      </c>
      <c r="L601" s="8" t="s">
        <v>69</v>
      </c>
      <c r="M601" s="5" t="s">
        <v>224</v>
      </c>
      <c r="N601" s="5" t="s">
        <v>801</v>
      </c>
      <c r="O601" s="83">
        <f>Master_Chronostrat!I70</f>
        <v>165.29</v>
      </c>
      <c r="P601" s="20">
        <v>1</v>
      </c>
      <c r="Q601" s="143">
        <f t="shared" si="267"/>
        <v>100</v>
      </c>
      <c r="R601" s="21" t="s">
        <v>69</v>
      </c>
      <c r="S601" s="8" t="s">
        <v>224</v>
      </c>
      <c r="T601" s="7" t="s">
        <v>226</v>
      </c>
    </row>
    <row r="602" spans="1:20" ht="28">
      <c r="A602" s="91" t="s">
        <v>769</v>
      </c>
      <c r="B602" s="92" t="s">
        <v>802</v>
      </c>
      <c r="C602" s="5"/>
      <c r="D602" s="5" t="s">
        <v>248</v>
      </c>
      <c r="E602" s="132">
        <f>$O$606-J602*($O$606-$O$601)</f>
        <v>167.49799999999999</v>
      </c>
      <c r="F602" s="139">
        <f t="shared" si="290"/>
        <v>161.53</v>
      </c>
      <c r="G602" s="149"/>
      <c r="H602" s="82" t="str">
        <f t="shared" si="264"/>
        <v>23.3 percent up in Bathonian international stage</v>
      </c>
      <c r="I602" s="142" t="str">
        <f t="shared" si="265"/>
        <v>100 percent up in Callovian international stage</v>
      </c>
      <c r="J602" s="7">
        <v>0.23333333333332951</v>
      </c>
      <c r="K602" s="129">
        <f t="shared" si="266"/>
        <v>23.3</v>
      </c>
      <c r="L602" s="8" t="s">
        <v>70</v>
      </c>
      <c r="M602" s="5" t="s">
        <v>82</v>
      </c>
      <c r="N602" s="5" t="s">
        <v>82</v>
      </c>
      <c r="O602" s="83"/>
      <c r="P602" s="20">
        <v>1</v>
      </c>
      <c r="Q602" s="143">
        <f t="shared" si="267"/>
        <v>100</v>
      </c>
      <c r="R602" s="21" t="s">
        <v>69</v>
      </c>
      <c r="S602" s="8" t="s">
        <v>246</v>
      </c>
      <c r="T602" s="7" t="s">
        <v>226</v>
      </c>
    </row>
    <row r="603" spans="1:20" ht="28">
      <c r="A603" s="91"/>
      <c r="B603" s="92" t="s">
        <v>1613</v>
      </c>
      <c r="C603" s="5"/>
      <c r="D603" s="5"/>
      <c r="E603" s="132">
        <f>$O$606-J603*($O$606-$O$601)</f>
        <v>165.86599999999999</v>
      </c>
      <c r="F603" s="139">
        <f>$O$606-P603*($O$606-$O$601)</f>
        <v>165.29</v>
      </c>
      <c r="G603" s="149" t="s">
        <v>1621</v>
      </c>
      <c r="H603" s="82" t="str">
        <f t="shared" ref="H603:H605" si="295">CONCATENATE(K603," percent up in ",L603," international stage")</f>
        <v>80 percent up in Bathonian international stage</v>
      </c>
      <c r="I603" s="142" t="str">
        <f t="shared" ref="I603:I605" si="296">CONCATENATE(Q603," percent up in ",R603," international stage")</f>
        <v>100 percent up in Bathonian international stage</v>
      </c>
      <c r="J603" s="7">
        <v>0.8</v>
      </c>
      <c r="K603" s="129">
        <f t="shared" ref="K603:K605" si="297">ROUND(J603*100,1)</f>
        <v>80</v>
      </c>
      <c r="L603" s="8" t="s">
        <v>70</v>
      </c>
      <c r="M603" s="5"/>
      <c r="O603" s="83"/>
      <c r="P603" s="20">
        <v>1</v>
      </c>
      <c r="Q603" s="143">
        <f t="shared" ref="Q603:Q605" si="298">ROUND(P603*100,1)</f>
        <v>100</v>
      </c>
      <c r="R603" s="21" t="s">
        <v>70</v>
      </c>
      <c r="S603" s="150" t="s">
        <v>1622</v>
      </c>
    </row>
    <row r="604" spans="1:20" ht="28">
      <c r="A604" s="91"/>
      <c r="B604" s="92" t="s">
        <v>1614</v>
      </c>
      <c r="C604" s="5"/>
      <c r="D604" s="5"/>
      <c r="E604" s="132">
        <f>$O$606-J604*($O$606-$O$601)</f>
        <v>167.018</v>
      </c>
      <c r="F604" s="139">
        <f>$O$606-P604*($O$606-$O$601)</f>
        <v>165.86599999999999</v>
      </c>
      <c r="G604" s="149" t="s">
        <v>1620</v>
      </c>
      <c r="H604" s="82" t="str">
        <f t="shared" si="295"/>
        <v>40 percent up in Bathonian international stage</v>
      </c>
      <c r="I604" s="142" t="str">
        <f t="shared" si="296"/>
        <v>80 percent up in Bathonian international stage</v>
      </c>
      <c r="J604" s="7">
        <v>0.4</v>
      </c>
      <c r="K604" s="129">
        <f t="shared" si="297"/>
        <v>40</v>
      </c>
      <c r="L604" s="8" t="s">
        <v>70</v>
      </c>
      <c r="M604" s="5"/>
      <c r="O604" s="83"/>
      <c r="P604" s="20">
        <v>0.8</v>
      </c>
      <c r="Q604" s="143">
        <f t="shared" si="298"/>
        <v>80</v>
      </c>
      <c r="R604" s="21" t="s">
        <v>70</v>
      </c>
      <c r="S604" s="150" t="s">
        <v>1623</v>
      </c>
    </row>
    <row r="605" spans="1:20" ht="28">
      <c r="A605" s="91"/>
      <c r="B605" s="92" t="s">
        <v>1615</v>
      </c>
      <c r="C605" s="5"/>
      <c r="D605" s="5"/>
      <c r="E605" s="132">
        <f>$O$606-J605*($O$606-$O$601)</f>
        <v>168.17</v>
      </c>
      <c r="F605" s="139">
        <f>$O$606-P605*($O$606-$O$601)</f>
        <v>167.018</v>
      </c>
      <c r="G605" s="149" t="s">
        <v>1619</v>
      </c>
      <c r="H605" s="82" t="str">
        <f t="shared" si="295"/>
        <v>0 percent up in Bathonian international stage</v>
      </c>
      <c r="I605" s="142" t="str">
        <f t="shared" si="296"/>
        <v>40 percent up in Bathonian international stage</v>
      </c>
      <c r="J605" s="7">
        <v>0</v>
      </c>
      <c r="K605" s="129">
        <f t="shared" si="297"/>
        <v>0</v>
      </c>
      <c r="L605" s="8" t="s">
        <v>70</v>
      </c>
      <c r="M605" s="5"/>
      <c r="O605" s="83"/>
      <c r="P605" s="20">
        <v>0.4</v>
      </c>
      <c r="Q605" s="143">
        <f t="shared" si="298"/>
        <v>40</v>
      </c>
      <c r="R605" s="21" t="s">
        <v>70</v>
      </c>
      <c r="S605" s="150" t="s">
        <v>1624</v>
      </c>
    </row>
    <row r="606" spans="1:20" ht="28">
      <c r="A606" s="91" t="s">
        <v>769</v>
      </c>
      <c r="B606" s="92" t="s">
        <v>70</v>
      </c>
      <c r="C606" s="134"/>
      <c r="D606" s="134" t="s">
        <v>222</v>
      </c>
      <c r="E606" s="132">
        <f>$O$606-J606*($O$606-$O$601)</f>
        <v>168.17</v>
      </c>
      <c r="F606" s="139">
        <f>$O$606-P606*($O$606-$O$601)</f>
        <v>165.29</v>
      </c>
      <c r="G606" s="149"/>
      <c r="H606" s="82" t="str">
        <f t="shared" si="264"/>
        <v>0 percent up in Bathonian international stage</v>
      </c>
      <c r="I606" s="142" t="str">
        <f t="shared" si="265"/>
        <v>100 percent up in Bathonian international stage</v>
      </c>
      <c r="J606" s="7">
        <v>0</v>
      </c>
      <c r="K606" s="129">
        <f t="shared" si="266"/>
        <v>0</v>
      </c>
      <c r="L606" s="8" t="s">
        <v>70</v>
      </c>
      <c r="M606" s="5" t="s">
        <v>224</v>
      </c>
      <c r="N606" s="5" t="s">
        <v>803</v>
      </c>
      <c r="O606" s="83">
        <f>Master_Chronostrat!I73</f>
        <v>168.17</v>
      </c>
      <c r="P606" s="20">
        <v>1</v>
      </c>
      <c r="Q606" s="143">
        <f t="shared" si="267"/>
        <v>100</v>
      </c>
      <c r="R606" s="21" t="s">
        <v>70</v>
      </c>
      <c r="S606" s="8" t="s">
        <v>224</v>
      </c>
      <c r="T606" s="7" t="s">
        <v>226</v>
      </c>
    </row>
    <row r="607" spans="1:20" ht="28">
      <c r="A607" s="91" t="s">
        <v>769</v>
      </c>
      <c r="B607" s="92" t="s">
        <v>804</v>
      </c>
      <c r="C607" s="5"/>
      <c r="D607" s="5" t="s">
        <v>236</v>
      </c>
      <c r="E607" s="132">
        <f t="shared" ref="E607:E612" si="299">$O$612-J607*($O$612-$O$606)</f>
        <v>169.08</v>
      </c>
      <c r="F607" s="139">
        <f>$O$601-P607*($O$601-$O$596)</f>
        <v>161.53</v>
      </c>
      <c r="G607" s="149"/>
      <c r="H607" s="82" t="str">
        <f t="shared" si="264"/>
        <v>66.7 percent up in Bajocian international stage</v>
      </c>
      <c r="I607" s="142" t="str">
        <f t="shared" si="265"/>
        <v>100 percent up in Callovian international stage</v>
      </c>
      <c r="J607" s="7">
        <v>0.6666666666666643</v>
      </c>
      <c r="K607" s="129">
        <f t="shared" si="266"/>
        <v>66.7</v>
      </c>
      <c r="L607" s="8" t="s">
        <v>71</v>
      </c>
      <c r="M607" s="5" t="s">
        <v>82</v>
      </c>
      <c r="N607" s="5" t="s">
        <v>82</v>
      </c>
      <c r="O607" s="83"/>
      <c r="P607" s="20">
        <v>1</v>
      </c>
      <c r="Q607" s="143">
        <f t="shared" si="267"/>
        <v>100</v>
      </c>
      <c r="R607" s="21" t="s">
        <v>69</v>
      </c>
      <c r="S607" s="8" t="s">
        <v>246</v>
      </c>
      <c r="T607" s="7" t="s">
        <v>226</v>
      </c>
    </row>
    <row r="608" spans="1:20" ht="28">
      <c r="A608" s="91" t="s">
        <v>769</v>
      </c>
      <c r="B608" s="92" t="s">
        <v>805</v>
      </c>
      <c r="C608" s="5"/>
      <c r="D608" s="5" t="s">
        <v>82</v>
      </c>
      <c r="E608" s="132">
        <f t="shared" si="299"/>
        <v>170.9</v>
      </c>
      <c r="F608" s="139">
        <f>$O$606-P608*($O$606-$O$601)</f>
        <v>165.29</v>
      </c>
      <c r="G608" s="149"/>
      <c r="H608" s="82" t="str">
        <f t="shared" si="264"/>
        <v>0 percent up in Bajocian international stage</v>
      </c>
      <c r="I608" s="142" t="str">
        <f t="shared" si="265"/>
        <v>100 percent up in Bathonian international stage</v>
      </c>
      <c r="J608" s="7">
        <v>0</v>
      </c>
      <c r="K608" s="129">
        <f t="shared" si="266"/>
        <v>0</v>
      </c>
      <c r="L608" s="8" t="s">
        <v>71</v>
      </c>
      <c r="M608" s="5" t="s">
        <v>82</v>
      </c>
      <c r="N608" s="5" t="s">
        <v>82</v>
      </c>
      <c r="O608" s="83"/>
      <c r="P608" s="20">
        <v>1</v>
      </c>
      <c r="Q608" s="143">
        <f t="shared" si="267"/>
        <v>100</v>
      </c>
      <c r="R608" s="21" t="s">
        <v>70</v>
      </c>
      <c r="S608" s="8" t="s">
        <v>232</v>
      </c>
      <c r="T608" s="7" t="s">
        <v>226</v>
      </c>
    </row>
    <row r="609" spans="1:20" ht="28">
      <c r="A609" s="91"/>
      <c r="B609" s="92" t="s">
        <v>1625</v>
      </c>
      <c r="C609" s="5"/>
      <c r="D609" s="5"/>
      <c r="E609" s="132">
        <f t="shared" si="299"/>
        <v>169.67150000000001</v>
      </c>
      <c r="F609" s="139">
        <f>$O$612-P609*($O$612-$O$606)</f>
        <v>168.17</v>
      </c>
      <c r="G609" s="149" t="s">
        <v>1629</v>
      </c>
      <c r="H609" s="82" t="str">
        <f t="shared" ref="H609:H611" si="300">CONCATENATE(K609," percent up in ",L609," international stage")</f>
        <v>45 percent up in Bajocian international stage</v>
      </c>
      <c r="I609" s="142" t="str">
        <f t="shared" ref="I609:I611" si="301">CONCATENATE(Q609," percent up in ",R609," international stage")</f>
        <v>100 percent up in Bajocian international stage</v>
      </c>
      <c r="J609" s="7">
        <v>0.45</v>
      </c>
      <c r="K609" s="129">
        <f t="shared" ref="K609:K611" si="302">ROUND(J609*100,1)</f>
        <v>45</v>
      </c>
      <c r="L609" s="8" t="s">
        <v>71</v>
      </c>
      <c r="M609" s="5"/>
      <c r="O609" s="83"/>
      <c r="P609" s="20">
        <v>1</v>
      </c>
      <c r="Q609" s="143">
        <f t="shared" ref="Q609:Q611" si="303">ROUND(P609*100,1)</f>
        <v>100</v>
      </c>
      <c r="R609" s="21" t="s">
        <v>71</v>
      </c>
      <c r="S609" s="150" t="s">
        <v>1628</v>
      </c>
    </row>
    <row r="610" spans="1:20" ht="56">
      <c r="A610" s="91"/>
      <c r="B610" s="92" t="s">
        <v>1831</v>
      </c>
      <c r="C610" s="5"/>
      <c r="D610" s="5"/>
      <c r="E610" s="132">
        <f t="shared" si="299"/>
        <v>169.9991</v>
      </c>
      <c r="F610" s="139">
        <f>$O$612-P610*($O$612-$O$606)</f>
        <v>169.09819999999999</v>
      </c>
      <c r="G610" s="149" t="s">
        <v>2120</v>
      </c>
      <c r="H610" s="82" t="str">
        <f t="shared" ref="H610" si="304">CONCATENATE(K610," percent up in ",L610," international stage")</f>
        <v>33 percent up in Bajocian international stage</v>
      </c>
      <c r="I610" s="142" t="str">
        <f t="shared" ref="I610" si="305">CONCATENATE(Q610," percent up in ",R610," international stage")</f>
        <v>66 percent up in Bajocian international stage</v>
      </c>
      <c r="J610" s="7">
        <v>0.33</v>
      </c>
      <c r="K610" s="129">
        <f t="shared" ref="K610" si="306">ROUND(J610*100,1)</f>
        <v>33</v>
      </c>
      <c r="L610" s="8" t="s">
        <v>71</v>
      </c>
      <c r="M610" s="5"/>
      <c r="O610" s="83"/>
      <c r="P610" s="20">
        <v>0.66</v>
      </c>
      <c r="Q610" s="143">
        <f t="shared" ref="Q610" si="307">ROUND(P610*100,1)</f>
        <v>66</v>
      </c>
      <c r="R610" s="21" t="s">
        <v>71</v>
      </c>
      <c r="S610" s="150" t="s">
        <v>1827</v>
      </c>
    </row>
    <row r="611" spans="1:20" ht="28">
      <c r="A611" s="91"/>
      <c r="B611" s="92" t="s">
        <v>1626</v>
      </c>
      <c r="C611" s="5"/>
      <c r="D611" s="5"/>
      <c r="E611" s="132">
        <f t="shared" si="299"/>
        <v>170.9</v>
      </c>
      <c r="F611" s="139">
        <f>$O$612-P611*($O$612-$O$606)</f>
        <v>169.67150000000001</v>
      </c>
      <c r="G611" s="149" t="s">
        <v>1630</v>
      </c>
      <c r="H611" s="82" t="str">
        <f t="shared" si="300"/>
        <v>0 percent up in Bajocian international stage</v>
      </c>
      <c r="I611" s="142" t="str">
        <f t="shared" si="301"/>
        <v>45 percent up in Bajocian international stage</v>
      </c>
      <c r="J611" s="7">
        <v>0</v>
      </c>
      <c r="K611" s="129">
        <f t="shared" si="302"/>
        <v>0</v>
      </c>
      <c r="L611" s="8" t="s">
        <v>71</v>
      </c>
      <c r="M611" s="5"/>
      <c r="O611" s="83"/>
      <c r="P611" s="20">
        <v>0.45</v>
      </c>
      <c r="Q611" s="143">
        <f t="shared" si="303"/>
        <v>45</v>
      </c>
      <c r="R611" s="21" t="s">
        <v>71</v>
      </c>
      <c r="S611" s="150" t="s">
        <v>1627</v>
      </c>
    </row>
    <row r="612" spans="1:20" ht="28">
      <c r="A612" s="91" t="s">
        <v>769</v>
      </c>
      <c r="B612" s="92" t="s">
        <v>71</v>
      </c>
      <c r="C612" s="134"/>
      <c r="D612" s="134" t="s">
        <v>222</v>
      </c>
      <c r="E612" s="132">
        <f t="shared" si="299"/>
        <v>170.9</v>
      </c>
      <c r="F612" s="139">
        <f>$O$612-P612*($O$612-$O$606)</f>
        <v>168.17</v>
      </c>
      <c r="G612" s="149"/>
      <c r="H612" s="82" t="str">
        <f t="shared" si="264"/>
        <v>0 percent up in Bajocian international stage</v>
      </c>
      <c r="I612" s="142" t="str">
        <f t="shared" si="265"/>
        <v>100 percent up in Bajocian international stage</v>
      </c>
      <c r="J612" s="7">
        <v>0</v>
      </c>
      <c r="K612" s="129">
        <f t="shared" si="266"/>
        <v>0</v>
      </c>
      <c r="L612" s="8" t="s">
        <v>71</v>
      </c>
      <c r="M612" s="5" t="s">
        <v>224</v>
      </c>
      <c r="N612" s="5" t="s">
        <v>806</v>
      </c>
      <c r="O612" s="84">
        <f>Master_Chronostrat!I75</f>
        <v>170.9</v>
      </c>
      <c r="P612" s="20">
        <v>1</v>
      </c>
      <c r="Q612" s="143">
        <f t="shared" si="267"/>
        <v>100</v>
      </c>
      <c r="R612" s="21" t="s">
        <v>71</v>
      </c>
      <c r="S612" s="8" t="s">
        <v>224</v>
      </c>
      <c r="T612" s="7" t="s">
        <v>226</v>
      </c>
    </row>
    <row r="613" spans="1:20" ht="28">
      <c r="A613" s="91" t="s">
        <v>769</v>
      </c>
      <c r="B613" s="92" t="s">
        <v>807</v>
      </c>
      <c r="C613" s="5"/>
      <c r="D613" s="5" t="s">
        <v>248</v>
      </c>
      <c r="E613" s="132">
        <f t="shared" ref="E613:E619" si="308">$O$619-J613*($O$619-$O$612)</f>
        <v>174.7</v>
      </c>
      <c r="F613" s="139">
        <f>$O$606-P613*($O$606-$O$601)</f>
        <v>167.49799999999999</v>
      </c>
      <c r="G613" s="149"/>
      <c r="H613" s="82" t="str">
        <f t="shared" si="264"/>
        <v>0 percent up in Aalenian international stage</v>
      </c>
      <c r="I613" s="142" t="str">
        <f t="shared" si="265"/>
        <v>23.3 percent up in Bathonian international stage</v>
      </c>
      <c r="J613" s="7">
        <v>0</v>
      </c>
      <c r="K613" s="129">
        <f t="shared" si="266"/>
        <v>0</v>
      </c>
      <c r="L613" s="8" t="s">
        <v>73</v>
      </c>
      <c r="M613" s="5" t="s">
        <v>82</v>
      </c>
      <c r="N613" s="5" t="s">
        <v>82</v>
      </c>
      <c r="O613" s="83"/>
      <c r="P613" s="20">
        <v>0.23333333333332953</v>
      </c>
      <c r="Q613" s="143">
        <f t="shared" si="267"/>
        <v>23.3</v>
      </c>
      <c r="R613" s="21" t="s">
        <v>70</v>
      </c>
      <c r="S613" s="8" t="s">
        <v>246</v>
      </c>
      <c r="T613" s="7" t="s">
        <v>226</v>
      </c>
    </row>
    <row r="614" spans="1:20" ht="28">
      <c r="A614" s="91" t="s">
        <v>769</v>
      </c>
      <c r="B614" s="92" t="s">
        <v>808</v>
      </c>
      <c r="C614" s="5"/>
      <c r="D614" s="5" t="s">
        <v>557</v>
      </c>
      <c r="E614" s="132">
        <f t="shared" si="308"/>
        <v>174.7</v>
      </c>
      <c r="F614" s="139">
        <f>$O$601-P614*($O$601-$O$596)</f>
        <v>161.53</v>
      </c>
      <c r="G614" s="149"/>
      <c r="H614" s="82" t="str">
        <f t="shared" si="264"/>
        <v>0 percent up in Aalenian international stage</v>
      </c>
      <c r="I614" s="142" t="str">
        <f t="shared" si="265"/>
        <v>100 percent up in Callovian international stage</v>
      </c>
      <c r="J614" s="7">
        <v>0</v>
      </c>
      <c r="K614" s="129">
        <f t="shared" si="266"/>
        <v>0</v>
      </c>
      <c r="L614" s="8" t="s">
        <v>73</v>
      </c>
      <c r="M614" s="5" t="s">
        <v>82</v>
      </c>
      <c r="N614" s="5" t="s">
        <v>82</v>
      </c>
      <c r="O614" s="83"/>
      <c r="P614" s="20">
        <v>1</v>
      </c>
      <c r="Q614" s="143">
        <f t="shared" si="267"/>
        <v>100</v>
      </c>
      <c r="R614" s="21" t="s">
        <v>69</v>
      </c>
      <c r="S614" s="8" t="s">
        <v>232</v>
      </c>
      <c r="T614" s="7" t="s">
        <v>226</v>
      </c>
    </row>
    <row r="615" spans="1:20" ht="28">
      <c r="A615" s="91" t="s">
        <v>769</v>
      </c>
      <c r="B615" s="92" t="s">
        <v>809</v>
      </c>
      <c r="C615" s="5"/>
      <c r="D615" s="5" t="s">
        <v>82</v>
      </c>
      <c r="E615" s="132">
        <f t="shared" si="308"/>
        <v>174.7</v>
      </c>
      <c r="F615" s="139">
        <f>$O$601-P615*($O$601-$O$596)</f>
        <v>161.53</v>
      </c>
      <c r="G615" s="149"/>
      <c r="H615" s="82" t="str">
        <f t="shared" si="264"/>
        <v>0 percent up in Aalenian international stage</v>
      </c>
      <c r="I615" s="142" t="str">
        <f t="shared" si="265"/>
        <v>100 percent up in Callovian international stage</v>
      </c>
      <c r="J615" s="7">
        <v>0</v>
      </c>
      <c r="K615" s="129">
        <f t="shared" si="266"/>
        <v>0</v>
      </c>
      <c r="L615" s="8" t="s">
        <v>73</v>
      </c>
      <c r="M615" s="5" t="s">
        <v>82</v>
      </c>
      <c r="N615" s="5" t="s">
        <v>82</v>
      </c>
      <c r="O615" s="83"/>
      <c r="P615" s="20">
        <v>1</v>
      </c>
      <c r="Q615" s="143">
        <f t="shared" si="267"/>
        <v>100</v>
      </c>
      <c r="R615" s="21" t="s">
        <v>69</v>
      </c>
      <c r="S615" s="8" t="s">
        <v>232</v>
      </c>
      <c r="T615" s="7" t="s">
        <v>226</v>
      </c>
    </row>
    <row r="616" spans="1:20" ht="28">
      <c r="A616" s="91"/>
      <c r="B616" s="92" t="s">
        <v>1633</v>
      </c>
      <c r="C616" s="5"/>
      <c r="D616" s="5"/>
      <c r="E616" s="132">
        <f t="shared" si="308"/>
        <v>172.8</v>
      </c>
      <c r="F616" s="139">
        <f>$O$619-P616*($O$619-$O$612)</f>
        <v>170.9</v>
      </c>
      <c r="G616" s="149" t="s">
        <v>1635</v>
      </c>
      <c r="H616" s="82" t="str">
        <f>CONCATENATE(K616," percent up in ",L616," international stage")</f>
        <v>50 percent up in Aalenian international stage</v>
      </c>
      <c r="I616" s="142" t="str">
        <f>CONCATENATE(Q616," percent up in ",R616," international stage")</f>
        <v>100 percent up in Aalenian international stage</v>
      </c>
      <c r="J616" s="7">
        <v>0.5</v>
      </c>
      <c r="K616" s="129">
        <f>ROUND(J616*100,1)</f>
        <v>50</v>
      </c>
      <c r="L616" s="8" t="s">
        <v>73</v>
      </c>
      <c r="M616" s="5"/>
      <c r="O616" s="83"/>
      <c r="P616" s="20">
        <v>1</v>
      </c>
      <c r="Q616" s="143">
        <f t="shared" ref="Q616:Q617" si="309">ROUND(P616*100,1)</f>
        <v>100</v>
      </c>
      <c r="R616" s="21" t="s">
        <v>73</v>
      </c>
      <c r="S616" s="150" t="s">
        <v>1601</v>
      </c>
    </row>
    <row r="617" spans="1:20" ht="28">
      <c r="A617" s="91"/>
      <c r="B617" s="92" t="s">
        <v>1634</v>
      </c>
      <c r="C617" s="5"/>
      <c r="D617" s="5"/>
      <c r="E617" s="132">
        <f t="shared" si="308"/>
        <v>174.7</v>
      </c>
      <c r="F617" s="139">
        <f>$O$619-P617*($O$619-$O$612)</f>
        <v>172.8</v>
      </c>
      <c r="G617" s="149" t="s">
        <v>1638</v>
      </c>
      <c r="H617" s="82" t="str">
        <f>CONCATENATE(K617," percent up in ",L617," international stage")</f>
        <v>0 percent up in Aalenian international stage</v>
      </c>
      <c r="I617" s="142" t="str">
        <f>CONCATENATE(Q617," percent up in ",R617," international stage")</f>
        <v>50 percent up in Aalenian international stage</v>
      </c>
      <c r="J617" s="7">
        <v>0</v>
      </c>
      <c r="K617" s="129">
        <f>ROUND(J617*100,1)</f>
        <v>0</v>
      </c>
      <c r="L617" s="8" t="s">
        <v>73</v>
      </c>
      <c r="M617" s="5"/>
      <c r="O617" s="83"/>
      <c r="P617" s="20">
        <v>0.5</v>
      </c>
      <c r="Q617" s="143">
        <f t="shared" si="309"/>
        <v>50</v>
      </c>
      <c r="R617" s="21" t="s">
        <v>73</v>
      </c>
      <c r="S617" s="150" t="s">
        <v>1602</v>
      </c>
    </row>
    <row r="618" spans="1:20" ht="28">
      <c r="A618" s="91" t="s">
        <v>769</v>
      </c>
      <c r="B618" s="92" t="s">
        <v>73</v>
      </c>
      <c r="C618" s="134"/>
      <c r="D618" s="134" t="s">
        <v>222</v>
      </c>
      <c r="E618" s="132">
        <f t="shared" si="308"/>
        <v>174.7</v>
      </c>
      <c r="F618" s="139">
        <f>$O$619-P618*($O$619-$O$612)</f>
        <v>170.9</v>
      </c>
      <c r="G618" s="149"/>
      <c r="H618" s="82" t="str">
        <f t="shared" si="264"/>
        <v>0 percent up in Aalenian international stage</v>
      </c>
      <c r="I618" s="142" t="str">
        <f t="shared" si="265"/>
        <v>100 percent up in Aalenian international stage</v>
      </c>
      <c r="J618" s="7">
        <v>0</v>
      </c>
      <c r="K618" s="129">
        <f t="shared" si="266"/>
        <v>0</v>
      </c>
      <c r="L618" s="8" t="s">
        <v>73</v>
      </c>
      <c r="M618" s="5" t="s">
        <v>224</v>
      </c>
      <c r="N618" s="5" t="s">
        <v>810</v>
      </c>
      <c r="O618" s="84">
        <f>Master_Chronostrat!I78</f>
        <v>174.7</v>
      </c>
      <c r="P618" s="20">
        <v>1</v>
      </c>
      <c r="Q618" s="143">
        <f t="shared" si="267"/>
        <v>100</v>
      </c>
      <c r="R618" s="21" t="s">
        <v>73</v>
      </c>
      <c r="S618" s="8" t="s">
        <v>224</v>
      </c>
      <c r="T618" s="7" t="s">
        <v>226</v>
      </c>
    </row>
    <row r="619" spans="1:20" ht="28">
      <c r="A619" s="91" t="s">
        <v>769</v>
      </c>
      <c r="B619" s="92" t="s">
        <v>811</v>
      </c>
      <c r="C619" s="134"/>
      <c r="D619" s="134" t="s">
        <v>222</v>
      </c>
      <c r="E619" s="132">
        <f t="shared" si="308"/>
        <v>174.7</v>
      </c>
      <c r="F619" s="139">
        <f>$O$601-P619*($O$601-$O$596)</f>
        <v>161.53</v>
      </c>
      <c r="G619" s="149"/>
      <c r="H619" s="82" t="str">
        <f t="shared" si="264"/>
        <v>0 percent up in Aalenian international stage</v>
      </c>
      <c r="I619" s="142" t="str">
        <f t="shared" si="265"/>
        <v>100 percent up in Callovian international stage</v>
      </c>
      <c r="J619" s="7">
        <v>0</v>
      </c>
      <c r="K619" s="129">
        <f t="shared" si="266"/>
        <v>0</v>
      </c>
      <c r="L619" s="8" t="s">
        <v>73</v>
      </c>
      <c r="M619" s="5" t="s">
        <v>224</v>
      </c>
      <c r="N619" s="5" t="s">
        <v>812</v>
      </c>
      <c r="O619" s="84">
        <f>Master_Chronostrat!I78</f>
        <v>174.7</v>
      </c>
      <c r="P619" s="20">
        <v>1</v>
      </c>
      <c r="Q619" s="143">
        <f t="shared" si="267"/>
        <v>100</v>
      </c>
      <c r="R619" s="21" t="s">
        <v>69</v>
      </c>
      <c r="S619" s="8" t="s">
        <v>239</v>
      </c>
      <c r="T619" s="7" t="s">
        <v>226</v>
      </c>
    </row>
    <row r="620" spans="1:20" ht="28">
      <c r="A620" s="91"/>
      <c r="B620" s="92" t="s">
        <v>1631</v>
      </c>
      <c r="C620" s="5"/>
      <c r="D620" s="5"/>
      <c r="E620" s="132">
        <f>$O$623-J620*($O$623-$O$619)</f>
        <v>179.45</v>
      </c>
      <c r="F620" s="139">
        <f>$O$631-P620*($O$631-$O$619)</f>
        <v>174.7</v>
      </c>
      <c r="G620" s="149" t="s">
        <v>1635</v>
      </c>
      <c r="H620" s="82" t="str">
        <f t="shared" ref="H620:H622" si="310">CONCATENATE(K620," percent up in ",L620," international stage")</f>
        <v>50 percent up in Toarcian international stage</v>
      </c>
      <c r="I620" s="142" t="str">
        <f t="shared" ref="I620:I622" si="311">CONCATENATE(Q620," percent up in ",R620," international stage")</f>
        <v>100 percent up in Toarcian international stage</v>
      </c>
      <c r="J620" s="7">
        <v>0.5</v>
      </c>
      <c r="K620" s="129">
        <f t="shared" ref="K620:K622" si="312">ROUND(J620*100,1)</f>
        <v>50</v>
      </c>
      <c r="L620" s="8" t="s">
        <v>75</v>
      </c>
      <c r="M620" s="5"/>
      <c r="O620" s="84"/>
      <c r="P620" s="20">
        <v>1</v>
      </c>
      <c r="Q620" s="143">
        <f t="shared" ref="Q620:Q622" si="313">ROUND(P620*100,1)</f>
        <v>100</v>
      </c>
      <c r="R620" s="21" t="s">
        <v>75</v>
      </c>
      <c r="S620" s="150" t="s">
        <v>1601</v>
      </c>
    </row>
    <row r="621" spans="1:20" ht="42">
      <c r="A621" s="91"/>
      <c r="B621" s="92" t="s">
        <v>2122</v>
      </c>
      <c r="C621" s="5"/>
      <c r="D621" s="5"/>
      <c r="E621" s="132">
        <f>$O$623-J621*($O$623-$O$619)</f>
        <v>181.065</v>
      </c>
      <c r="F621" s="139">
        <f>$O$623-P621*($O$623-$O$619)</f>
        <v>177.92999999999998</v>
      </c>
      <c r="G621" s="149" t="s">
        <v>2121</v>
      </c>
      <c r="H621" s="82" t="str">
        <f t="shared" ref="H621" si="314">CONCATENATE(K621," percent up in ",L621," international stage")</f>
        <v>33 percent up in Toarcian international stage</v>
      </c>
      <c r="I621" s="142" t="str">
        <f t="shared" ref="I621" si="315">CONCATENATE(Q621," percent up in ",R621," international stage")</f>
        <v>66 percent up in Toarcian international stage</v>
      </c>
      <c r="J621" s="7">
        <v>0.33</v>
      </c>
      <c r="K621" s="129">
        <f t="shared" ref="K621" si="316">ROUND(J621*100,1)</f>
        <v>33</v>
      </c>
      <c r="L621" s="8" t="s">
        <v>75</v>
      </c>
      <c r="M621" s="5"/>
      <c r="O621" s="84"/>
      <c r="P621" s="20">
        <v>0.66</v>
      </c>
      <c r="Q621" s="143">
        <f t="shared" ref="Q621" si="317">ROUND(P621*100,1)</f>
        <v>66</v>
      </c>
      <c r="R621" s="21" t="s">
        <v>75</v>
      </c>
      <c r="S621" s="150"/>
    </row>
    <row r="622" spans="1:20" ht="28">
      <c r="A622" s="91"/>
      <c r="B622" s="92" t="s">
        <v>1632</v>
      </c>
      <c r="C622" s="5"/>
      <c r="D622" s="5"/>
      <c r="E622" s="132">
        <f>$O$623-J622*($O$623-$O$619)</f>
        <v>184.2</v>
      </c>
      <c r="F622" s="139">
        <f>$O$623-P622*($O$623-$O$619)</f>
        <v>179.45</v>
      </c>
      <c r="G622" s="149" t="s">
        <v>1638</v>
      </c>
      <c r="H622" s="82" t="str">
        <f t="shared" si="310"/>
        <v>0 percent up in Toarcian international stage</v>
      </c>
      <c r="I622" s="142" t="str">
        <f t="shared" si="311"/>
        <v>50 percent up in Toarcian international stage</v>
      </c>
      <c r="J622" s="7">
        <v>0</v>
      </c>
      <c r="K622" s="129">
        <f t="shared" si="312"/>
        <v>0</v>
      </c>
      <c r="L622" s="8" t="s">
        <v>75</v>
      </c>
      <c r="M622" s="5"/>
      <c r="O622" s="84"/>
      <c r="P622" s="20">
        <v>0.5</v>
      </c>
      <c r="Q622" s="143">
        <f t="shared" si="313"/>
        <v>50</v>
      </c>
      <c r="R622" s="21" t="s">
        <v>75</v>
      </c>
      <c r="S622" s="150" t="s">
        <v>1602</v>
      </c>
    </row>
    <row r="623" spans="1:20" ht="28">
      <c r="A623" s="91" t="s">
        <v>769</v>
      </c>
      <c r="B623" s="92" t="s">
        <v>75</v>
      </c>
      <c r="C623" s="134"/>
      <c r="D623" s="134" t="s">
        <v>222</v>
      </c>
      <c r="E623" s="132">
        <f>$O$623-J623*($O$623-$O$619)</f>
        <v>184.2</v>
      </c>
      <c r="F623" s="139">
        <f>$O$631-P623*($O$631-$O$619)</f>
        <v>174.7</v>
      </c>
      <c r="G623" s="149"/>
      <c r="H623" s="82" t="str">
        <f t="shared" si="264"/>
        <v>0 percent up in Toarcian international stage</v>
      </c>
      <c r="I623" s="142" t="str">
        <f t="shared" si="265"/>
        <v>100 percent up in Toarcian international stage</v>
      </c>
      <c r="J623" s="7">
        <v>0</v>
      </c>
      <c r="K623" s="129">
        <f t="shared" si="266"/>
        <v>0</v>
      </c>
      <c r="L623" s="8" t="s">
        <v>75</v>
      </c>
      <c r="M623" s="5" t="s">
        <v>224</v>
      </c>
      <c r="N623" s="5" t="s">
        <v>813</v>
      </c>
      <c r="O623" s="84">
        <f>Master_Chronostrat!I81</f>
        <v>184.2</v>
      </c>
      <c r="P623" s="20">
        <v>1</v>
      </c>
      <c r="Q623" s="143">
        <f t="shared" si="267"/>
        <v>100</v>
      </c>
      <c r="R623" s="21" t="s">
        <v>75</v>
      </c>
      <c r="S623" s="8" t="s">
        <v>224</v>
      </c>
      <c r="T623" s="7" t="s">
        <v>226</v>
      </c>
    </row>
    <row r="624" spans="1:20" ht="28">
      <c r="A624" s="91" t="s">
        <v>769</v>
      </c>
      <c r="B624" s="92" t="s">
        <v>814</v>
      </c>
      <c r="C624" s="5"/>
      <c r="D624" s="5" t="s">
        <v>236</v>
      </c>
      <c r="E624" s="132">
        <f t="shared" ref="E624:E630" si="318">$O$631-J624*($O$631-$O$623)</f>
        <v>190.79090909090911</v>
      </c>
      <c r="F624" s="139">
        <f>$O$612-P624*($O$612-$O$606)</f>
        <v>169.08</v>
      </c>
      <c r="G624" s="149"/>
      <c r="H624" s="82" t="str">
        <f t="shared" si="264"/>
        <v>24.2 percent up in Pliensbachian international stage</v>
      </c>
      <c r="I624" s="142" t="str">
        <f t="shared" si="265"/>
        <v>66.7 percent up in Bajocian international stage</v>
      </c>
      <c r="J624" s="7">
        <v>0.24242424242424176</v>
      </c>
      <c r="K624" s="129">
        <f t="shared" si="266"/>
        <v>24.2</v>
      </c>
      <c r="L624" s="8" t="s">
        <v>77</v>
      </c>
      <c r="M624" s="5" t="s">
        <v>82</v>
      </c>
      <c r="N624" s="5" t="s">
        <v>82</v>
      </c>
      <c r="O624" s="83"/>
      <c r="P624" s="20">
        <v>0.66666666666666419</v>
      </c>
      <c r="Q624" s="143">
        <f t="shared" si="267"/>
        <v>66.7</v>
      </c>
      <c r="R624" s="21" t="s">
        <v>71</v>
      </c>
      <c r="S624" s="8" t="s">
        <v>246</v>
      </c>
      <c r="T624" s="7" t="s">
        <v>226</v>
      </c>
    </row>
    <row r="625" spans="1:20" ht="42">
      <c r="A625" s="91" t="s">
        <v>769</v>
      </c>
      <c r="B625" s="95" t="s">
        <v>815</v>
      </c>
      <c r="C625" s="5"/>
      <c r="D625" s="5" t="s">
        <v>270</v>
      </c>
      <c r="E625" s="132">
        <f t="shared" si="318"/>
        <v>192.9</v>
      </c>
      <c r="F625" s="139">
        <f t="shared" ref="F625:F631" si="319">$O$631-P625*($O$631-$O$623)</f>
        <v>184.2</v>
      </c>
      <c r="G625" s="149"/>
      <c r="H625" s="82" t="str">
        <f t="shared" si="264"/>
        <v>0 percent up in Pliensbachian international stage</v>
      </c>
      <c r="I625" s="142" t="str">
        <f t="shared" si="265"/>
        <v>100 percent up in Pliensbachian international stage</v>
      </c>
      <c r="J625" s="7">
        <v>0</v>
      </c>
      <c r="K625" s="129">
        <f t="shared" si="266"/>
        <v>0</v>
      </c>
      <c r="L625" s="8" t="s">
        <v>77</v>
      </c>
      <c r="M625" s="5" t="s">
        <v>82</v>
      </c>
      <c r="N625" s="5" t="s">
        <v>82</v>
      </c>
      <c r="O625" s="83"/>
      <c r="P625" s="20">
        <v>1</v>
      </c>
      <c r="Q625" s="143">
        <f t="shared" si="267"/>
        <v>100</v>
      </c>
      <c r="R625" s="21" t="s">
        <v>77</v>
      </c>
      <c r="S625" s="8" t="s">
        <v>232</v>
      </c>
      <c r="T625" s="7" t="s">
        <v>226</v>
      </c>
    </row>
    <row r="626" spans="1:20" ht="42">
      <c r="A626" s="91" t="s">
        <v>769</v>
      </c>
      <c r="B626" s="92" t="s">
        <v>816</v>
      </c>
      <c r="C626" s="5"/>
      <c r="D626" s="5" t="s">
        <v>270</v>
      </c>
      <c r="E626" s="132">
        <f t="shared" si="318"/>
        <v>192.9</v>
      </c>
      <c r="F626" s="139">
        <f t="shared" si="319"/>
        <v>184.2</v>
      </c>
      <c r="G626" s="149"/>
      <c r="H626" s="82" t="str">
        <f t="shared" si="264"/>
        <v>0 percent up in Pliensbachian international stage</v>
      </c>
      <c r="I626" s="142" t="str">
        <f t="shared" si="265"/>
        <v>100 percent up in Pliensbachian international stage</v>
      </c>
      <c r="J626" s="7">
        <v>0</v>
      </c>
      <c r="K626" s="129">
        <f t="shared" si="266"/>
        <v>0</v>
      </c>
      <c r="L626" s="8" t="s">
        <v>77</v>
      </c>
      <c r="M626" s="5" t="s">
        <v>82</v>
      </c>
      <c r="N626" s="5" t="s">
        <v>82</v>
      </c>
      <c r="O626" s="83"/>
      <c r="P626" s="20">
        <v>1</v>
      </c>
      <c r="Q626" s="143">
        <f t="shared" si="267"/>
        <v>100</v>
      </c>
      <c r="R626" s="21" t="s">
        <v>77</v>
      </c>
      <c r="S626" s="8" t="s">
        <v>232</v>
      </c>
      <c r="T626" s="7" t="s">
        <v>226</v>
      </c>
    </row>
    <row r="627" spans="1:20" ht="42">
      <c r="A627" s="91" t="s">
        <v>769</v>
      </c>
      <c r="B627" s="92" t="s">
        <v>817</v>
      </c>
      <c r="C627" s="5"/>
      <c r="D627" s="5" t="s">
        <v>270</v>
      </c>
      <c r="E627" s="132">
        <f t="shared" si="318"/>
        <v>192.9</v>
      </c>
      <c r="F627" s="139">
        <f t="shared" si="319"/>
        <v>184.2</v>
      </c>
      <c r="G627" s="149"/>
      <c r="H627" s="82" t="str">
        <f t="shared" si="264"/>
        <v>0 percent up in Pliensbachian international stage</v>
      </c>
      <c r="I627" s="142" t="str">
        <f t="shared" si="265"/>
        <v>100 percent up in Pliensbachian international stage</v>
      </c>
      <c r="J627" s="7">
        <v>0</v>
      </c>
      <c r="K627" s="129">
        <f t="shared" si="266"/>
        <v>0</v>
      </c>
      <c r="L627" s="8" t="s">
        <v>77</v>
      </c>
      <c r="M627" s="5" t="s">
        <v>82</v>
      </c>
      <c r="N627" s="5" t="s">
        <v>82</v>
      </c>
      <c r="O627" s="83"/>
      <c r="P627" s="20">
        <v>1</v>
      </c>
      <c r="Q627" s="143">
        <f t="shared" si="267"/>
        <v>100</v>
      </c>
      <c r="R627" s="21" t="s">
        <v>77</v>
      </c>
      <c r="S627" s="8" t="s">
        <v>232</v>
      </c>
      <c r="T627" s="7" t="s">
        <v>226</v>
      </c>
    </row>
    <row r="628" spans="1:20" ht="42">
      <c r="A628" s="91" t="s">
        <v>769</v>
      </c>
      <c r="B628" s="92" t="s">
        <v>818</v>
      </c>
      <c r="C628" s="5"/>
      <c r="D628" s="5" t="s">
        <v>82</v>
      </c>
      <c r="E628" s="132">
        <f t="shared" si="318"/>
        <v>192.9</v>
      </c>
      <c r="F628" s="139">
        <f t="shared" si="319"/>
        <v>184.2</v>
      </c>
      <c r="G628" s="149"/>
      <c r="H628" s="82" t="str">
        <f t="shared" si="264"/>
        <v>0 percent up in Pliensbachian international stage</v>
      </c>
      <c r="I628" s="142" t="str">
        <f t="shared" si="265"/>
        <v>100 percent up in Pliensbachian international stage</v>
      </c>
      <c r="J628" s="7">
        <v>0</v>
      </c>
      <c r="K628" s="129">
        <f t="shared" si="266"/>
        <v>0</v>
      </c>
      <c r="L628" s="8" t="s">
        <v>77</v>
      </c>
      <c r="M628" s="5" t="s">
        <v>82</v>
      </c>
      <c r="N628" s="5" t="s">
        <v>82</v>
      </c>
      <c r="O628" s="83"/>
      <c r="P628" s="20">
        <v>1</v>
      </c>
      <c r="Q628" s="143">
        <f t="shared" si="267"/>
        <v>100</v>
      </c>
      <c r="R628" s="21" t="s">
        <v>77</v>
      </c>
      <c r="S628" s="8" t="s">
        <v>232</v>
      </c>
      <c r="T628" s="7" t="s">
        <v>226</v>
      </c>
    </row>
    <row r="629" spans="1:20" ht="42">
      <c r="A629" s="91"/>
      <c r="B629" s="92" t="s">
        <v>1832</v>
      </c>
      <c r="C629" s="5"/>
      <c r="D629" s="5"/>
      <c r="E629" s="132">
        <f t="shared" si="318"/>
        <v>188.55</v>
      </c>
      <c r="F629" s="139">
        <f t="shared" si="319"/>
        <v>184.2</v>
      </c>
      <c r="G629" s="149" t="s">
        <v>1601</v>
      </c>
      <c r="H629" s="82" t="str">
        <f t="shared" ref="H629:H630" si="320">CONCATENATE(K629," percent up in ",L629," international stage")</f>
        <v>50 percent up in Pliensbachian international stage</v>
      </c>
      <c r="I629" s="142" t="str">
        <f t="shared" ref="I629:I630" si="321">CONCATENATE(Q629," percent up in ",R629," international stage")</f>
        <v>100 percent up in Pliensbachian international stage</v>
      </c>
      <c r="J629" s="7">
        <v>0.5</v>
      </c>
      <c r="K629" s="129">
        <f t="shared" ref="K629:K630" si="322">ROUND(J629*100,1)</f>
        <v>50</v>
      </c>
      <c r="L629" s="8" t="s">
        <v>77</v>
      </c>
      <c r="M629" s="5"/>
      <c r="O629" s="83"/>
      <c r="P629" s="20">
        <v>1</v>
      </c>
      <c r="Q629" s="143">
        <f t="shared" ref="Q629:Q630" si="323">ROUND(P629*100,1)</f>
        <v>100</v>
      </c>
      <c r="R629" s="21" t="s">
        <v>77</v>
      </c>
      <c r="S629" s="151" t="s">
        <v>1601</v>
      </c>
    </row>
    <row r="630" spans="1:20" ht="34">
      <c r="A630" s="91"/>
      <c r="B630" s="92" t="s">
        <v>1833</v>
      </c>
      <c r="C630" s="5"/>
      <c r="D630" s="5"/>
      <c r="E630" s="132">
        <f t="shared" si="318"/>
        <v>192.9</v>
      </c>
      <c r="F630" s="139">
        <f t="shared" si="319"/>
        <v>188.55</v>
      </c>
      <c r="G630" s="149" t="s">
        <v>1602</v>
      </c>
      <c r="H630" s="82" t="str">
        <f t="shared" si="320"/>
        <v>0 percent up in Pliensbachian international stage</v>
      </c>
      <c r="I630" s="142" t="str">
        <f t="shared" si="321"/>
        <v>50 percent up in Pliensbachian international stage</v>
      </c>
      <c r="J630" s="7">
        <v>0</v>
      </c>
      <c r="K630" s="129">
        <f t="shared" si="322"/>
        <v>0</v>
      </c>
      <c r="L630" s="8" t="s">
        <v>77</v>
      </c>
      <c r="M630" s="5"/>
      <c r="O630" s="83"/>
      <c r="P630" s="20">
        <v>0.5</v>
      </c>
      <c r="Q630" s="143">
        <f t="shared" si="323"/>
        <v>50</v>
      </c>
      <c r="R630" s="21" t="s">
        <v>77</v>
      </c>
      <c r="S630" s="151" t="s">
        <v>1602</v>
      </c>
    </row>
    <row r="631" spans="1:20" ht="42">
      <c r="A631" s="91" t="s">
        <v>769</v>
      </c>
      <c r="B631" s="92" t="s">
        <v>77</v>
      </c>
      <c r="C631" s="134"/>
      <c r="D631" s="134" t="s">
        <v>222</v>
      </c>
      <c r="E631" s="132">
        <f t="shared" ref="E631" si="324">$O$631-J631*($O$631-$O$619)</f>
        <v>192.9</v>
      </c>
      <c r="F631" s="139">
        <f t="shared" si="319"/>
        <v>184.2</v>
      </c>
      <c r="G631" s="149"/>
      <c r="H631" s="82" t="str">
        <f t="shared" si="264"/>
        <v>0 percent up in Pliensbachian international stage</v>
      </c>
      <c r="I631" s="142" t="str">
        <f t="shared" si="265"/>
        <v>100 percent up in Pliensbachian international stage</v>
      </c>
      <c r="J631" s="7">
        <v>0</v>
      </c>
      <c r="K631" s="129">
        <f t="shared" si="266"/>
        <v>0</v>
      </c>
      <c r="L631" s="8" t="s">
        <v>77</v>
      </c>
      <c r="M631" s="5" t="s">
        <v>224</v>
      </c>
      <c r="N631" s="5" t="s">
        <v>819</v>
      </c>
      <c r="O631" s="84">
        <f>Master_Chronostrat!I83</f>
        <v>192.9</v>
      </c>
      <c r="P631" s="20">
        <v>1</v>
      </c>
      <c r="Q631" s="143">
        <f t="shared" si="267"/>
        <v>100</v>
      </c>
      <c r="R631" s="21" t="s">
        <v>77</v>
      </c>
      <c r="S631" s="8" t="s">
        <v>224</v>
      </c>
      <c r="T631" s="7" t="s">
        <v>226</v>
      </c>
    </row>
    <row r="632" spans="1:20" ht="28">
      <c r="A632" s="91"/>
      <c r="B632" s="92" t="s">
        <v>2170</v>
      </c>
      <c r="C632" s="5"/>
      <c r="D632" s="5"/>
      <c r="E632" s="132">
        <f>$O$631-J632*($O$631-$O$623)</f>
        <v>192.9</v>
      </c>
      <c r="F632" s="139">
        <f>$O$631-P621*($O$631-$O$619)</f>
        <v>180.88800000000001</v>
      </c>
      <c r="G632" s="149"/>
      <c r="H632" s="82" t="str">
        <f t="shared" ref="H632" si="325">CONCATENATE(K632," percent up in ",L632," international stage")</f>
        <v>0 percent up in Pliensbachian international stage</v>
      </c>
      <c r="I632" s="142" t="str">
        <f t="shared" ref="I632" si="326">CONCATENATE(Q632," percent up in ",R632," international stage")</f>
        <v>100 percent up in Toarcian international stage</v>
      </c>
      <c r="J632" s="7">
        <v>0</v>
      </c>
      <c r="K632" s="129">
        <f t="shared" ref="K632" si="327">ROUND(J632*100,1)</f>
        <v>0</v>
      </c>
      <c r="L632" s="8" t="s">
        <v>77</v>
      </c>
      <c r="M632" s="5"/>
      <c r="O632" s="84"/>
      <c r="P632" s="20">
        <v>1</v>
      </c>
      <c r="Q632" s="143">
        <f t="shared" ref="Q632" si="328">ROUND(P632*100,1)</f>
        <v>100</v>
      </c>
      <c r="R632" s="21" t="s">
        <v>75</v>
      </c>
      <c r="S632" s="8"/>
    </row>
    <row r="633" spans="1:20" ht="28">
      <c r="A633" s="91"/>
      <c r="B633" s="92" t="s">
        <v>2169</v>
      </c>
      <c r="C633" s="5"/>
      <c r="D633" s="5"/>
      <c r="E633" s="132">
        <f>$O$631-J633*($O$631-$O$623)</f>
        <v>192.9</v>
      </c>
      <c r="F633" s="139">
        <f>$O$631-P622*($O$631-$O$619)</f>
        <v>183.8</v>
      </c>
      <c r="G633" s="149"/>
      <c r="H633" s="82" t="str">
        <f t="shared" si="264"/>
        <v>0 percent up in Pliensbachian international stage</v>
      </c>
      <c r="I633" s="142" t="str">
        <f t="shared" si="265"/>
        <v>100 percent up in Toarcian international stage</v>
      </c>
      <c r="J633" s="7">
        <v>0</v>
      </c>
      <c r="K633" s="129">
        <f t="shared" si="266"/>
        <v>0</v>
      </c>
      <c r="L633" s="8" t="s">
        <v>77</v>
      </c>
      <c r="M633" s="5"/>
      <c r="O633" s="84"/>
      <c r="P633" s="20">
        <v>1</v>
      </c>
      <c r="Q633" s="143">
        <f t="shared" si="267"/>
        <v>100</v>
      </c>
      <c r="R633" s="21" t="s">
        <v>75</v>
      </c>
      <c r="S633" s="8"/>
    </row>
    <row r="634" spans="1:20" ht="34">
      <c r="A634" s="91"/>
      <c r="B634" s="92" t="s">
        <v>1920</v>
      </c>
      <c r="C634" s="5"/>
      <c r="D634" s="5"/>
      <c r="E634" s="132">
        <f>$O$631-J634*($O$631-$O$623)</f>
        <v>192.9</v>
      </c>
      <c r="F634" s="139">
        <f>$O$631-P623*($O$631-$O$619)</f>
        <v>174.7</v>
      </c>
      <c r="G634" s="149"/>
      <c r="H634" s="82" t="str">
        <f t="shared" ref="H634" si="329">CONCATENATE(K634," percent up in ",L634," international stage")</f>
        <v>0 percent up in Pliensbachian international stage</v>
      </c>
      <c r="I634" s="142" t="str">
        <f t="shared" ref="I634" si="330">CONCATENATE(Q634," percent up in ",R634," international stage")</f>
        <v>100 percent up in Toarcian international stage</v>
      </c>
      <c r="J634" s="7">
        <v>0</v>
      </c>
      <c r="K634" s="129">
        <f t="shared" ref="K634" si="331">ROUND(J634*100,1)</f>
        <v>0</v>
      </c>
      <c r="L634" s="8" t="s">
        <v>77</v>
      </c>
      <c r="M634" s="5"/>
      <c r="O634" s="84"/>
      <c r="P634" s="20">
        <v>1</v>
      </c>
      <c r="Q634" s="143">
        <f t="shared" ref="Q634" si="332">ROUND(P634*100,1)</f>
        <v>100</v>
      </c>
      <c r="R634" s="21" t="s">
        <v>75</v>
      </c>
      <c r="S634" s="8" t="s">
        <v>1921</v>
      </c>
    </row>
    <row r="635" spans="1:20" ht="28">
      <c r="A635" s="91" t="s">
        <v>769</v>
      </c>
      <c r="B635" s="92" t="s">
        <v>820</v>
      </c>
      <c r="C635" s="5"/>
      <c r="D635" s="5" t="s">
        <v>270</v>
      </c>
      <c r="E635" s="132">
        <f>$O$638-J635*($O$638-$O$631)</f>
        <v>196.41768115942031</v>
      </c>
      <c r="F635" s="139">
        <f>$O$638-P635*($O$638-$O$631)</f>
        <v>192.9</v>
      </c>
      <c r="G635" s="149"/>
      <c r="H635" s="82" t="str">
        <f t="shared" si="264"/>
        <v>46.4 percent up in Sinemurian international stage</v>
      </c>
      <c r="I635" s="142" t="str">
        <f t="shared" si="265"/>
        <v>100 percent up in Sinemurian international stage</v>
      </c>
      <c r="J635" s="7">
        <v>0.46376811594202694</v>
      </c>
      <c r="K635" s="129">
        <f t="shared" si="266"/>
        <v>46.4</v>
      </c>
      <c r="L635" s="8" t="s">
        <v>79</v>
      </c>
      <c r="M635" s="5" t="s">
        <v>82</v>
      </c>
      <c r="N635" s="5" t="s">
        <v>82</v>
      </c>
      <c r="O635" s="83"/>
      <c r="P635" s="20">
        <v>1</v>
      </c>
      <c r="Q635" s="143">
        <f t="shared" si="267"/>
        <v>100</v>
      </c>
      <c r="R635" s="21" t="s">
        <v>79</v>
      </c>
      <c r="S635" s="8" t="s">
        <v>272</v>
      </c>
      <c r="T635" s="7" t="s">
        <v>226</v>
      </c>
    </row>
    <row r="636" spans="1:20" ht="28">
      <c r="A636" s="91"/>
      <c r="B636" s="92" t="s">
        <v>1636</v>
      </c>
      <c r="C636" s="5"/>
      <c r="D636" s="5"/>
      <c r="E636" s="132">
        <f>$O$638-J636*($O$638-$O$631)</f>
        <v>196.18</v>
      </c>
      <c r="F636" s="139">
        <f>$O$638-P636*($O$638-$O$631)</f>
        <v>192.9</v>
      </c>
      <c r="G636" s="149" t="s">
        <v>1635</v>
      </c>
      <c r="H636" s="82" t="str">
        <f t="shared" ref="H636:H637" si="333">CONCATENATE(K636," percent up in ",L636," international stage")</f>
        <v>50 percent up in Sinemurian international stage</v>
      </c>
      <c r="I636" s="142" t="str">
        <f t="shared" ref="I636:I637" si="334">CONCATENATE(Q636," percent up in ",R636," international stage")</f>
        <v>100 percent up in Sinemurian international stage</v>
      </c>
      <c r="J636" s="7">
        <v>0.5</v>
      </c>
      <c r="K636" s="129">
        <f t="shared" ref="K636:K637" si="335">ROUND(J636*100,1)</f>
        <v>50</v>
      </c>
      <c r="L636" s="8" t="s">
        <v>79</v>
      </c>
      <c r="M636" s="5"/>
      <c r="O636" s="83"/>
      <c r="P636" s="20">
        <v>1</v>
      </c>
      <c r="Q636" s="143">
        <f t="shared" ref="Q636:Q637" si="336">ROUND(P636*100,1)</f>
        <v>100</v>
      </c>
      <c r="R636" s="21" t="s">
        <v>79</v>
      </c>
      <c r="S636" s="150" t="s">
        <v>1601</v>
      </c>
    </row>
    <row r="637" spans="1:20" ht="28">
      <c r="A637" s="91"/>
      <c r="B637" s="92" t="s">
        <v>1637</v>
      </c>
      <c r="C637" s="5"/>
      <c r="D637" s="5"/>
      <c r="E637" s="132">
        <f>$O$638-J637*($O$638-$O$631)</f>
        <v>199.46</v>
      </c>
      <c r="F637" s="139">
        <f>$O$638-P637*($O$638-$O$631)</f>
        <v>196.18</v>
      </c>
      <c r="G637" s="149" t="s">
        <v>1638</v>
      </c>
      <c r="H637" s="82" t="str">
        <f t="shared" si="333"/>
        <v>0 percent up in Sinemurian international stage</v>
      </c>
      <c r="I637" s="142" t="str">
        <f t="shared" si="334"/>
        <v>50 percent up in Sinemurian international stage</v>
      </c>
      <c r="J637" s="7">
        <v>0</v>
      </c>
      <c r="K637" s="129">
        <f t="shared" si="335"/>
        <v>0</v>
      </c>
      <c r="L637" s="8" t="s">
        <v>79</v>
      </c>
      <c r="M637" s="5"/>
      <c r="O637" s="83"/>
      <c r="P637" s="20">
        <v>0.5</v>
      </c>
      <c r="Q637" s="143">
        <f t="shared" si="336"/>
        <v>50</v>
      </c>
      <c r="R637" s="21" t="s">
        <v>79</v>
      </c>
      <c r="S637" s="150" t="s">
        <v>1602</v>
      </c>
    </row>
    <row r="638" spans="1:20" ht="28">
      <c r="A638" s="91" t="s">
        <v>769</v>
      </c>
      <c r="B638" s="92" t="s">
        <v>79</v>
      </c>
      <c r="C638" s="134"/>
      <c r="D638" s="134" t="s">
        <v>222</v>
      </c>
      <c r="E638" s="132">
        <f>$O$638-J638*($O$638-$O$631)</f>
        <v>199.46</v>
      </c>
      <c r="F638" s="139">
        <f>$O$638-P638*($O$638-$O$631)</f>
        <v>192.9</v>
      </c>
      <c r="G638" s="149"/>
      <c r="H638" s="82" t="str">
        <f t="shared" si="264"/>
        <v>0 percent up in Sinemurian international stage</v>
      </c>
      <c r="I638" s="142" t="str">
        <f t="shared" si="265"/>
        <v>100 percent up in Sinemurian international stage</v>
      </c>
      <c r="J638" s="7">
        <v>0</v>
      </c>
      <c r="K638" s="129">
        <f t="shared" si="266"/>
        <v>0</v>
      </c>
      <c r="L638" s="8" t="s">
        <v>79</v>
      </c>
      <c r="M638" s="5" t="s">
        <v>224</v>
      </c>
      <c r="N638" s="5" t="s">
        <v>821</v>
      </c>
      <c r="O638" s="83">
        <f>Master_Chronostrat!I85</f>
        <v>199.46</v>
      </c>
      <c r="P638" s="20">
        <v>1</v>
      </c>
      <c r="Q638" s="143">
        <f t="shared" si="267"/>
        <v>100</v>
      </c>
      <c r="R638" s="21" t="s">
        <v>79</v>
      </c>
      <c r="S638" s="8" t="s">
        <v>224</v>
      </c>
      <c r="T638" s="7" t="s">
        <v>226</v>
      </c>
    </row>
    <row r="639" spans="1:20" ht="42">
      <c r="A639" s="91" t="s">
        <v>769</v>
      </c>
      <c r="B639" s="92" t="s">
        <v>822</v>
      </c>
      <c r="C639" s="5"/>
      <c r="D639" s="5" t="s">
        <v>236</v>
      </c>
      <c r="E639" s="132">
        <f t="shared" ref="E639:E649" si="337">$O$649-J639*($O$649-$O$638)</f>
        <v>201.36</v>
      </c>
      <c r="F639" s="139">
        <f>$O$631-P639*($O$631-$O$623)</f>
        <v>190.79090909090911</v>
      </c>
      <c r="G639" s="149"/>
      <c r="H639" s="82" t="str">
        <f t="shared" si="264"/>
        <v>0 percent up in Hettangian international stage</v>
      </c>
      <c r="I639" s="142" t="str">
        <f t="shared" si="265"/>
        <v>24.2 percent up in Pliensbachian international stage</v>
      </c>
      <c r="J639" s="7">
        <v>0</v>
      </c>
      <c r="K639" s="129">
        <f t="shared" si="266"/>
        <v>0</v>
      </c>
      <c r="L639" s="8" t="s">
        <v>81</v>
      </c>
      <c r="M639" s="5" t="s">
        <v>82</v>
      </c>
      <c r="N639" s="5" t="s">
        <v>82</v>
      </c>
      <c r="O639" s="83"/>
      <c r="P639" s="20">
        <v>0.24242424242424176</v>
      </c>
      <c r="Q639" s="143">
        <f t="shared" si="267"/>
        <v>24.2</v>
      </c>
      <c r="R639" s="21" t="s">
        <v>77</v>
      </c>
      <c r="S639" s="8" t="s">
        <v>246</v>
      </c>
      <c r="T639" s="7" t="s">
        <v>226</v>
      </c>
    </row>
    <row r="640" spans="1:20" ht="28">
      <c r="A640" s="91" t="s">
        <v>769</v>
      </c>
      <c r="B640" s="92" t="s">
        <v>823</v>
      </c>
      <c r="C640" s="5"/>
      <c r="D640" s="5" t="s">
        <v>248</v>
      </c>
      <c r="E640" s="132">
        <f t="shared" si="337"/>
        <v>201.36</v>
      </c>
      <c r="F640" s="139">
        <f>$O$623-P640*($O$623-$O$619)</f>
        <v>174.7</v>
      </c>
      <c r="G640" s="149"/>
      <c r="H640" s="82" t="str">
        <f t="shared" si="264"/>
        <v>0 percent up in Hettangian international stage</v>
      </c>
      <c r="I640" s="142" t="str">
        <f t="shared" si="265"/>
        <v>100 percent up in Toarcian international stage</v>
      </c>
      <c r="J640" s="7">
        <v>0</v>
      </c>
      <c r="K640" s="129">
        <f t="shared" si="266"/>
        <v>0</v>
      </c>
      <c r="L640" s="8" t="s">
        <v>81</v>
      </c>
      <c r="M640" s="5" t="s">
        <v>82</v>
      </c>
      <c r="N640" s="5" t="s">
        <v>82</v>
      </c>
      <c r="O640" s="83"/>
      <c r="P640" s="20">
        <v>1</v>
      </c>
      <c r="Q640" s="143">
        <f t="shared" si="267"/>
        <v>100</v>
      </c>
      <c r="R640" s="21" t="s">
        <v>75</v>
      </c>
      <c r="S640" s="8" t="s">
        <v>232</v>
      </c>
      <c r="T640" s="7" t="s">
        <v>226</v>
      </c>
    </row>
    <row r="641" spans="1:20" ht="28">
      <c r="A641" s="91" t="s">
        <v>769</v>
      </c>
      <c r="B641" s="92" t="s">
        <v>825</v>
      </c>
      <c r="C641" s="5"/>
      <c r="D641" s="5" t="s">
        <v>557</v>
      </c>
      <c r="E641" s="132">
        <f t="shared" si="337"/>
        <v>201.36</v>
      </c>
      <c r="F641" s="139">
        <f>$O$623-P641*($O$623-$O$619)</f>
        <v>174.7</v>
      </c>
      <c r="G641" s="149"/>
      <c r="H641" s="82" t="str">
        <f t="shared" si="264"/>
        <v>0 percent up in Hettangian international stage</v>
      </c>
      <c r="I641" s="142" t="str">
        <f t="shared" si="265"/>
        <v>100 percent up in Toarcian international stage</v>
      </c>
      <c r="J641" s="7">
        <v>0</v>
      </c>
      <c r="K641" s="129">
        <f t="shared" si="266"/>
        <v>0</v>
      </c>
      <c r="L641" s="8" t="s">
        <v>81</v>
      </c>
      <c r="M641" s="5" t="s">
        <v>82</v>
      </c>
      <c r="N641" s="5" t="s">
        <v>82</v>
      </c>
      <c r="O641" s="83"/>
      <c r="P641" s="20">
        <v>1</v>
      </c>
      <c r="Q641" s="143">
        <f t="shared" si="267"/>
        <v>100</v>
      </c>
      <c r="R641" s="21" t="s">
        <v>75</v>
      </c>
      <c r="S641" s="8" t="s">
        <v>232</v>
      </c>
      <c r="T641" s="7" t="s">
        <v>226</v>
      </c>
    </row>
    <row r="642" spans="1:20" ht="28">
      <c r="A642" s="91" t="s">
        <v>769</v>
      </c>
      <c r="B642" s="92" t="s">
        <v>81</v>
      </c>
      <c r="C642" s="134"/>
      <c r="D642" s="134" t="s">
        <v>222</v>
      </c>
      <c r="E642" s="132">
        <f t="shared" si="337"/>
        <v>201.36</v>
      </c>
      <c r="F642" s="139">
        <f>$O$649-P642*($O$649-$O$638)</f>
        <v>199.46</v>
      </c>
      <c r="G642" s="149"/>
      <c r="H642" s="82" t="str">
        <f t="shared" si="264"/>
        <v>0 percent up in Hettangian international stage</v>
      </c>
      <c r="I642" s="142" t="str">
        <f t="shared" si="265"/>
        <v>100 percent up in Hettangian international stage</v>
      </c>
      <c r="J642" s="7">
        <v>0</v>
      </c>
      <c r="K642" s="129">
        <f t="shared" si="266"/>
        <v>0</v>
      </c>
      <c r="L642" s="8" t="s">
        <v>81</v>
      </c>
      <c r="M642" s="5" t="s">
        <v>224</v>
      </c>
      <c r="N642" s="5" t="s">
        <v>826</v>
      </c>
      <c r="O642" s="83">
        <f>Master_Chronostrat!I86</f>
        <v>201.36</v>
      </c>
      <c r="P642" s="20">
        <v>1</v>
      </c>
      <c r="Q642" s="143">
        <f t="shared" si="267"/>
        <v>100</v>
      </c>
      <c r="R642" s="21" t="s">
        <v>81</v>
      </c>
      <c r="S642" s="8" t="s">
        <v>224</v>
      </c>
      <c r="T642" s="7" t="s">
        <v>226</v>
      </c>
    </row>
    <row r="643" spans="1:20" ht="28">
      <c r="A643" s="91"/>
      <c r="B643" s="92" t="s">
        <v>2173</v>
      </c>
      <c r="C643" s="5"/>
      <c r="D643" s="5" t="s">
        <v>82</v>
      </c>
      <c r="E643" s="132">
        <f t="shared" si="337"/>
        <v>201.36</v>
      </c>
      <c r="F643" s="139">
        <f>$O$638-P636*($O$638-$O$631)</f>
        <v>192.9</v>
      </c>
      <c r="G643" s="149"/>
      <c r="H643" s="82" t="str">
        <f t="shared" ref="H643" si="338">CONCATENATE(K643," percent up in ",L643," international stage")</f>
        <v>0 percent up in Hettangian international stage</v>
      </c>
      <c r="I643" s="142" t="str">
        <f t="shared" ref="I643" si="339">CONCATENATE(Q643," percent up in ",R643," international stage")</f>
        <v>100 percent up in Sinemurian international stage</v>
      </c>
      <c r="J643" s="7">
        <v>0</v>
      </c>
      <c r="K643" s="129">
        <f t="shared" ref="K643" si="340">ROUND(J643*100,1)</f>
        <v>0</v>
      </c>
      <c r="L643" s="8" t="s">
        <v>81</v>
      </c>
      <c r="M643" s="5"/>
      <c r="O643" s="83"/>
      <c r="P643" s="20">
        <v>1</v>
      </c>
      <c r="Q643" s="143">
        <f t="shared" ref="Q643" si="341">ROUND(P643*100,1)</f>
        <v>100</v>
      </c>
      <c r="R643" s="21" t="s">
        <v>79</v>
      </c>
      <c r="S643" s="8"/>
    </row>
    <row r="644" spans="1:20" ht="28">
      <c r="A644" s="91"/>
      <c r="B644" s="92" t="s">
        <v>2168</v>
      </c>
      <c r="C644" s="5"/>
      <c r="D644" s="5" t="s">
        <v>82</v>
      </c>
      <c r="E644" s="132">
        <f t="shared" si="337"/>
        <v>201.36</v>
      </c>
      <c r="F644" s="139">
        <f>$O$638-P637*($O$638-$O$631)</f>
        <v>196.18</v>
      </c>
      <c r="G644" s="149"/>
      <c r="H644" s="82" t="str">
        <f t="shared" si="264"/>
        <v>0 percent up in Hettangian international stage</v>
      </c>
      <c r="I644" s="142" t="str">
        <f t="shared" si="265"/>
        <v>100 percent up in Sinemurian international stage</v>
      </c>
      <c r="J644" s="7">
        <v>0</v>
      </c>
      <c r="K644" s="129">
        <f t="shared" si="266"/>
        <v>0</v>
      </c>
      <c r="L644" s="8" t="s">
        <v>81</v>
      </c>
      <c r="M644" s="5"/>
      <c r="O644" s="83"/>
      <c r="P644" s="20">
        <v>1</v>
      </c>
      <c r="Q644" s="143">
        <f t="shared" si="267"/>
        <v>100</v>
      </c>
      <c r="R644" s="21" t="s">
        <v>79</v>
      </c>
      <c r="S644" s="8"/>
    </row>
    <row r="645" spans="1:20" ht="34">
      <c r="A645" s="91"/>
      <c r="B645" s="92" t="s">
        <v>1918</v>
      </c>
      <c r="C645" s="5"/>
      <c r="D645" s="5" t="s">
        <v>82</v>
      </c>
      <c r="E645" s="132">
        <f t="shared" si="337"/>
        <v>201.36</v>
      </c>
      <c r="F645" s="139">
        <f>$O$638-P638*($O$638-$O$631)</f>
        <v>192.9</v>
      </c>
      <c r="G645" s="149"/>
      <c r="H645" s="82" t="str">
        <f t="shared" ref="H645" si="342">CONCATENATE(K645," percent up in ",L645," international stage")</f>
        <v>0 percent up in Hettangian international stage</v>
      </c>
      <c r="I645" s="142" t="str">
        <f t="shared" ref="I645" si="343">CONCATENATE(Q645," percent up in ",R645," international stage")</f>
        <v>100 percent up in Sinemurian international stage</v>
      </c>
      <c r="J645" s="7">
        <v>0</v>
      </c>
      <c r="K645" s="129">
        <f t="shared" ref="K645" si="344">ROUND(J645*100,1)</f>
        <v>0</v>
      </c>
      <c r="L645" s="8" t="s">
        <v>81</v>
      </c>
      <c r="M645" s="5"/>
      <c r="O645" s="83"/>
      <c r="P645" s="20">
        <v>1</v>
      </c>
      <c r="Q645" s="143">
        <f t="shared" ref="Q645" si="345">ROUND(P645*100,1)</f>
        <v>100</v>
      </c>
      <c r="R645" s="21" t="s">
        <v>79</v>
      </c>
      <c r="S645" s="8" t="s">
        <v>1919</v>
      </c>
    </row>
    <row r="646" spans="1:20" ht="28">
      <c r="A646" s="91" t="s">
        <v>769</v>
      </c>
      <c r="B646" s="92" t="s">
        <v>2171</v>
      </c>
      <c r="C646" s="5"/>
      <c r="D646" s="5" t="s">
        <v>82</v>
      </c>
      <c r="E646" s="132">
        <f t="shared" si="337"/>
        <v>201.36</v>
      </c>
      <c r="F646" s="139">
        <f>$O$623-P646*($O$623-$O$619)</f>
        <v>174.7</v>
      </c>
      <c r="G646" s="149" t="s">
        <v>2172</v>
      </c>
      <c r="H646" s="82" t="str">
        <f>CONCATENATE(K646," percent up in ",L646," international stage")</f>
        <v>0 percent up in Hettangian international stage</v>
      </c>
      <c r="I646" s="142" t="str">
        <f>CONCATENATE(Q646," percent up in ",R646," international stage")</f>
        <v>100 percent up in Toarcian international stage</v>
      </c>
      <c r="J646" s="7">
        <v>0</v>
      </c>
      <c r="K646" s="129">
        <f>ROUND(J646*100,1)</f>
        <v>0</v>
      </c>
      <c r="L646" s="8" t="s">
        <v>81</v>
      </c>
      <c r="M646" s="5" t="s">
        <v>82</v>
      </c>
      <c r="N646" s="5" t="s">
        <v>82</v>
      </c>
      <c r="O646" s="83"/>
      <c r="P646" s="20">
        <v>1</v>
      </c>
      <c r="Q646" s="143">
        <f>ROUND(P646*100,1)</f>
        <v>100</v>
      </c>
      <c r="R646" s="21" t="s">
        <v>75</v>
      </c>
      <c r="S646" s="8" t="s">
        <v>232</v>
      </c>
      <c r="T646" s="7" t="s">
        <v>226</v>
      </c>
    </row>
    <row r="647" spans="1:20" ht="28">
      <c r="A647" s="91" t="s">
        <v>769</v>
      </c>
      <c r="B647" s="92" t="s">
        <v>824</v>
      </c>
      <c r="C647" s="5"/>
      <c r="D647" s="5" t="s">
        <v>82</v>
      </c>
      <c r="E647" s="132">
        <f t="shared" si="337"/>
        <v>201.36</v>
      </c>
      <c r="F647" s="139">
        <f>$O$623-P647*($O$623-$O$619)</f>
        <v>174.7</v>
      </c>
      <c r="G647" s="149"/>
      <c r="H647" s="82" t="str">
        <f>CONCATENATE(K647," percent up in ",L647," international stage")</f>
        <v>0 percent up in Hettangian international stage</v>
      </c>
      <c r="I647" s="142" t="str">
        <f>CONCATENATE(Q647," percent up in ",R647," international stage")</f>
        <v>100 percent up in Toarcian international stage</v>
      </c>
      <c r="J647" s="7">
        <v>0</v>
      </c>
      <c r="K647" s="129">
        <f>ROUND(J647*100,1)</f>
        <v>0</v>
      </c>
      <c r="L647" s="8" t="s">
        <v>81</v>
      </c>
      <c r="M647" s="5" t="s">
        <v>82</v>
      </c>
      <c r="N647" s="5" t="s">
        <v>82</v>
      </c>
      <c r="O647" s="83"/>
      <c r="P647" s="20">
        <v>1</v>
      </c>
      <c r="Q647" s="143">
        <f>ROUND(P647*100,1)</f>
        <v>100</v>
      </c>
      <c r="R647" s="21" t="s">
        <v>75</v>
      </c>
      <c r="S647" s="8" t="s">
        <v>232</v>
      </c>
      <c r="T647" s="7" t="s">
        <v>226</v>
      </c>
    </row>
    <row r="648" spans="1:20" ht="28">
      <c r="A648" s="91" t="s">
        <v>769</v>
      </c>
      <c r="B648" s="92" t="s">
        <v>827</v>
      </c>
      <c r="C648" s="134"/>
      <c r="D648" s="134" t="s">
        <v>222</v>
      </c>
      <c r="E648" s="132">
        <f t="shared" si="337"/>
        <v>201.36</v>
      </c>
      <c r="F648" s="139">
        <f>$O$623-P648*($O$623-$O$619)</f>
        <v>174.7</v>
      </c>
      <c r="G648" s="149"/>
      <c r="H648" s="82" t="str">
        <f t="shared" si="264"/>
        <v>0 percent up in Hettangian international stage</v>
      </c>
      <c r="I648" s="142" t="str">
        <f t="shared" si="265"/>
        <v>100 percent up in Toarcian international stage</v>
      </c>
      <c r="J648" s="7">
        <v>0</v>
      </c>
      <c r="K648" s="129">
        <f t="shared" si="266"/>
        <v>0</v>
      </c>
      <c r="L648" s="8" t="s">
        <v>81</v>
      </c>
      <c r="M648" s="5" t="s">
        <v>224</v>
      </c>
      <c r="N648" s="5" t="s">
        <v>828</v>
      </c>
      <c r="O648" s="83">
        <f>Master_Chronostrat!I86</f>
        <v>201.36</v>
      </c>
      <c r="P648" s="20">
        <v>1</v>
      </c>
      <c r="Q648" s="143">
        <f t="shared" si="267"/>
        <v>100</v>
      </c>
      <c r="R648" s="21" t="s">
        <v>75</v>
      </c>
      <c r="S648" s="8" t="s">
        <v>239</v>
      </c>
      <c r="T648" s="7" t="s">
        <v>226</v>
      </c>
    </row>
    <row r="649" spans="1:20" ht="28">
      <c r="A649" s="91" t="s">
        <v>769</v>
      </c>
      <c r="B649" s="92" t="s">
        <v>80</v>
      </c>
      <c r="C649" s="134"/>
      <c r="D649" s="134" t="s">
        <v>222</v>
      </c>
      <c r="E649" s="132">
        <f t="shared" si="337"/>
        <v>201.36</v>
      </c>
      <c r="F649" s="139">
        <f>$O$571-P649*($O$571-$O$554)</f>
        <v>143.1</v>
      </c>
      <c r="G649" s="149"/>
      <c r="H649" s="82" t="str">
        <f t="shared" si="264"/>
        <v>0 percent up in Hettangian international stage</v>
      </c>
      <c r="I649" s="142" t="str">
        <f t="shared" si="265"/>
        <v>100 percent up in Tithonian international stage</v>
      </c>
      <c r="J649" s="7">
        <v>0</v>
      </c>
      <c r="K649" s="129">
        <f t="shared" si="266"/>
        <v>0</v>
      </c>
      <c r="L649" s="8" t="s">
        <v>81</v>
      </c>
      <c r="M649" s="5" t="s">
        <v>224</v>
      </c>
      <c r="N649" s="5" t="s">
        <v>829</v>
      </c>
      <c r="O649" s="83">
        <f>Master_Chronostrat!I86</f>
        <v>201.36</v>
      </c>
      <c r="P649" s="20">
        <v>1</v>
      </c>
      <c r="Q649" s="143">
        <f t="shared" si="267"/>
        <v>100</v>
      </c>
      <c r="R649" s="21" t="s">
        <v>66</v>
      </c>
      <c r="S649" s="8" t="s">
        <v>239</v>
      </c>
      <c r="T649" s="7" t="s">
        <v>226</v>
      </c>
    </row>
    <row r="650" spans="1:20" ht="28">
      <c r="A650" s="96" t="s">
        <v>830</v>
      </c>
      <c r="B650" s="97" t="s">
        <v>831</v>
      </c>
      <c r="C650" s="5"/>
      <c r="D650" s="5" t="s">
        <v>236</v>
      </c>
      <c r="E650" s="132">
        <f>$O$652-J650*($O$652-$O$649)</f>
        <v>205.08300000000003</v>
      </c>
      <c r="F650" s="139">
        <f>$O$652-P650*($O$652-$O$649)</f>
        <v>201.36</v>
      </c>
      <c r="G650" s="149"/>
      <c r="H650" s="82" t="str">
        <f t="shared" si="264"/>
        <v>15 percent up in Rhaetian international stage</v>
      </c>
      <c r="I650" s="142" t="str">
        <f t="shared" si="265"/>
        <v>100 percent up in Rhaetian international stage</v>
      </c>
      <c r="J650" s="7">
        <v>0.14999999999999858</v>
      </c>
      <c r="K650" s="129">
        <f t="shared" si="266"/>
        <v>15</v>
      </c>
      <c r="L650" s="8" t="s">
        <v>83</v>
      </c>
      <c r="M650" s="5" t="s">
        <v>82</v>
      </c>
      <c r="N650" s="5" t="s">
        <v>82</v>
      </c>
      <c r="O650" s="83"/>
      <c r="P650" s="20">
        <v>1</v>
      </c>
      <c r="Q650" s="143">
        <f t="shared" si="267"/>
        <v>100</v>
      </c>
      <c r="R650" s="21" t="s">
        <v>83</v>
      </c>
      <c r="S650" s="8" t="s">
        <v>272</v>
      </c>
      <c r="T650" s="7" t="s">
        <v>226</v>
      </c>
    </row>
    <row r="651" spans="1:20" ht="28">
      <c r="A651" s="96" t="s">
        <v>830</v>
      </c>
      <c r="B651" s="98" t="s">
        <v>832</v>
      </c>
      <c r="C651" s="5"/>
      <c r="D651" s="5" t="s">
        <v>82</v>
      </c>
      <c r="E651" s="132">
        <f>$O$652-J651*($O$652-$O$649)</f>
        <v>205.74</v>
      </c>
      <c r="F651" s="139">
        <f>$O$649-P651*($O$649-$O$638)</f>
        <v>199.46</v>
      </c>
      <c r="G651" s="149"/>
      <c r="H651" s="82" t="str">
        <f t="shared" si="264"/>
        <v>0 percent up in Rhaetian international stage</v>
      </c>
      <c r="I651" s="142" t="str">
        <f t="shared" si="265"/>
        <v>100 percent up in Hettangian international stage</v>
      </c>
      <c r="J651" s="7">
        <v>0</v>
      </c>
      <c r="K651" s="129">
        <f t="shared" si="266"/>
        <v>0</v>
      </c>
      <c r="L651" s="8" t="s">
        <v>83</v>
      </c>
      <c r="M651" s="5" t="s">
        <v>82</v>
      </c>
      <c r="N651" s="5" t="s">
        <v>82</v>
      </c>
      <c r="O651" s="83"/>
      <c r="P651" s="20">
        <v>1</v>
      </c>
      <c r="Q651" s="143">
        <f t="shared" si="267"/>
        <v>100</v>
      </c>
      <c r="R651" s="21" t="s">
        <v>81</v>
      </c>
      <c r="S651" s="8" t="s">
        <v>232</v>
      </c>
      <c r="T651" s="7" t="s">
        <v>226</v>
      </c>
    </row>
    <row r="652" spans="1:20" ht="28">
      <c r="A652" s="96" t="s">
        <v>830</v>
      </c>
      <c r="B652" s="97" t="s">
        <v>83</v>
      </c>
      <c r="C652" s="134"/>
      <c r="D652" s="134" t="s">
        <v>222</v>
      </c>
      <c r="E652" s="132">
        <f>$O$652-J652*($O$652-$O$649)</f>
        <v>205.74</v>
      </c>
      <c r="F652" s="139">
        <f>$O$652-P652*($O$652-$O$649)</f>
        <v>201.36</v>
      </c>
      <c r="G652" s="149"/>
      <c r="H652" s="82" t="str">
        <f t="shared" si="264"/>
        <v>0 percent up in Rhaetian international stage</v>
      </c>
      <c r="I652" s="142" t="str">
        <f t="shared" si="265"/>
        <v>100 percent up in Rhaetian international stage</v>
      </c>
      <c r="J652" s="7">
        <v>0</v>
      </c>
      <c r="K652" s="129">
        <f t="shared" si="266"/>
        <v>0</v>
      </c>
      <c r="L652" s="8" t="s">
        <v>83</v>
      </c>
      <c r="M652" s="5" t="s">
        <v>224</v>
      </c>
      <c r="N652" s="5" t="s">
        <v>833</v>
      </c>
      <c r="O652" s="83">
        <f>Master_Chronostrat!I87</f>
        <v>205.74</v>
      </c>
      <c r="P652" s="20">
        <v>1</v>
      </c>
      <c r="Q652" s="143">
        <f t="shared" si="267"/>
        <v>100</v>
      </c>
      <c r="R652" s="21" t="s">
        <v>83</v>
      </c>
      <c r="S652" s="8" t="s">
        <v>224</v>
      </c>
      <c r="T652" s="7" t="s">
        <v>226</v>
      </c>
    </row>
    <row r="653" spans="1:20" ht="28">
      <c r="A653" s="96" t="s">
        <v>830</v>
      </c>
      <c r="B653" s="97" t="s">
        <v>834</v>
      </c>
      <c r="C653" s="5"/>
      <c r="D653" s="5" t="s">
        <v>236</v>
      </c>
      <c r="E653" s="132">
        <f t="shared" ref="E653:E662" si="346">$O$662-J653*($O$662-$O$652)</f>
        <v>209.75116279069769</v>
      </c>
      <c r="F653" s="139">
        <f>$O$652-P653*($O$652-$O$649)</f>
        <v>205.08300000000003</v>
      </c>
      <c r="G653" s="149"/>
      <c r="H653" s="82" t="str">
        <f t="shared" si="264"/>
        <v>81.4 percent up in Norian international stage</v>
      </c>
      <c r="I653" s="142" t="str">
        <f t="shared" si="265"/>
        <v>15 percent up in Rhaetian international stage</v>
      </c>
      <c r="J653" s="7">
        <v>0.81395348837209269</v>
      </c>
      <c r="K653" s="129">
        <f t="shared" si="266"/>
        <v>81.400000000000006</v>
      </c>
      <c r="L653" s="8" t="s">
        <v>86</v>
      </c>
      <c r="M653" s="5" t="s">
        <v>82</v>
      </c>
      <c r="N653" s="5" t="s">
        <v>82</v>
      </c>
      <c r="O653" s="83"/>
      <c r="P653" s="20">
        <v>0.14999999999999858</v>
      </c>
      <c r="Q653" s="143">
        <f t="shared" si="267"/>
        <v>15</v>
      </c>
      <c r="R653" s="21" t="s">
        <v>83</v>
      </c>
      <c r="S653" s="8" t="s">
        <v>246</v>
      </c>
      <c r="T653" s="7" t="s">
        <v>226</v>
      </c>
    </row>
    <row r="654" spans="1:20" ht="28">
      <c r="A654" s="96" t="s">
        <v>830</v>
      </c>
      <c r="B654" s="97" t="s">
        <v>835</v>
      </c>
      <c r="C654" s="5"/>
      <c r="D654" s="5" t="s">
        <v>248</v>
      </c>
      <c r="E654" s="132">
        <f t="shared" si="346"/>
        <v>214.76511627906979</v>
      </c>
      <c r="F654" s="139">
        <f>$O$652-P654*($O$652-$O$649)</f>
        <v>201.36</v>
      </c>
      <c r="G654" s="149"/>
      <c r="H654" s="82" t="str">
        <f t="shared" si="264"/>
        <v>58.1 percent up in Norian international stage</v>
      </c>
      <c r="I654" s="142" t="str">
        <f t="shared" si="265"/>
        <v>100 percent up in Rhaetian international stage</v>
      </c>
      <c r="J654" s="7">
        <v>0.581395348837209</v>
      </c>
      <c r="K654" s="129">
        <f t="shared" si="266"/>
        <v>58.1</v>
      </c>
      <c r="L654" s="8" t="s">
        <v>86</v>
      </c>
      <c r="M654" s="5" t="s">
        <v>82</v>
      </c>
      <c r="N654" s="5" t="s">
        <v>82</v>
      </c>
      <c r="O654" s="83"/>
      <c r="P654" s="20">
        <v>1</v>
      </c>
      <c r="Q654" s="143">
        <f t="shared" si="267"/>
        <v>100</v>
      </c>
      <c r="R654" s="21" t="s">
        <v>83</v>
      </c>
      <c r="S654" s="8" t="s">
        <v>246</v>
      </c>
      <c r="T654" s="7" t="s">
        <v>226</v>
      </c>
    </row>
    <row r="655" spans="1:20" ht="28">
      <c r="A655" s="96" t="s">
        <v>830</v>
      </c>
      <c r="B655" s="97" t="s">
        <v>84</v>
      </c>
      <c r="C655" s="5"/>
      <c r="D655" s="5" t="s">
        <v>82</v>
      </c>
      <c r="E655" s="132">
        <f t="shared" si="346"/>
        <v>212.208</v>
      </c>
      <c r="F655" s="139">
        <f t="shared" ref="F655:F664" si="347">$O$662-P655*($O$662-$O$652)</f>
        <v>205.74</v>
      </c>
      <c r="G655" s="149" t="s">
        <v>1838</v>
      </c>
      <c r="H655" s="82" t="str">
        <f t="shared" si="264"/>
        <v>70 percent up in Norian international stage</v>
      </c>
      <c r="I655" s="142" t="str">
        <f t="shared" si="265"/>
        <v>100 percent up in Norian international stage</v>
      </c>
      <c r="J655" s="7">
        <v>0.7</v>
      </c>
      <c r="K655" s="129">
        <f t="shared" si="266"/>
        <v>70</v>
      </c>
      <c r="L655" s="8" t="s">
        <v>86</v>
      </c>
      <c r="M655" s="5" t="s">
        <v>82</v>
      </c>
      <c r="N655" s="5" t="s">
        <v>82</v>
      </c>
      <c r="O655" s="83"/>
      <c r="P655" s="20">
        <v>1</v>
      </c>
      <c r="Q655" s="143">
        <f t="shared" si="267"/>
        <v>100</v>
      </c>
      <c r="R655" s="21" t="s">
        <v>86</v>
      </c>
      <c r="S655" s="8" t="s">
        <v>272</v>
      </c>
      <c r="T655" s="7" t="s">
        <v>226</v>
      </c>
    </row>
    <row r="656" spans="1:20" ht="28">
      <c r="A656" s="96"/>
      <c r="B656" s="97" t="s">
        <v>1639</v>
      </c>
      <c r="C656" s="5"/>
      <c r="D656" s="5" t="s">
        <v>1834</v>
      </c>
      <c r="E656" s="132">
        <f t="shared" si="346"/>
        <v>212.208</v>
      </c>
      <c r="F656" s="139">
        <f t="shared" si="347"/>
        <v>205.74</v>
      </c>
      <c r="G656" s="149" t="s">
        <v>1839</v>
      </c>
      <c r="H656" s="82" t="str">
        <f>CONCATENATE(K656," percent up in ",L656," international stage")</f>
        <v>70 percent up in Norian international stage</v>
      </c>
      <c r="I656" s="142" t="str">
        <f>CONCATENATE(Q656," percent up in ",R656," international stage")</f>
        <v>100 percent up in Norian international stage</v>
      </c>
      <c r="J656" s="7">
        <v>0.7</v>
      </c>
      <c r="K656" s="129">
        <f>ROUND(J656*100,1)</f>
        <v>70</v>
      </c>
      <c r="L656" s="8" t="s">
        <v>86</v>
      </c>
      <c r="M656" s="5"/>
      <c r="O656" s="83"/>
      <c r="P656" s="20">
        <v>1</v>
      </c>
      <c r="Q656" s="143">
        <f>ROUND(P656*100,1)</f>
        <v>100</v>
      </c>
      <c r="R656" s="21" t="s">
        <v>86</v>
      </c>
      <c r="S656" s="149" t="s">
        <v>1839</v>
      </c>
    </row>
    <row r="657" spans="1:20" ht="28">
      <c r="A657" s="96" t="s">
        <v>830</v>
      </c>
      <c r="B657" s="97" t="s">
        <v>85</v>
      </c>
      <c r="C657" s="5"/>
      <c r="D657" s="5" t="s">
        <v>82</v>
      </c>
      <c r="E657" s="132">
        <f t="shared" si="346"/>
        <v>216.52</v>
      </c>
      <c r="F657" s="139">
        <f t="shared" si="347"/>
        <v>212.208</v>
      </c>
      <c r="G657" s="149" t="s">
        <v>1838</v>
      </c>
      <c r="H657" s="82" t="str">
        <f t="shared" si="264"/>
        <v>50 percent up in Norian international stage</v>
      </c>
      <c r="I657" s="142" t="str">
        <f t="shared" si="265"/>
        <v>70 percent up in Norian international stage</v>
      </c>
      <c r="J657" s="7">
        <v>0.5</v>
      </c>
      <c r="K657" s="129">
        <f t="shared" si="266"/>
        <v>50</v>
      </c>
      <c r="L657" s="8" t="s">
        <v>86</v>
      </c>
      <c r="M657" s="5" t="s">
        <v>82</v>
      </c>
      <c r="N657" s="5" t="s">
        <v>82</v>
      </c>
      <c r="O657" s="83"/>
      <c r="P657" s="20">
        <v>0.7</v>
      </c>
      <c r="Q657" s="143">
        <f t="shared" si="267"/>
        <v>70</v>
      </c>
      <c r="R657" s="21" t="s">
        <v>86</v>
      </c>
      <c r="S657" s="8" t="s">
        <v>259</v>
      </c>
      <c r="T657" s="7">
        <v>0.38759689922480567</v>
      </c>
    </row>
    <row r="658" spans="1:20" ht="28">
      <c r="A658" s="96"/>
      <c r="B658" s="97" t="s">
        <v>1836</v>
      </c>
      <c r="C658" s="5"/>
      <c r="D658" s="5" t="s">
        <v>1835</v>
      </c>
      <c r="E658" s="132">
        <f t="shared" si="346"/>
        <v>216.52</v>
      </c>
      <c r="F658" s="139">
        <f t="shared" si="347"/>
        <v>212.208</v>
      </c>
      <c r="G658" s="149" t="s">
        <v>1835</v>
      </c>
      <c r="H658" s="82" t="str">
        <f>CONCATENATE(K658," percent up in ",L658," international stage")</f>
        <v>50 percent up in Norian international stage</v>
      </c>
      <c r="I658" s="142" t="str">
        <f>CONCATENATE(Q658," percent up in ",R658," international stage")</f>
        <v>70 percent up in Norian international stage</v>
      </c>
      <c r="J658" s="7">
        <v>0.5</v>
      </c>
      <c r="K658" s="129">
        <f>ROUND(J658*100,1)</f>
        <v>50</v>
      </c>
      <c r="L658" s="8" t="s">
        <v>86</v>
      </c>
      <c r="M658" s="5"/>
      <c r="O658" s="83"/>
      <c r="P658" s="20">
        <v>0.7</v>
      </c>
      <c r="Q658" s="143">
        <f>ROUND(P658*100,1)</f>
        <v>70</v>
      </c>
      <c r="R658" s="21" t="s">
        <v>86</v>
      </c>
      <c r="S658" s="149" t="s">
        <v>1835</v>
      </c>
    </row>
    <row r="659" spans="1:20" ht="28">
      <c r="A659" s="96" t="s">
        <v>830</v>
      </c>
      <c r="B659" s="97" t="s">
        <v>87</v>
      </c>
      <c r="C659" s="5"/>
      <c r="D659" s="5" t="s">
        <v>82</v>
      </c>
      <c r="E659" s="132">
        <f t="shared" si="346"/>
        <v>227.3</v>
      </c>
      <c r="F659" s="139">
        <f t="shared" si="347"/>
        <v>216.52</v>
      </c>
      <c r="G659" s="149" t="s">
        <v>1838</v>
      </c>
      <c r="H659" s="82" t="str">
        <f t="shared" si="264"/>
        <v>0 percent up in Norian international stage</v>
      </c>
      <c r="I659" s="142" t="str">
        <f t="shared" si="265"/>
        <v>50 percent up in Norian international stage</v>
      </c>
      <c r="J659" s="7">
        <v>0</v>
      </c>
      <c r="K659" s="129">
        <f t="shared" si="266"/>
        <v>0</v>
      </c>
      <c r="L659" s="8" t="s">
        <v>86</v>
      </c>
      <c r="M659" s="5" t="s">
        <v>82</v>
      </c>
      <c r="N659" s="5" t="s">
        <v>82</v>
      </c>
      <c r="O659" s="83"/>
      <c r="P659" s="20">
        <v>0.5</v>
      </c>
      <c r="Q659" s="143">
        <f t="shared" si="267"/>
        <v>50</v>
      </c>
      <c r="R659" s="21" t="s">
        <v>86</v>
      </c>
      <c r="S659" s="8" t="s">
        <v>230</v>
      </c>
      <c r="T659" s="7" t="s">
        <v>226</v>
      </c>
    </row>
    <row r="660" spans="1:20" ht="28">
      <c r="A660" s="96" t="s">
        <v>830</v>
      </c>
      <c r="B660" s="97" t="s">
        <v>836</v>
      </c>
      <c r="C660" s="5"/>
      <c r="D660" s="5" t="s">
        <v>82</v>
      </c>
      <c r="E660" s="132">
        <f t="shared" si="346"/>
        <v>227.3</v>
      </c>
      <c r="F660" s="139">
        <f t="shared" si="347"/>
        <v>216.52</v>
      </c>
      <c r="G660" s="149" t="s">
        <v>1838</v>
      </c>
      <c r="H660" s="82" t="str">
        <f t="shared" si="264"/>
        <v>0 percent up in Norian international stage</v>
      </c>
      <c r="I660" s="142" t="str">
        <f t="shared" si="265"/>
        <v>50 percent up in Norian international stage</v>
      </c>
      <c r="J660" s="7">
        <v>0</v>
      </c>
      <c r="K660" s="129">
        <f t="shared" si="266"/>
        <v>0</v>
      </c>
      <c r="L660" s="8" t="s">
        <v>86</v>
      </c>
      <c r="M660" s="5" t="s">
        <v>82</v>
      </c>
      <c r="N660" s="5" t="s">
        <v>82</v>
      </c>
      <c r="O660" s="83"/>
      <c r="P660" s="20">
        <v>0.5</v>
      </c>
      <c r="Q660" s="143">
        <f t="shared" si="267"/>
        <v>50</v>
      </c>
      <c r="R660" s="21" t="s">
        <v>86</v>
      </c>
      <c r="S660" s="8" t="s">
        <v>230</v>
      </c>
      <c r="T660" s="7" t="s">
        <v>226</v>
      </c>
    </row>
    <row r="661" spans="1:20" ht="28">
      <c r="A661" s="96"/>
      <c r="B661" s="97" t="s">
        <v>1640</v>
      </c>
      <c r="C661" s="5"/>
      <c r="D661" s="5" t="s">
        <v>1837</v>
      </c>
      <c r="E661" s="132">
        <f t="shared" si="346"/>
        <v>227.3</v>
      </c>
      <c r="F661" s="139">
        <f t="shared" si="347"/>
        <v>216.52</v>
      </c>
      <c r="G661" s="149" t="s">
        <v>1840</v>
      </c>
      <c r="H661" s="82" t="str">
        <f t="shared" ref="H661" si="348">CONCATENATE(K661," percent up in ",L661," international stage")</f>
        <v>0 percent up in Norian international stage</v>
      </c>
      <c r="I661" s="142" t="str">
        <f t="shared" ref="I661" si="349">CONCATENATE(Q661," percent up in ",R661," international stage")</f>
        <v>50 percent up in Norian international stage</v>
      </c>
      <c r="J661" s="7">
        <v>0</v>
      </c>
      <c r="K661" s="129">
        <f t="shared" ref="K661" si="350">ROUND(J661*100,1)</f>
        <v>0</v>
      </c>
      <c r="L661" s="8" t="s">
        <v>86</v>
      </c>
      <c r="M661" s="5"/>
      <c r="O661" s="83"/>
      <c r="P661" s="20">
        <v>0.5</v>
      </c>
      <c r="Q661" s="143">
        <f t="shared" ref="Q661" si="351">ROUND(P661*100,1)</f>
        <v>50</v>
      </c>
      <c r="R661" s="21" t="s">
        <v>86</v>
      </c>
      <c r="S661" s="150" t="s">
        <v>1602</v>
      </c>
    </row>
    <row r="662" spans="1:20" ht="28">
      <c r="A662" s="96" t="s">
        <v>830</v>
      </c>
      <c r="B662" s="97" t="s">
        <v>86</v>
      </c>
      <c r="C662" s="134"/>
      <c r="D662" s="134" t="s">
        <v>222</v>
      </c>
      <c r="E662" s="132">
        <f t="shared" si="346"/>
        <v>227.3</v>
      </c>
      <c r="F662" s="139">
        <f t="shared" si="347"/>
        <v>205.74</v>
      </c>
      <c r="G662" s="149"/>
      <c r="H662" s="82" t="str">
        <f t="shared" si="264"/>
        <v>0 percent up in Norian international stage</v>
      </c>
      <c r="I662" s="142" t="str">
        <f t="shared" si="265"/>
        <v>100 percent up in Norian international stage</v>
      </c>
      <c r="J662" s="7">
        <v>0</v>
      </c>
      <c r="K662" s="129">
        <f t="shared" si="266"/>
        <v>0</v>
      </c>
      <c r="L662" s="8" t="s">
        <v>86</v>
      </c>
      <c r="M662" s="5" t="s">
        <v>224</v>
      </c>
      <c r="N662" s="5" t="s">
        <v>837</v>
      </c>
      <c r="O662" s="84">
        <f>Master_Chronostrat!I90</f>
        <v>227.3</v>
      </c>
      <c r="P662" s="20">
        <v>1</v>
      </c>
      <c r="Q662" s="143">
        <f t="shared" si="267"/>
        <v>100</v>
      </c>
      <c r="R662" s="21" t="s">
        <v>86</v>
      </c>
      <c r="S662" s="8" t="s">
        <v>224</v>
      </c>
      <c r="T662" s="7" t="s">
        <v>226</v>
      </c>
    </row>
    <row r="663" spans="1:20" ht="28">
      <c r="A663" s="96" t="s">
        <v>830</v>
      </c>
      <c r="B663" s="97" t="s">
        <v>838</v>
      </c>
      <c r="C663" s="5"/>
      <c r="D663" s="5" t="s">
        <v>236</v>
      </c>
      <c r="E663" s="132">
        <f t="shared" ref="E663:E675" si="352">$O$675-J663*($O$675-$O$662)</f>
        <v>228.56521739130437</v>
      </c>
      <c r="F663" s="139">
        <f t="shared" si="347"/>
        <v>209.75116279069769</v>
      </c>
      <c r="G663" s="149"/>
      <c r="H663" s="82" t="str">
        <f t="shared" si="264"/>
        <v>87 percent up in Carnian international stage</v>
      </c>
      <c r="I663" s="142" t="str">
        <f t="shared" si="265"/>
        <v>81.4 percent up in Norian international stage</v>
      </c>
      <c r="J663" s="7">
        <v>0.86956521739130432</v>
      </c>
      <c r="K663" s="129">
        <f t="shared" si="266"/>
        <v>87</v>
      </c>
      <c r="L663" s="8" t="s">
        <v>89</v>
      </c>
      <c r="M663" s="5" t="s">
        <v>82</v>
      </c>
      <c r="N663" s="5" t="s">
        <v>82</v>
      </c>
      <c r="O663" s="83"/>
      <c r="P663" s="20">
        <v>0.81395348837209269</v>
      </c>
      <c r="Q663" s="143">
        <f t="shared" si="267"/>
        <v>81.400000000000006</v>
      </c>
      <c r="R663" s="21" t="s">
        <v>86</v>
      </c>
      <c r="S663" s="8" t="s">
        <v>246</v>
      </c>
      <c r="T663" s="7" t="s">
        <v>226</v>
      </c>
    </row>
    <row r="664" spans="1:20" ht="28">
      <c r="A664" s="96" t="s">
        <v>830</v>
      </c>
      <c r="B664" s="97" t="s">
        <v>839</v>
      </c>
      <c r="C664" s="5"/>
      <c r="D664" s="5" t="s">
        <v>248</v>
      </c>
      <c r="E664" s="132">
        <f t="shared" si="352"/>
        <v>229.40869565217392</v>
      </c>
      <c r="F664" s="139">
        <f t="shared" si="347"/>
        <v>214.76511627906979</v>
      </c>
      <c r="G664" s="149"/>
      <c r="H664" s="82" t="str">
        <f t="shared" si="264"/>
        <v>78.3 percent up in Carnian international stage</v>
      </c>
      <c r="I664" s="142" t="str">
        <f t="shared" si="265"/>
        <v>58.1 percent up in Norian international stage</v>
      </c>
      <c r="J664" s="7">
        <v>0.78260869565217395</v>
      </c>
      <c r="K664" s="129">
        <f t="shared" si="266"/>
        <v>78.3</v>
      </c>
      <c r="L664" s="8" t="s">
        <v>89</v>
      </c>
      <c r="M664" s="5" t="s">
        <v>82</v>
      </c>
      <c r="N664" s="5" t="s">
        <v>82</v>
      </c>
      <c r="O664" s="83"/>
      <c r="P664" s="20">
        <v>0.581395348837209</v>
      </c>
      <c r="Q664" s="143">
        <f t="shared" si="267"/>
        <v>58.1</v>
      </c>
      <c r="R664" s="21" t="s">
        <v>86</v>
      </c>
      <c r="S664" s="8" t="s">
        <v>246</v>
      </c>
      <c r="T664" s="7" t="s">
        <v>226</v>
      </c>
    </row>
    <row r="665" spans="1:20" ht="28">
      <c r="A665" s="96" t="s">
        <v>830</v>
      </c>
      <c r="B665" s="97" t="s">
        <v>840</v>
      </c>
      <c r="C665" s="5"/>
      <c r="D665" s="5" t="s">
        <v>236</v>
      </c>
      <c r="E665" s="132">
        <f t="shared" si="352"/>
        <v>234.46956521739131</v>
      </c>
      <c r="F665" s="139">
        <f t="shared" ref="F665:F671" si="353">$O$675-P665*($O$675-$O$662)</f>
        <v>228.56521739130437</v>
      </c>
      <c r="G665" s="149"/>
      <c r="H665" s="82" t="str">
        <f t="shared" si="264"/>
        <v>26.1 percent up in Carnian international stage</v>
      </c>
      <c r="I665" s="142" t="str">
        <f t="shared" si="265"/>
        <v>87 percent up in Carnian international stage</v>
      </c>
      <c r="J665" s="7">
        <v>0.26086956521739135</v>
      </c>
      <c r="K665" s="129">
        <f t="shared" si="266"/>
        <v>26.1</v>
      </c>
      <c r="L665" s="8" t="s">
        <v>89</v>
      </c>
      <c r="M665" s="5" t="s">
        <v>82</v>
      </c>
      <c r="N665" s="5" t="s">
        <v>82</v>
      </c>
      <c r="O665" s="83"/>
      <c r="P665" s="20">
        <v>0.86956521739130432</v>
      </c>
      <c r="Q665" s="143">
        <f t="shared" si="267"/>
        <v>87</v>
      </c>
      <c r="R665" s="21" t="s">
        <v>89</v>
      </c>
      <c r="S665" s="8" t="s">
        <v>259</v>
      </c>
      <c r="T665" s="7">
        <v>0.60869565217391253</v>
      </c>
    </row>
    <row r="666" spans="1:20" ht="28">
      <c r="A666" s="96"/>
      <c r="B666" s="97" t="s">
        <v>1641</v>
      </c>
      <c r="C666" s="5"/>
      <c r="D666" s="5"/>
      <c r="E666" s="132">
        <f t="shared" ref="E666" si="354">$O$675-J666*($O$675-$O$662)</f>
        <v>234.46956521739131</v>
      </c>
      <c r="F666" s="139">
        <f t="shared" si="353"/>
        <v>227.3</v>
      </c>
      <c r="G666" s="149" t="s">
        <v>1643</v>
      </c>
      <c r="H666" s="82" t="str">
        <f t="shared" ref="H666" si="355">CONCATENATE(K666," percent up in ",L666," international stage")</f>
        <v>26.1 percent up in Carnian international stage</v>
      </c>
      <c r="I666" s="142" t="str">
        <f t="shared" ref="I666" si="356">CONCATENATE(Q666," percent up in ",R666," international stage")</f>
        <v>100 percent up in Carnian international stage</v>
      </c>
      <c r="J666" s="7">
        <v>0.26086956521739135</v>
      </c>
      <c r="K666" s="129">
        <f t="shared" ref="K666" si="357">ROUND(J666*100,1)</f>
        <v>26.1</v>
      </c>
      <c r="L666" s="8" t="s">
        <v>89</v>
      </c>
      <c r="M666" s="5" t="s">
        <v>82</v>
      </c>
      <c r="N666" s="5" t="s">
        <v>82</v>
      </c>
      <c r="O666" s="83"/>
      <c r="P666" s="20">
        <v>1</v>
      </c>
      <c r="Q666" s="143">
        <f t="shared" ref="Q666" si="358">ROUND(P666*100,1)</f>
        <v>100</v>
      </c>
      <c r="R666" s="21" t="s">
        <v>89</v>
      </c>
      <c r="S666" s="149" t="s">
        <v>1643</v>
      </c>
    </row>
    <row r="667" spans="1:20" ht="28">
      <c r="A667" s="96" t="s">
        <v>830</v>
      </c>
      <c r="B667" s="97" t="s">
        <v>88</v>
      </c>
      <c r="C667" s="5"/>
      <c r="D667" s="5" t="s">
        <v>82</v>
      </c>
      <c r="E667" s="132">
        <f t="shared" si="352"/>
        <v>234.46956521739131</v>
      </c>
      <c r="F667" s="139">
        <f t="shared" si="353"/>
        <v>227.3</v>
      </c>
      <c r="G667" s="149"/>
      <c r="H667" s="82" t="str">
        <f t="shared" si="264"/>
        <v>26.1 percent up in Carnian international stage</v>
      </c>
      <c r="I667" s="142" t="str">
        <f t="shared" si="265"/>
        <v>100 percent up in Carnian international stage</v>
      </c>
      <c r="J667" s="7">
        <v>0.26086956521739135</v>
      </c>
      <c r="K667" s="129">
        <f t="shared" si="266"/>
        <v>26.1</v>
      </c>
      <c r="L667" s="8" t="s">
        <v>89</v>
      </c>
      <c r="M667" s="5" t="s">
        <v>82</v>
      </c>
      <c r="N667" s="5" t="s">
        <v>82</v>
      </c>
      <c r="O667" s="83"/>
      <c r="P667" s="20">
        <v>1</v>
      </c>
      <c r="Q667" s="143">
        <f t="shared" si="267"/>
        <v>100</v>
      </c>
      <c r="R667" s="21" t="s">
        <v>89</v>
      </c>
      <c r="S667" s="8" t="s">
        <v>272</v>
      </c>
      <c r="T667" s="7" t="s">
        <v>226</v>
      </c>
    </row>
    <row r="668" spans="1:20" ht="28">
      <c r="A668" s="96" t="s">
        <v>830</v>
      </c>
      <c r="B668" s="97" t="s">
        <v>841</v>
      </c>
      <c r="C668" s="5"/>
      <c r="D668" s="5" t="s">
        <v>248</v>
      </c>
      <c r="E668" s="132">
        <f t="shared" si="352"/>
        <v>237</v>
      </c>
      <c r="F668" s="139">
        <f t="shared" si="353"/>
        <v>229.40869565217392</v>
      </c>
      <c r="G668" s="149"/>
      <c r="H668" s="82" t="str">
        <f t="shared" si="264"/>
        <v>0 percent up in Carnian international stage</v>
      </c>
      <c r="I668" s="142" t="str">
        <f t="shared" si="265"/>
        <v>78.3 percent up in Carnian international stage</v>
      </c>
      <c r="J668" s="7">
        <v>0</v>
      </c>
      <c r="K668" s="129">
        <f t="shared" si="266"/>
        <v>0</v>
      </c>
      <c r="L668" s="8" t="s">
        <v>89</v>
      </c>
      <c r="M668" s="5" t="s">
        <v>82</v>
      </c>
      <c r="N668" s="5" t="s">
        <v>82</v>
      </c>
      <c r="O668" s="83"/>
      <c r="P668" s="20">
        <v>0.78260869565217395</v>
      </c>
      <c r="Q668" s="143">
        <f t="shared" si="267"/>
        <v>78.3</v>
      </c>
      <c r="R668" s="21" t="s">
        <v>89</v>
      </c>
      <c r="S668" s="8" t="s">
        <v>230</v>
      </c>
      <c r="T668" s="7" t="s">
        <v>226</v>
      </c>
    </row>
    <row r="669" spans="1:20" ht="28">
      <c r="A669" s="96" t="s">
        <v>830</v>
      </c>
      <c r="B669" s="98" t="s">
        <v>842</v>
      </c>
      <c r="C669" s="5"/>
      <c r="D669" s="5" t="s">
        <v>82</v>
      </c>
      <c r="E669" s="132">
        <f t="shared" si="352"/>
        <v>237</v>
      </c>
      <c r="F669" s="139">
        <f t="shared" si="353"/>
        <v>227.3</v>
      </c>
      <c r="G669" s="149"/>
      <c r="H669" s="82" t="str">
        <f t="shared" si="264"/>
        <v>0 percent up in Carnian international stage</v>
      </c>
      <c r="I669" s="142" t="str">
        <f t="shared" si="265"/>
        <v>100 percent up in Carnian international stage</v>
      </c>
      <c r="J669" s="7">
        <v>0</v>
      </c>
      <c r="K669" s="129">
        <f t="shared" si="266"/>
        <v>0</v>
      </c>
      <c r="L669" s="8" t="s">
        <v>89</v>
      </c>
      <c r="M669" s="5" t="s">
        <v>82</v>
      </c>
      <c r="N669" s="5" t="s">
        <v>82</v>
      </c>
      <c r="O669" s="83"/>
      <c r="P669" s="20">
        <v>1</v>
      </c>
      <c r="Q669" s="143">
        <f t="shared" si="267"/>
        <v>100</v>
      </c>
      <c r="R669" s="21" t="s">
        <v>89</v>
      </c>
      <c r="S669" s="8" t="s">
        <v>232</v>
      </c>
      <c r="T669" s="7" t="s">
        <v>226</v>
      </c>
    </row>
    <row r="670" spans="1:20" ht="42">
      <c r="A670" s="96"/>
      <c r="B670" s="98" t="s">
        <v>1642</v>
      </c>
      <c r="C670" s="5"/>
      <c r="D670" s="5"/>
      <c r="E670" s="132">
        <f t="shared" ref="E670" si="359">$O$675-J670*($O$675-$O$662)</f>
        <v>237</v>
      </c>
      <c r="F670" s="139">
        <f t="shared" si="353"/>
        <v>234.46956521739131</v>
      </c>
      <c r="G670" s="149" t="s">
        <v>1644</v>
      </c>
      <c r="H670" s="82" t="str">
        <f t="shared" ref="H670" si="360">CONCATENATE(K670," percent up in ",L670," international stage")</f>
        <v>0 percent up in Carnian international stage</v>
      </c>
      <c r="I670" s="142" t="str">
        <f t="shared" ref="I670" si="361">CONCATENATE(Q670," percent up in ",R670," international stage")</f>
        <v>26.1 percent up in Carnian international stage</v>
      </c>
      <c r="J670" s="7">
        <v>0</v>
      </c>
      <c r="K670" s="129">
        <f t="shared" ref="K670" si="362">ROUND(J670*100,1)</f>
        <v>0</v>
      </c>
      <c r="L670" s="8" t="s">
        <v>89</v>
      </c>
      <c r="M670" s="5" t="s">
        <v>82</v>
      </c>
      <c r="N670" s="5" t="s">
        <v>82</v>
      </c>
      <c r="O670" s="83"/>
      <c r="P670" s="20">
        <v>0.2608695652173913</v>
      </c>
      <c r="Q670" s="143">
        <f t="shared" ref="Q670" si="363">ROUND(P670*100,1)</f>
        <v>26.1</v>
      </c>
      <c r="R670" s="21" t="s">
        <v>89</v>
      </c>
      <c r="S670" s="151" t="s">
        <v>1644</v>
      </c>
    </row>
    <row r="671" spans="1:20" ht="28">
      <c r="A671" s="96" t="s">
        <v>830</v>
      </c>
      <c r="B671" s="97" t="s">
        <v>90</v>
      </c>
      <c r="C671" s="5"/>
      <c r="D671" s="5" t="s">
        <v>82</v>
      </c>
      <c r="E671" s="132">
        <f t="shared" si="352"/>
        <v>237</v>
      </c>
      <c r="F671" s="139">
        <f t="shared" si="353"/>
        <v>234.46956521739131</v>
      </c>
      <c r="G671" s="149"/>
      <c r="H671" s="82" t="str">
        <f t="shared" ref="H671:H741" si="364">CONCATENATE(K671," percent up in ",L671," international stage")</f>
        <v>0 percent up in Carnian international stage</v>
      </c>
      <c r="I671" s="142" t="str">
        <f t="shared" ref="I671:I741" si="365">CONCATENATE(Q671," percent up in ",R671," international stage")</f>
        <v>26.1 percent up in Carnian international stage</v>
      </c>
      <c r="J671" s="7">
        <v>0</v>
      </c>
      <c r="K671" s="129">
        <f t="shared" ref="K671:K741" si="366">ROUND(J671*100,1)</f>
        <v>0</v>
      </c>
      <c r="L671" s="8" t="s">
        <v>89</v>
      </c>
      <c r="M671" s="5" t="s">
        <v>82</v>
      </c>
      <c r="N671" s="5" t="s">
        <v>82</v>
      </c>
      <c r="O671" s="83"/>
      <c r="P671" s="20">
        <v>0.2608695652173913</v>
      </c>
      <c r="Q671" s="143">
        <f t="shared" ref="Q671:Q741" si="367">ROUND(P671*100,1)</f>
        <v>26.1</v>
      </c>
      <c r="R671" s="21" t="s">
        <v>89</v>
      </c>
      <c r="S671" s="8" t="s">
        <v>230</v>
      </c>
      <c r="T671" s="7" t="s">
        <v>226</v>
      </c>
    </row>
    <row r="672" spans="1:20" ht="28">
      <c r="A672" s="96" t="s">
        <v>830</v>
      </c>
      <c r="B672" s="97" t="s">
        <v>843</v>
      </c>
      <c r="C672" s="5"/>
      <c r="D672" s="5" t="s">
        <v>82</v>
      </c>
      <c r="E672" s="132">
        <f t="shared" si="352"/>
        <v>237</v>
      </c>
      <c r="F672" s="139">
        <f>$O$652-P672*($O$652-$O$649)</f>
        <v>201.36</v>
      </c>
      <c r="G672" s="149"/>
      <c r="H672" s="82" t="str">
        <f t="shared" si="364"/>
        <v>0 percent up in Carnian international stage</v>
      </c>
      <c r="I672" s="142" t="str">
        <f t="shared" si="365"/>
        <v>100 percent up in Rhaetian international stage</v>
      </c>
      <c r="J672" s="7">
        <v>0</v>
      </c>
      <c r="K672" s="129">
        <f t="shared" si="366"/>
        <v>0</v>
      </c>
      <c r="L672" s="8" t="s">
        <v>89</v>
      </c>
      <c r="M672" s="5" t="s">
        <v>82</v>
      </c>
      <c r="N672" s="5" t="s">
        <v>82</v>
      </c>
      <c r="O672" s="83"/>
      <c r="P672" s="20">
        <v>1</v>
      </c>
      <c r="Q672" s="143">
        <f t="shared" si="367"/>
        <v>100</v>
      </c>
      <c r="R672" s="21" t="s">
        <v>83</v>
      </c>
      <c r="S672" s="8" t="s">
        <v>232</v>
      </c>
      <c r="T672" s="7" t="s">
        <v>226</v>
      </c>
    </row>
    <row r="673" spans="1:20" ht="28">
      <c r="A673" s="96" t="s">
        <v>830</v>
      </c>
      <c r="B673" s="97" t="s">
        <v>844</v>
      </c>
      <c r="C673" s="5"/>
      <c r="D673" s="5" t="s">
        <v>82</v>
      </c>
      <c r="E673" s="132">
        <f t="shared" si="352"/>
        <v>237</v>
      </c>
      <c r="F673" s="139">
        <f>$O$662-P673*($O$662-$O$652)</f>
        <v>205.74</v>
      </c>
      <c r="G673" s="149"/>
      <c r="H673" s="82" t="str">
        <f t="shared" si="364"/>
        <v>0 percent up in Carnian international stage</v>
      </c>
      <c r="I673" s="142" t="str">
        <f t="shared" si="365"/>
        <v>100 percent up in Norian international stage</v>
      </c>
      <c r="J673" s="7">
        <v>0</v>
      </c>
      <c r="K673" s="129">
        <f t="shared" si="366"/>
        <v>0</v>
      </c>
      <c r="L673" s="8" t="s">
        <v>89</v>
      </c>
      <c r="M673" s="5" t="s">
        <v>82</v>
      </c>
      <c r="N673" s="5" t="s">
        <v>82</v>
      </c>
      <c r="O673" s="83"/>
      <c r="P673" s="20">
        <v>1</v>
      </c>
      <c r="Q673" s="143">
        <f t="shared" si="367"/>
        <v>100</v>
      </c>
      <c r="R673" s="21" t="s">
        <v>86</v>
      </c>
      <c r="S673" s="8" t="s">
        <v>232</v>
      </c>
      <c r="T673" s="7" t="s">
        <v>226</v>
      </c>
    </row>
    <row r="674" spans="1:20" ht="28">
      <c r="A674" s="96" t="s">
        <v>830</v>
      </c>
      <c r="B674" s="97" t="s">
        <v>89</v>
      </c>
      <c r="C674" s="134"/>
      <c r="D674" s="134" t="s">
        <v>222</v>
      </c>
      <c r="E674" s="132">
        <f t="shared" si="352"/>
        <v>237</v>
      </c>
      <c r="F674" s="139">
        <f>$O$675-P674*($O$675-$O$662)</f>
        <v>227.3</v>
      </c>
      <c r="G674" s="149"/>
      <c r="H674" s="82" t="str">
        <f t="shared" si="364"/>
        <v>0 percent up in Carnian international stage</v>
      </c>
      <c r="I674" s="142" t="str">
        <f t="shared" si="365"/>
        <v>100 percent up in Carnian international stage</v>
      </c>
      <c r="J674" s="7">
        <v>0</v>
      </c>
      <c r="K674" s="129">
        <f t="shared" si="366"/>
        <v>0</v>
      </c>
      <c r="L674" s="8" t="s">
        <v>89</v>
      </c>
      <c r="M674" s="5" t="s">
        <v>224</v>
      </c>
      <c r="N674" s="5" t="s">
        <v>845</v>
      </c>
      <c r="O674" s="84">
        <f>Master_Chronostrat!I92</f>
        <v>237</v>
      </c>
      <c r="P674" s="20">
        <v>1</v>
      </c>
      <c r="Q674" s="143">
        <f t="shared" si="367"/>
        <v>100</v>
      </c>
      <c r="R674" s="21" t="s">
        <v>89</v>
      </c>
      <c r="S674" s="8" t="s">
        <v>224</v>
      </c>
      <c r="T674" s="7" t="s">
        <v>226</v>
      </c>
    </row>
    <row r="675" spans="1:20" ht="28">
      <c r="A675" s="96" t="s">
        <v>830</v>
      </c>
      <c r="B675" s="97" t="s">
        <v>846</v>
      </c>
      <c r="C675" s="134"/>
      <c r="D675" s="134" t="s">
        <v>222</v>
      </c>
      <c r="E675" s="132">
        <f t="shared" si="352"/>
        <v>237</v>
      </c>
      <c r="F675" s="139">
        <f>$O$652-P675*($O$652-$O$649)</f>
        <v>201.36</v>
      </c>
      <c r="G675" s="149"/>
      <c r="H675" s="82" t="str">
        <f t="shared" si="364"/>
        <v>0 percent up in Carnian international stage</v>
      </c>
      <c r="I675" s="142" t="str">
        <f t="shared" si="365"/>
        <v>100 percent up in Rhaetian international stage</v>
      </c>
      <c r="J675" s="7">
        <v>0</v>
      </c>
      <c r="K675" s="129">
        <f t="shared" si="366"/>
        <v>0</v>
      </c>
      <c r="L675" s="8" t="s">
        <v>89</v>
      </c>
      <c r="M675" s="5" t="s">
        <v>224</v>
      </c>
      <c r="N675" s="5" t="s">
        <v>847</v>
      </c>
      <c r="O675" s="84">
        <f>Master_Chronostrat!I92</f>
        <v>237</v>
      </c>
      <c r="P675" s="20">
        <v>1</v>
      </c>
      <c r="Q675" s="143">
        <f t="shared" si="367"/>
        <v>100</v>
      </c>
      <c r="R675" s="21" t="s">
        <v>83</v>
      </c>
      <c r="S675" s="8" t="s">
        <v>239</v>
      </c>
      <c r="T675" s="7" t="s">
        <v>226</v>
      </c>
    </row>
    <row r="676" spans="1:20" ht="28">
      <c r="A676" s="96" t="s">
        <v>830</v>
      </c>
      <c r="B676" s="97" t="s">
        <v>91</v>
      </c>
      <c r="C676" s="5"/>
      <c r="D676" s="5" t="s">
        <v>82</v>
      </c>
      <c r="E676" s="132">
        <f t="shared" ref="E676:E685" si="368">$O$685-J676*($O$685-$O$675)</f>
        <v>238.68488888888891</v>
      </c>
      <c r="F676" s="139">
        <f>$O$685-P676*($O$685-$O$675)</f>
        <v>237</v>
      </c>
      <c r="G676" s="149"/>
      <c r="H676" s="82" t="str">
        <f t="shared" si="364"/>
        <v>62.2 percent up in Ladinian international stage</v>
      </c>
      <c r="I676" s="142" t="str">
        <f t="shared" si="365"/>
        <v>100 percent up in Ladinian international stage</v>
      </c>
      <c r="J676" s="7">
        <v>0.62222222222222157</v>
      </c>
      <c r="K676" s="129">
        <f t="shared" si="366"/>
        <v>62.2</v>
      </c>
      <c r="L676" s="8" t="s">
        <v>92</v>
      </c>
      <c r="M676" s="5" t="s">
        <v>82</v>
      </c>
      <c r="N676" s="5" t="s">
        <v>82</v>
      </c>
      <c r="O676" s="83"/>
      <c r="P676" s="20">
        <v>1</v>
      </c>
      <c r="Q676" s="143">
        <f t="shared" si="367"/>
        <v>100</v>
      </c>
      <c r="R676" s="21" t="s">
        <v>92</v>
      </c>
      <c r="S676" s="8" t="s">
        <v>272</v>
      </c>
      <c r="T676" s="7" t="s">
        <v>226</v>
      </c>
    </row>
    <row r="677" spans="1:20" ht="28">
      <c r="A677" s="96" t="s">
        <v>830</v>
      </c>
      <c r="B677" s="97" t="s">
        <v>848</v>
      </c>
      <c r="C677" s="5"/>
      <c r="D677" s="5" t="s">
        <v>236</v>
      </c>
      <c r="E677" s="132">
        <f t="shared" si="368"/>
        <v>238.98222222222222</v>
      </c>
      <c r="F677" s="139">
        <f>$O$675-P677*($O$675-$O$662)</f>
        <v>234.46956521739131</v>
      </c>
      <c r="G677" s="149"/>
      <c r="H677" s="82" t="str">
        <f t="shared" si="364"/>
        <v>55.6 percent up in Ladinian international stage</v>
      </c>
      <c r="I677" s="142" t="str">
        <f t="shared" si="365"/>
        <v>26.1 percent up in Carnian international stage</v>
      </c>
      <c r="J677" s="7">
        <v>0.55555555555555558</v>
      </c>
      <c r="K677" s="129">
        <f t="shared" si="366"/>
        <v>55.6</v>
      </c>
      <c r="L677" s="8" t="s">
        <v>92</v>
      </c>
      <c r="M677" s="5" t="s">
        <v>82</v>
      </c>
      <c r="N677" s="5" t="s">
        <v>82</v>
      </c>
      <c r="O677" s="83"/>
      <c r="P677" s="20">
        <v>0.2608695652173913</v>
      </c>
      <c r="Q677" s="143">
        <f t="shared" si="367"/>
        <v>26.1</v>
      </c>
      <c r="R677" s="21" t="s">
        <v>89</v>
      </c>
      <c r="S677" s="8" t="s">
        <v>246</v>
      </c>
      <c r="T677" s="7" t="s">
        <v>226</v>
      </c>
    </row>
    <row r="678" spans="1:20" ht="28">
      <c r="A678" s="96" t="s">
        <v>830</v>
      </c>
      <c r="B678" s="97" t="s">
        <v>849</v>
      </c>
      <c r="C678" s="5"/>
      <c r="D678" s="5" t="s">
        <v>82</v>
      </c>
      <c r="E678" s="132">
        <f t="shared" si="368"/>
        <v>239.23000000000002</v>
      </c>
      <c r="F678" s="139">
        <f t="shared" ref="F678:F685" si="369">$O$685-P678*($O$685-$O$675)</f>
        <v>237</v>
      </c>
      <c r="G678" s="149"/>
      <c r="H678" s="82" t="str">
        <f t="shared" si="364"/>
        <v>50 percent up in Ladinian international stage</v>
      </c>
      <c r="I678" s="142" t="str">
        <f t="shared" si="365"/>
        <v>100 percent up in Ladinian international stage</v>
      </c>
      <c r="J678" s="7">
        <v>0.5</v>
      </c>
      <c r="K678" s="129">
        <f t="shared" si="366"/>
        <v>50</v>
      </c>
      <c r="L678" s="8" t="s">
        <v>92</v>
      </c>
      <c r="M678" s="5" t="s">
        <v>82</v>
      </c>
      <c r="N678" s="5" t="s">
        <v>82</v>
      </c>
      <c r="O678" s="83"/>
      <c r="P678" s="20">
        <v>1</v>
      </c>
      <c r="Q678" s="143">
        <f t="shared" si="367"/>
        <v>100</v>
      </c>
      <c r="R678" s="21" t="s">
        <v>92</v>
      </c>
      <c r="S678" s="8" t="s">
        <v>272</v>
      </c>
      <c r="T678" s="7" t="s">
        <v>226</v>
      </c>
    </row>
    <row r="679" spans="1:20" ht="28">
      <c r="A679" s="96" t="s">
        <v>830</v>
      </c>
      <c r="B679" s="97" t="s">
        <v>850</v>
      </c>
      <c r="C679" s="5"/>
      <c r="D679" s="5" t="s">
        <v>82</v>
      </c>
      <c r="E679" s="132">
        <f t="shared" si="368"/>
        <v>239.23000000000002</v>
      </c>
      <c r="F679" s="139">
        <f t="shared" si="369"/>
        <v>237</v>
      </c>
      <c r="G679" s="149"/>
      <c r="H679" s="82" t="str">
        <f t="shared" si="364"/>
        <v>50 percent up in Ladinian international stage</v>
      </c>
      <c r="I679" s="142" t="str">
        <f t="shared" si="365"/>
        <v>100 percent up in Ladinian international stage</v>
      </c>
      <c r="J679" s="7">
        <v>0.5</v>
      </c>
      <c r="K679" s="129">
        <f t="shared" si="366"/>
        <v>50</v>
      </c>
      <c r="L679" s="8" t="s">
        <v>92</v>
      </c>
      <c r="M679" s="5" t="s">
        <v>82</v>
      </c>
      <c r="N679" s="5" t="s">
        <v>82</v>
      </c>
      <c r="O679" s="83"/>
      <c r="P679" s="20">
        <v>1</v>
      </c>
      <c r="Q679" s="143">
        <f t="shared" si="367"/>
        <v>100</v>
      </c>
      <c r="R679" s="21" t="s">
        <v>92</v>
      </c>
      <c r="S679" s="8" t="s">
        <v>272</v>
      </c>
      <c r="T679" s="7" t="s">
        <v>226</v>
      </c>
    </row>
    <row r="680" spans="1:20" ht="28">
      <c r="A680" s="96" t="s">
        <v>830</v>
      </c>
      <c r="B680" s="97" t="s">
        <v>851</v>
      </c>
      <c r="C680" s="5"/>
      <c r="D680" s="5" t="s">
        <v>82</v>
      </c>
      <c r="E680" s="132">
        <f t="shared" si="368"/>
        <v>241.46</v>
      </c>
      <c r="F680" s="139">
        <f t="shared" si="369"/>
        <v>237</v>
      </c>
      <c r="G680" s="149"/>
      <c r="H680" s="82" t="str">
        <f t="shared" si="364"/>
        <v>0 percent up in Ladinian international stage</v>
      </c>
      <c r="I680" s="142" t="str">
        <f t="shared" si="365"/>
        <v>100 percent up in Ladinian international stage</v>
      </c>
      <c r="J680" s="7">
        <v>0</v>
      </c>
      <c r="K680" s="129">
        <f t="shared" si="366"/>
        <v>0</v>
      </c>
      <c r="L680" s="8" t="s">
        <v>92</v>
      </c>
      <c r="M680" s="5" t="s">
        <v>82</v>
      </c>
      <c r="N680" s="5" t="s">
        <v>82</v>
      </c>
      <c r="O680" s="83"/>
      <c r="P680" s="20">
        <v>1</v>
      </c>
      <c r="Q680" s="143">
        <f t="shared" si="367"/>
        <v>100</v>
      </c>
      <c r="R680" s="21" t="s">
        <v>92</v>
      </c>
      <c r="S680" s="8" t="s">
        <v>232</v>
      </c>
      <c r="T680" s="7" t="s">
        <v>226</v>
      </c>
    </row>
    <row r="681" spans="1:20" ht="28">
      <c r="A681" s="96" t="s">
        <v>830</v>
      </c>
      <c r="B681" s="97" t="s">
        <v>852</v>
      </c>
      <c r="C681" s="5"/>
      <c r="D681" s="5" t="s">
        <v>248</v>
      </c>
      <c r="E681" s="132">
        <f t="shared" si="368"/>
        <v>241.46</v>
      </c>
      <c r="F681" s="139">
        <f t="shared" si="369"/>
        <v>237</v>
      </c>
      <c r="G681" s="149"/>
      <c r="H681" s="82" t="str">
        <f t="shared" si="364"/>
        <v>0 percent up in Ladinian international stage</v>
      </c>
      <c r="I681" s="142" t="str">
        <f t="shared" si="365"/>
        <v>100 percent up in Ladinian international stage</v>
      </c>
      <c r="J681" s="7">
        <v>0</v>
      </c>
      <c r="K681" s="129">
        <f t="shared" si="366"/>
        <v>0</v>
      </c>
      <c r="L681" s="8" t="s">
        <v>92</v>
      </c>
      <c r="M681" s="5" t="s">
        <v>82</v>
      </c>
      <c r="N681" s="5" t="s">
        <v>82</v>
      </c>
      <c r="O681" s="83"/>
      <c r="P681" s="20">
        <v>1</v>
      </c>
      <c r="Q681" s="143">
        <f t="shared" si="367"/>
        <v>100</v>
      </c>
      <c r="R681" s="21" t="s">
        <v>92</v>
      </c>
      <c r="S681" s="8" t="s">
        <v>232</v>
      </c>
      <c r="T681" s="7" t="s">
        <v>226</v>
      </c>
    </row>
    <row r="682" spans="1:20" ht="28">
      <c r="A682" s="96" t="s">
        <v>830</v>
      </c>
      <c r="B682" s="97" t="s">
        <v>93</v>
      </c>
      <c r="C682" s="5"/>
      <c r="D682" s="5" t="s">
        <v>82</v>
      </c>
      <c r="E682" s="132">
        <f t="shared" si="368"/>
        <v>241.46</v>
      </c>
      <c r="F682" s="139">
        <f t="shared" si="369"/>
        <v>238.68488888888891</v>
      </c>
      <c r="G682" s="149"/>
      <c r="H682" s="82" t="str">
        <f t="shared" si="364"/>
        <v>0 percent up in Ladinian international stage</v>
      </c>
      <c r="I682" s="142" t="str">
        <f t="shared" si="365"/>
        <v>62.2 percent up in Ladinian international stage</v>
      </c>
      <c r="J682" s="7">
        <v>0</v>
      </c>
      <c r="K682" s="129">
        <f t="shared" si="366"/>
        <v>0</v>
      </c>
      <c r="L682" s="8" t="s">
        <v>92</v>
      </c>
      <c r="M682" s="5" t="s">
        <v>82</v>
      </c>
      <c r="N682" s="5" t="s">
        <v>82</v>
      </c>
      <c r="O682" s="83"/>
      <c r="P682" s="20">
        <v>0.62222222222222157</v>
      </c>
      <c r="Q682" s="143">
        <f t="shared" si="367"/>
        <v>62.2</v>
      </c>
      <c r="R682" s="21" t="s">
        <v>92</v>
      </c>
      <c r="S682" s="8" t="s">
        <v>230</v>
      </c>
      <c r="T682" s="7" t="s">
        <v>226</v>
      </c>
    </row>
    <row r="683" spans="1:20" ht="28">
      <c r="A683" s="96"/>
      <c r="B683" s="97" t="s">
        <v>2179</v>
      </c>
      <c r="C683" s="5"/>
      <c r="D683" s="5"/>
      <c r="E683" s="132">
        <f t="shared" ref="E683:E684" si="370">$O$685-J683*($O$685-$O$675)</f>
        <v>239.23000000000002</v>
      </c>
      <c r="F683" s="139">
        <f t="shared" ref="F683:F684" si="371">$O$685-P683*($O$685-$O$675)</f>
        <v>237</v>
      </c>
      <c r="G683" s="149" t="s">
        <v>2181</v>
      </c>
      <c r="H683" s="82" t="str">
        <f t="shared" si="364"/>
        <v>50 percent up in Ladinian international stage</v>
      </c>
      <c r="I683" s="142" t="str">
        <f t="shared" si="365"/>
        <v>100 percent up in Ladinian international stage</v>
      </c>
      <c r="J683" s="7">
        <v>0.5</v>
      </c>
      <c r="K683" s="129">
        <f t="shared" si="366"/>
        <v>50</v>
      </c>
      <c r="L683" s="8" t="s">
        <v>92</v>
      </c>
      <c r="M683" s="5"/>
      <c r="O683" s="83"/>
      <c r="P683" s="20">
        <v>1</v>
      </c>
      <c r="Q683" s="143">
        <f t="shared" si="367"/>
        <v>100</v>
      </c>
      <c r="R683" s="21" t="s">
        <v>92</v>
      </c>
      <c r="S683" s="8"/>
    </row>
    <row r="684" spans="1:20" ht="28">
      <c r="A684" s="96"/>
      <c r="B684" s="97" t="s">
        <v>2180</v>
      </c>
      <c r="C684" s="5"/>
      <c r="D684" s="5"/>
      <c r="E684" s="132">
        <f t="shared" si="370"/>
        <v>241.46</v>
      </c>
      <c r="F684" s="139">
        <f t="shared" si="371"/>
        <v>239.23000000000002</v>
      </c>
      <c r="G684" s="149" t="s">
        <v>2181</v>
      </c>
      <c r="H684" s="82" t="str">
        <f t="shared" si="364"/>
        <v>0 percent up in Ladinian international stage</v>
      </c>
      <c r="I684" s="142" t="str">
        <f t="shared" si="365"/>
        <v>50 percent up in Ladinian international stage</v>
      </c>
      <c r="J684" s="7">
        <v>0</v>
      </c>
      <c r="K684" s="129">
        <f t="shared" si="366"/>
        <v>0</v>
      </c>
      <c r="L684" s="8" t="s">
        <v>92</v>
      </c>
      <c r="M684" s="5"/>
      <c r="O684" s="83"/>
      <c r="P684" s="20">
        <v>0.5</v>
      </c>
      <c r="Q684" s="143">
        <f t="shared" si="367"/>
        <v>50</v>
      </c>
      <c r="R684" s="21" t="s">
        <v>92</v>
      </c>
      <c r="S684" s="8"/>
    </row>
    <row r="685" spans="1:20" ht="28">
      <c r="A685" s="96" t="s">
        <v>830</v>
      </c>
      <c r="B685" s="97" t="s">
        <v>92</v>
      </c>
      <c r="C685" s="134"/>
      <c r="D685" s="134" t="s">
        <v>222</v>
      </c>
      <c r="E685" s="132">
        <f t="shared" si="368"/>
        <v>241.46</v>
      </c>
      <c r="F685" s="139">
        <f t="shared" si="369"/>
        <v>237</v>
      </c>
      <c r="G685" s="149"/>
      <c r="H685" s="82" t="str">
        <f t="shared" si="364"/>
        <v>0 percent up in Ladinian international stage</v>
      </c>
      <c r="I685" s="142" t="str">
        <f t="shared" si="365"/>
        <v>100 percent up in Ladinian international stage</v>
      </c>
      <c r="J685" s="7">
        <v>0</v>
      </c>
      <c r="K685" s="129">
        <f t="shared" si="366"/>
        <v>0</v>
      </c>
      <c r="L685" s="8" t="s">
        <v>92</v>
      </c>
      <c r="M685" s="5" t="s">
        <v>224</v>
      </c>
      <c r="N685" s="5" t="s">
        <v>853</v>
      </c>
      <c r="O685" s="84">
        <f>Master_Chronostrat!I94</f>
        <v>241.46</v>
      </c>
      <c r="P685" s="20">
        <v>1</v>
      </c>
      <c r="Q685" s="143">
        <f t="shared" si="367"/>
        <v>100</v>
      </c>
      <c r="R685" s="21" t="s">
        <v>92</v>
      </c>
      <c r="S685" s="8" t="s">
        <v>224</v>
      </c>
      <c r="T685" s="7" t="s">
        <v>226</v>
      </c>
    </row>
    <row r="686" spans="1:20" ht="34">
      <c r="A686" s="96"/>
      <c r="B686" s="97" t="s">
        <v>1843</v>
      </c>
      <c r="C686" s="5"/>
      <c r="D686" s="5" t="s">
        <v>82</v>
      </c>
      <c r="E686" s="132">
        <f t="shared" ref="E686" si="372">$O$700-J686*($O$700-$O$685)</f>
        <v>246.7</v>
      </c>
      <c r="F686" s="139">
        <f>$O$700-P686*($O$700-$O$685)</f>
        <v>241.46</v>
      </c>
      <c r="G686" s="149" t="s">
        <v>1844</v>
      </c>
      <c r="H686" s="82" t="str">
        <f t="shared" ref="H686" si="373">CONCATENATE(K686," percent up in ",L686," international stage")</f>
        <v>0 percent up in Ladinian international stage</v>
      </c>
      <c r="I686" s="142" t="str">
        <f t="shared" ref="I686" si="374">CONCATENATE(Q686," percent up in ",R686," international stage")</f>
        <v>100 percent up in Ladinian international stage</v>
      </c>
      <c r="J686" s="7">
        <v>0</v>
      </c>
      <c r="K686" s="129">
        <f t="shared" ref="K686" si="375">ROUND(J686*100,1)</f>
        <v>0</v>
      </c>
      <c r="L686" s="8" t="s">
        <v>92</v>
      </c>
      <c r="M686" s="5"/>
      <c r="O686" s="84"/>
      <c r="P686" s="20">
        <v>1</v>
      </c>
      <c r="Q686" s="143">
        <f t="shared" ref="Q686" si="376">ROUND(P686*100,1)</f>
        <v>100</v>
      </c>
      <c r="R686" s="21" t="s">
        <v>92</v>
      </c>
      <c r="S686" s="149" t="s">
        <v>1844</v>
      </c>
    </row>
    <row r="687" spans="1:20" ht="28">
      <c r="A687" s="96" t="s">
        <v>830</v>
      </c>
      <c r="B687" s="97" t="s">
        <v>94</v>
      </c>
      <c r="C687" s="5"/>
      <c r="D687" s="5" t="s">
        <v>82</v>
      </c>
      <c r="E687" s="132">
        <f t="shared" ref="E687:E698" si="377">$O$700-J687*($O$700-$O$685)</f>
        <v>242.77</v>
      </c>
      <c r="F687" s="139">
        <f>$O$700-P687*($O$700-$O$685)</f>
        <v>241.46</v>
      </c>
      <c r="G687" s="149"/>
      <c r="H687" s="82" t="str">
        <f t="shared" si="364"/>
        <v>75 percent up in Anisian international stage</v>
      </c>
      <c r="I687" s="142" t="str">
        <f t="shared" si="365"/>
        <v>100 percent up in Anisian international stage</v>
      </c>
      <c r="J687" s="7">
        <v>0.75</v>
      </c>
      <c r="K687" s="129">
        <f t="shared" si="366"/>
        <v>75</v>
      </c>
      <c r="L687" s="8" t="s">
        <v>97</v>
      </c>
      <c r="M687" s="5" t="s">
        <v>82</v>
      </c>
      <c r="N687" s="5" t="s">
        <v>82</v>
      </c>
      <c r="O687" s="83"/>
      <c r="P687" s="20">
        <v>1</v>
      </c>
      <c r="Q687" s="143">
        <f t="shared" si="367"/>
        <v>100</v>
      </c>
      <c r="R687" s="21" t="s">
        <v>97</v>
      </c>
      <c r="S687" s="8" t="s">
        <v>272</v>
      </c>
      <c r="T687" s="7" t="s">
        <v>226</v>
      </c>
    </row>
    <row r="688" spans="1:20" ht="28">
      <c r="A688" s="96" t="s">
        <v>830</v>
      </c>
      <c r="B688" s="97" t="s">
        <v>95</v>
      </c>
      <c r="C688" s="5"/>
      <c r="D688" s="5" t="s">
        <v>82</v>
      </c>
      <c r="E688" s="132">
        <f t="shared" si="377"/>
        <v>244.07999999999998</v>
      </c>
      <c r="F688" s="139">
        <f>$O$700-P688*($O$700-$O$685)</f>
        <v>242.77</v>
      </c>
      <c r="G688" s="149"/>
      <c r="H688" s="82" t="str">
        <f t="shared" si="364"/>
        <v>50 percent up in Anisian international stage</v>
      </c>
      <c r="I688" s="142" t="str">
        <f t="shared" si="365"/>
        <v>75 percent up in Anisian international stage</v>
      </c>
      <c r="J688" s="7">
        <v>0.5</v>
      </c>
      <c r="K688" s="129">
        <f t="shared" si="366"/>
        <v>50</v>
      </c>
      <c r="L688" s="8" t="s">
        <v>97</v>
      </c>
      <c r="M688" s="5" t="s">
        <v>82</v>
      </c>
      <c r="N688" s="5" t="s">
        <v>82</v>
      </c>
      <c r="O688" s="83"/>
      <c r="P688" s="20">
        <v>0.75</v>
      </c>
      <c r="Q688" s="143">
        <f t="shared" si="367"/>
        <v>75</v>
      </c>
      <c r="R688" s="21" t="s">
        <v>97</v>
      </c>
      <c r="S688" s="8" t="s">
        <v>259</v>
      </c>
      <c r="T688" s="7">
        <v>0.24999999999999728</v>
      </c>
    </row>
    <row r="689" spans="1:20" ht="28">
      <c r="A689" s="96" t="s">
        <v>830</v>
      </c>
      <c r="B689" s="97" t="s">
        <v>96</v>
      </c>
      <c r="C689" s="5"/>
      <c r="D689" s="5" t="s">
        <v>82</v>
      </c>
      <c r="E689" s="132">
        <f t="shared" si="377"/>
        <v>245.39</v>
      </c>
      <c r="F689" s="139">
        <f>$O$700-P689*($O$700-$O$685)</f>
        <v>244.07999999999998</v>
      </c>
      <c r="G689" s="149"/>
      <c r="H689" s="82" t="str">
        <f t="shared" si="364"/>
        <v>25 percent up in Anisian international stage</v>
      </c>
      <c r="I689" s="142" t="str">
        <f t="shared" si="365"/>
        <v>50 percent up in Anisian international stage</v>
      </c>
      <c r="J689" s="7">
        <v>0.25</v>
      </c>
      <c r="K689" s="129">
        <f t="shared" si="366"/>
        <v>25</v>
      </c>
      <c r="L689" s="8" t="s">
        <v>97</v>
      </c>
      <c r="M689" s="5" t="s">
        <v>82</v>
      </c>
      <c r="N689" s="5" t="s">
        <v>82</v>
      </c>
      <c r="O689" s="83"/>
      <c r="P689" s="20">
        <v>0.5</v>
      </c>
      <c r="Q689" s="143">
        <f t="shared" si="367"/>
        <v>50</v>
      </c>
      <c r="R689" s="21" t="s">
        <v>97</v>
      </c>
      <c r="S689" s="8" t="s">
        <v>259</v>
      </c>
      <c r="T689" s="7">
        <v>0.24999999999999728</v>
      </c>
    </row>
    <row r="690" spans="1:20" ht="28">
      <c r="A690" s="96" t="s">
        <v>830</v>
      </c>
      <c r="B690" s="97" t="s">
        <v>854</v>
      </c>
      <c r="C690" s="5"/>
      <c r="D690" s="5" t="s">
        <v>236</v>
      </c>
      <c r="E690" s="132">
        <f t="shared" si="377"/>
        <v>245.39</v>
      </c>
      <c r="F690" s="139">
        <f>$O$685-P690*($O$685-$O$675)</f>
        <v>238.98222222222222</v>
      </c>
      <c r="G690" s="149"/>
      <c r="H690" s="82" t="str">
        <f t="shared" si="364"/>
        <v>25 percent up in Anisian international stage</v>
      </c>
      <c r="I690" s="142" t="str">
        <f t="shared" si="365"/>
        <v>55.6 percent up in Ladinian international stage</v>
      </c>
      <c r="J690" s="7">
        <v>0.25</v>
      </c>
      <c r="K690" s="129">
        <f t="shared" si="366"/>
        <v>25</v>
      </c>
      <c r="L690" s="8" t="s">
        <v>97</v>
      </c>
      <c r="M690" s="5" t="s">
        <v>82</v>
      </c>
      <c r="N690" s="5" t="s">
        <v>82</v>
      </c>
      <c r="O690" s="83"/>
      <c r="P690" s="20">
        <v>0.55555555555555558</v>
      </c>
      <c r="Q690" s="143">
        <f t="shared" si="367"/>
        <v>55.6</v>
      </c>
      <c r="R690" s="21" t="s">
        <v>92</v>
      </c>
      <c r="S690" s="8" t="s">
        <v>246</v>
      </c>
      <c r="T690" s="7" t="s">
        <v>226</v>
      </c>
    </row>
    <row r="691" spans="1:20" ht="28">
      <c r="A691" s="96" t="s">
        <v>830</v>
      </c>
      <c r="B691" s="97" t="s">
        <v>98</v>
      </c>
      <c r="C691" s="5"/>
      <c r="D691" s="5" t="s">
        <v>82</v>
      </c>
      <c r="E691" s="132">
        <f t="shared" si="377"/>
        <v>246.7</v>
      </c>
      <c r="F691" s="139">
        <f>$O$700-P691*($O$700-$O$685)</f>
        <v>245.39</v>
      </c>
      <c r="G691" s="149"/>
      <c r="H691" s="82" t="str">
        <f t="shared" si="364"/>
        <v>0 percent up in Anisian international stage</v>
      </c>
      <c r="I691" s="142" t="str">
        <f t="shared" si="365"/>
        <v>25 percent up in Anisian international stage</v>
      </c>
      <c r="J691" s="7">
        <v>0</v>
      </c>
      <c r="K691" s="129">
        <f t="shared" si="366"/>
        <v>0</v>
      </c>
      <c r="L691" s="8" t="s">
        <v>97</v>
      </c>
      <c r="M691" s="5" t="s">
        <v>82</v>
      </c>
      <c r="N691" s="5" t="s">
        <v>82</v>
      </c>
      <c r="O691" s="83"/>
      <c r="P691" s="20">
        <v>0.25</v>
      </c>
      <c r="Q691" s="143">
        <f t="shared" si="367"/>
        <v>25</v>
      </c>
      <c r="R691" s="21" t="s">
        <v>97</v>
      </c>
      <c r="S691" s="8" t="s">
        <v>230</v>
      </c>
      <c r="T691" s="7" t="s">
        <v>226</v>
      </c>
    </row>
    <row r="692" spans="1:20" ht="28">
      <c r="A692" s="96" t="s">
        <v>830</v>
      </c>
      <c r="B692" s="97" t="s">
        <v>855</v>
      </c>
      <c r="C692" s="5"/>
      <c r="D692" s="5" t="s">
        <v>248</v>
      </c>
      <c r="E692" s="132">
        <f t="shared" si="377"/>
        <v>246.7</v>
      </c>
      <c r="F692" s="139">
        <f>$O$700-P692*($O$700-$O$685)</f>
        <v>241.46</v>
      </c>
      <c r="G692" s="149"/>
      <c r="H692" s="82" t="str">
        <f t="shared" si="364"/>
        <v>0 percent up in Anisian international stage</v>
      </c>
      <c r="I692" s="142" t="str">
        <f t="shared" si="365"/>
        <v>100 percent up in Anisian international stage</v>
      </c>
      <c r="J692" s="7">
        <v>0</v>
      </c>
      <c r="K692" s="129">
        <f t="shared" si="366"/>
        <v>0</v>
      </c>
      <c r="L692" s="8" t="s">
        <v>97</v>
      </c>
      <c r="M692" s="5" t="s">
        <v>82</v>
      </c>
      <c r="N692" s="5" t="s">
        <v>82</v>
      </c>
      <c r="O692" s="83"/>
      <c r="P692" s="20">
        <v>1</v>
      </c>
      <c r="Q692" s="143">
        <f t="shared" si="367"/>
        <v>100</v>
      </c>
      <c r="R692" s="21" t="s">
        <v>97</v>
      </c>
      <c r="S692" s="8" t="s">
        <v>232</v>
      </c>
      <c r="T692" s="7" t="s">
        <v>226</v>
      </c>
    </row>
    <row r="693" spans="1:20" ht="28">
      <c r="A693" s="96" t="s">
        <v>830</v>
      </c>
      <c r="B693" s="97" t="s">
        <v>856</v>
      </c>
      <c r="C693" s="5"/>
      <c r="D693" s="5" t="s">
        <v>82</v>
      </c>
      <c r="E693" s="132">
        <f t="shared" si="377"/>
        <v>246.7</v>
      </c>
      <c r="F693" s="139">
        <f>$O$685-P693*($O$685-$O$675)</f>
        <v>237</v>
      </c>
      <c r="G693" s="149"/>
      <c r="H693" s="82" t="str">
        <f t="shared" si="364"/>
        <v>0 percent up in Anisian international stage</v>
      </c>
      <c r="I693" s="142" t="str">
        <f t="shared" si="365"/>
        <v>100 percent up in Ladinian international stage</v>
      </c>
      <c r="J693" s="7">
        <v>0</v>
      </c>
      <c r="K693" s="129">
        <f t="shared" si="366"/>
        <v>0</v>
      </c>
      <c r="L693" s="8" t="s">
        <v>97</v>
      </c>
      <c r="M693" s="5" t="s">
        <v>82</v>
      </c>
      <c r="N693" s="5" t="s">
        <v>82</v>
      </c>
      <c r="O693" s="83"/>
      <c r="P693" s="20">
        <v>1</v>
      </c>
      <c r="Q693" s="143">
        <f t="shared" si="367"/>
        <v>100</v>
      </c>
      <c r="R693" s="21" t="s">
        <v>92</v>
      </c>
      <c r="S693" s="8" t="s">
        <v>232</v>
      </c>
      <c r="T693" s="7" t="s">
        <v>226</v>
      </c>
    </row>
    <row r="694" spans="1:20" ht="28">
      <c r="A694" s="96" t="s">
        <v>830</v>
      </c>
      <c r="B694" s="97" t="s">
        <v>857</v>
      </c>
      <c r="C694" s="5"/>
      <c r="D694" s="5" t="s">
        <v>82</v>
      </c>
      <c r="E694" s="132">
        <f t="shared" si="377"/>
        <v>246.7</v>
      </c>
      <c r="F694" s="139">
        <f>$O$700-P694*($O$700-$O$685)</f>
        <v>241.46</v>
      </c>
      <c r="G694" s="149"/>
      <c r="H694" s="82" t="str">
        <f t="shared" si="364"/>
        <v>0 percent up in Anisian international stage</v>
      </c>
      <c r="I694" s="142" t="str">
        <f t="shared" si="365"/>
        <v>100 percent up in Anisian international stage</v>
      </c>
      <c r="J694" s="7">
        <v>0</v>
      </c>
      <c r="K694" s="129">
        <f t="shared" si="366"/>
        <v>0</v>
      </c>
      <c r="L694" s="8" t="s">
        <v>97</v>
      </c>
      <c r="M694" s="5" t="s">
        <v>82</v>
      </c>
      <c r="N694" s="5" t="s">
        <v>82</v>
      </c>
      <c r="O694" s="83"/>
      <c r="P694" s="20">
        <v>1</v>
      </c>
      <c r="Q694" s="143">
        <f t="shared" si="367"/>
        <v>100</v>
      </c>
      <c r="R694" s="21" t="s">
        <v>97</v>
      </c>
      <c r="S694" s="8" t="s">
        <v>232</v>
      </c>
      <c r="T694" s="7" t="s">
        <v>226</v>
      </c>
    </row>
    <row r="695" spans="1:20" ht="28">
      <c r="A695" s="96" t="s">
        <v>830</v>
      </c>
      <c r="B695" s="97" t="s">
        <v>2112</v>
      </c>
      <c r="C695" s="5"/>
      <c r="D695" s="5"/>
      <c r="E695" s="132">
        <f t="shared" si="377"/>
        <v>246.7</v>
      </c>
      <c r="F695" s="139">
        <f>$O$700-P695*($O$700-$O$685)</f>
        <v>244.07999999999998</v>
      </c>
      <c r="G695" s="149" t="s">
        <v>2113</v>
      </c>
      <c r="H695" s="82" t="str">
        <f t="shared" si="364"/>
        <v>0 percent up in Anisian international stage</v>
      </c>
      <c r="I695" s="142" t="str">
        <f t="shared" si="365"/>
        <v>50 percent up in Anisian international stage</v>
      </c>
      <c r="J695" s="7">
        <v>0</v>
      </c>
      <c r="K695" s="129">
        <f t="shared" ref="K695:K696" si="378">ROUND(J695*100,1)</f>
        <v>0</v>
      </c>
      <c r="L695" s="8" t="s">
        <v>97</v>
      </c>
      <c r="M695" s="5"/>
      <c r="O695" s="83"/>
      <c r="P695" s="20">
        <v>0.5</v>
      </c>
      <c r="Q695" s="143">
        <f t="shared" ref="Q695:Q696" si="379">ROUND(P695*100,1)</f>
        <v>50</v>
      </c>
      <c r="R695" s="21" t="s">
        <v>97</v>
      </c>
      <c r="S695" s="8"/>
    </row>
    <row r="696" spans="1:20" ht="28">
      <c r="A696" s="96"/>
      <c r="B696" s="97" t="s">
        <v>2182</v>
      </c>
      <c r="C696" s="5"/>
      <c r="D696" s="5"/>
      <c r="E696" s="132">
        <f t="shared" ref="E696" si="380">$O$700-J696*($O$700-$O$685)</f>
        <v>244.07999999999998</v>
      </c>
      <c r="F696" s="139">
        <f>$O$700-P696*($O$700-$O$685)</f>
        <v>241.46</v>
      </c>
      <c r="G696" s="149" t="s">
        <v>2183</v>
      </c>
      <c r="H696" s="82" t="str">
        <f t="shared" si="364"/>
        <v>50 percent up in Anisian international stage</v>
      </c>
      <c r="I696" s="142" t="str">
        <f t="shared" si="365"/>
        <v>100 percent up in Anisian international stage</v>
      </c>
      <c r="J696" s="7">
        <v>0.5</v>
      </c>
      <c r="K696" s="129">
        <f t="shared" si="378"/>
        <v>50</v>
      </c>
      <c r="L696" s="8" t="s">
        <v>97</v>
      </c>
      <c r="M696" s="5"/>
      <c r="O696" s="83"/>
      <c r="P696" s="20">
        <v>1</v>
      </c>
      <c r="Q696" s="143">
        <f t="shared" si="379"/>
        <v>100</v>
      </c>
      <c r="R696" s="21" t="s">
        <v>97</v>
      </c>
      <c r="S696" s="8"/>
    </row>
    <row r="697" spans="1:20" ht="28">
      <c r="A697" s="96" t="s">
        <v>830</v>
      </c>
      <c r="B697" s="97" t="s">
        <v>2114</v>
      </c>
      <c r="C697" s="5"/>
      <c r="D697" s="5"/>
      <c r="E697" s="132">
        <f t="shared" si="377"/>
        <v>246.7</v>
      </c>
      <c r="F697" s="139">
        <f>$O$700-P697*($O$700-$O$685)</f>
        <v>244.07999999999998</v>
      </c>
      <c r="G697" s="149" t="s">
        <v>2113</v>
      </c>
      <c r="H697" s="82" t="str">
        <f t="shared" ref="H697" si="381">CONCATENATE(K697," percent up in ",L697," international stage")</f>
        <v>0 percent up in Anisian international stage</v>
      </c>
      <c r="I697" s="142" t="str">
        <f t="shared" ref="I697" si="382">CONCATENATE(Q697," percent up in ",R697," international stage")</f>
        <v>50 percent up in Anisian international stage</v>
      </c>
      <c r="J697" s="7">
        <v>0</v>
      </c>
      <c r="K697" s="129">
        <f t="shared" ref="K697" si="383">ROUND(J697*100,1)</f>
        <v>0</v>
      </c>
      <c r="L697" s="8" t="s">
        <v>97</v>
      </c>
      <c r="M697" s="5"/>
      <c r="O697" s="83"/>
      <c r="P697" s="20">
        <v>0.5</v>
      </c>
      <c r="Q697" s="143">
        <f t="shared" ref="Q697" si="384">ROUND(P697*100,1)</f>
        <v>50</v>
      </c>
      <c r="R697" s="21" t="s">
        <v>97</v>
      </c>
      <c r="S697" s="8"/>
    </row>
    <row r="698" spans="1:20" ht="28">
      <c r="A698" s="96" t="s">
        <v>830</v>
      </c>
      <c r="B698" s="97" t="s">
        <v>97</v>
      </c>
      <c r="C698" s="134"/>
      <c r="D698" s="134" t="s">
        <v>222</v>
      </c>
      <c r="E698" s="132">
        <f t="shared" si="377"/>
        <v>246.7</v>
      </c>
      <c r="F698" s="139">
        <f>$O$700-P698*($O$700-$O$685)</f>
        <v>241.46</v>
      </c>
      <c r="G698" s="149"/>
      <c r="H698" s="82" t="str">
        <f t="shared" si="364"/>
        <v>0 percent up in Anisian international stage</v>
      </c>
      <c r="I698" s="142" t="str">
        <f t="shared" si="365"/>
        <v>100 percent up in Anisian international stage</v>
      </c>
      <c r="J698" s="7">
        <v>0</v>
      </c>
      <c r="K698" s="129">
        <f t="shared" si="366"/>
        <v>0</v>
      </c>
      <c r="L698" s="8" t="s">
        <v>97</v>
      </c>
      <c r="M698" s="5" t="s">
        <v>224</v>
      </c>
      <c r="N698" s="5" t="s">
        <v>858</v>
      </c>
      <c r="O698" s="84">
        <f>Master_Chronostrat!I98</f>
        <v>246.7</v>
      </c>
      <c r="P698" s="20">
        <v>1</v>
      </c>
      <c r="Q698" s="143">
        <f t="shared" si="367"/>
        <v>100</v>
      </c>
      <c r="R698" s="21" t="s">
        <v>97</v>
      </c>
      <c r="S698" s="8" t="s">
        <v>224</v>
      </c>
      <c r="T698" s="7" t="s">
        <v>226</v>
      </c>
    </row>
    <row r="699" spans="1:20" ht="34">
      <c r="A699" s="96" t="s">
        <v>830</v>
      </c>
      <c r="B699" s="97" t="s">
        <v>1841</v>
      </c>
      <c r="C699" s="5"/>
      <c r="D699" s="5" t="s">
        <v>82</v>
      </c>
      <c r="E699" s="132">
        <f t="shared" ref="E699" si="385">$O$700-J699*($O$700-$O$685)</f>
        <v>246.7</v>
      </c>
      <c r="F699" s="139">
        <f>$O$685-P699*($O$685-$O$675)</f>
        <v>237</v>
      </c>
      <c r="G699" s="149" t="s">
        <v>1842</v>
      </c>
      <c r="H699" s="82" t="str">
        <f t="shared" ref="H699" si="386">CONCATENATE(K699," percent up in ",L699," international stage")</f>
        <v>0 percent up in Anisian international stage</v>
      </c>
      <c r="I699" s="142" t="str">
        <f t="shared" ref="I699" si="387">CONCATENATE(Q699," percent up in ",R699," international stage")</f>
        <v>100 percent up in Anisian international stage</v>
      </c>
      <c r="J699" s="7">
        <v>0</v>
      </c>
      <c r="K699" s="129">
        <f t="shared" ref="K699" si="388">ROUND(J699*100,1)</f>
        <v>0</v>
      </c>
      <c r="L699" s="8" t="s">
        <v>97</v>
      </c>
      <c r="M699" s="5"/>
      <c r="O699" s="84"/>
      <c r="P699" s="20">
        <v>1</v>
      </c>
      <c r="Q699" s="143">
        <f t="shared" ref="Q699" si="389">ROUND(P699*100,1)</f>
        <v>100</v>
      </c>
      <c r="R699" s="21" t="s">
        <v>97</v>
      </c>
      <c r="S699" s="149" t="s">
        <v>1842</v>
      </c>
    </row>
    <row r="700" spans="1:20" ht="28">
      <c r="A700" s="96" t="s">
        <v>830</v>
      </c>
      <c r="B700" s="97" t="s">
        <v>859</v>
      </c>
      <c r="C700" s="134"/>
      <c r="D700" s="134" t="s">
        <v>222</v>
      </c>
      <c r="E700" s="132">
        <f>$O$700-J700*($O$700-$O$685)</f>
        <v>246.7</v>
      </c>
      <c r="F700" s="139">
        <f>$O$685-P700*($O$685-$O$675)</f>
        <v>237</v>
      </c>
      <c r="G700" s="149"/>
      <c r="H700" s="82" t="str">
        <f t="shared" si="364"/>
        <v>0 percent up in Anisian international stage</v>
      </c>
      <c r="I700" s="142" t="str">
        <f t="shared" si="365"/>
        <v>100 percent up in Ladinian international stage</v>
      </c>
      <c r="J700" s="7">
        <v>0</v>
      </c>
      <c r="K700" s="129">
        <f t="shared" si="366"/>
        <v>0</v>
      </c>
      <c r="L700" s="8" t="s">
        <v>97</v>
      </c>
      <c r="M700" s="5" t="s">
        <v>224</v>
      </c>
      <c r="N700" s="5" t="s">
        <v>860</v>
      </c>
      <c r="O700" s="84">
        <f>Master_Chronostrat!I98</f>
        <v>246.7</v>
      </c>
      <c r="P700" s="20">
        <v>1</v>
      </c>
      <c r="Q700" s="143">
        <f t="shared" si="367"/>
        <v>100</v>
      </c>
      <c r="R700" s="21" t="s">
        <v>92</v>
      </c>
      <c r="S700" s="8" t="s">
        <v>239</v>
      </c>
      <c r="T700" s="7" t="s">
        <v>226</v>
      </c>
    </row>
    <row r="701" spans="1:20" ht="28">
      <c r="A701" s="96" t="s">
        <v>830</v>
      </c>
      <c r="B701" s="97" t="s">
        <v>99</v>
      </c>
      <c r="C701" s="5"/>
      <c r="D701" s="5" t="s">
        <v>244</v>
      </c>
      <c r="E701" s="132">
        <f t="shared" ref="E701:E706" si="390">$O$706-J701*($O$706-$O$700)</f>
        <v>248.32382978723405</v>
      </c>
      <c r="F701" s="139">
        <f>$O$706-P701*($O$706-$O$700)</f>
        <v>246.7</v>
      </c>
      <c r="G701" s="149"/>
      <c r="H701" s="82" t="str">
        <f t="shared" si="364"/>
        <v>48.9 percent up in Olenekian international stage</v>
      </c>
      <c r="I701" s="142" t="str">
        <f t="shared" si="365"/>
        <v>100 percent up in Olenekian international stage</v>
      </c>
      <c r="J701" s="7">
        <v>0.48936170212765717</v>
      </c>
      <c r="K701" s="129">
        <f t="shared" si="366"/>
        <v>48.9</v>
      </c>
      <c r="L701" s="8" t="s">
        <v>100</v>
      </c>
      <c r="M701" s="5" t="s">
        <v>82</v>
      </c>
      <c r="N701" s="5" t="s">
        <v>82</v>
      </c>
      <c r="O701" s="83"/>
      <c r="P701" s="20">
        <v>1</v>
      </c>
      <c r="Q701" s="143">
        <f t="shared" si="367"/>
        <v>100</v>
      </c>
      <c r="R701" s="21" t="s">
        <v>100</v>
      </c>
      <c r="S701" s="8" t="s">
        <v>272</v>
      </c>
      <c r="T701" s="7" t="s">
        <v>226</v>
      </c>
    </row>
    <row r="702" spans="1:20" ht="28">
      <c r="A702" s="96" t="s">
        <v>830</v>
      </c>
      <c r="B702" s="97" t="s">
        <v>861</v>
      </c>
      <c r="C702" s="5"/>
      <c r="D702" s="5" t="s">
        <v>236</v>
      </c>
      <c r="E702" s="132">
        <f t="shared" si="390"/>
        <v>248.72978723404256</v>
      </c>
      <c r="F702" s="139">
        <f>$O$700-P702*($O$700-$O$685)</f>
        <v>245.39</v>
      </c>
      <c r="G702" s="149"/>
      <c r="H702" s="82" t="str">
        <f t="shared" si="364"/>
        <v>36.2 percent up in Olenekian international stage</v>
      </c>
      <c r="I702" s="142" t="str">
        <f t="shared" si="365"/>
        <v>25 percent up in Anisian international stage</v>
      </c>
      <c r="J702" s="7">
        <v>0.36170212765957288</v>
      </c>
      <c r="K702" s="129">
        <f t="shared" si="366"/>
        <v>36.200000000000003</v>
      </c>
      <c r="L702" s="8" t="s">
        <v>100</v>
      </c>
      <c r="M702" s="5" t="s">
        <v>82</v>
      </c>
      <c r="N702" s="5" t="s">
        <v>82</v>
      </c>
      <c r="O702" s="83"/>
      <c r="P702" s="20">
        <v>0.25</v>
      </c>
      <c r="Q702" s="143">
        <f t="shared" si="367"/>
        <v>25</v>
      </c>
      <c r="R702" s="21" t="s">
        <v>97</v>
      </c>
      <c r="S702" s="8" t="s">
        <v>246</v>
      </c>
      <c r="T702" s="7" t="s">
        <v>226</v>
      </c>
    </row>
    <row r="703" spans="1:20" ht="28">
      <c r="A703" s="96" t="s">
        <v>830</v>
      </c>
      <c r="B703" s="97" t="s">
        <v>862</v>
      </c>
      <c r="C703" s="5"/>
      <c r="D703" s="5" t="s">
        <v>82</v>
      </c>
      <c r="E703" s="132">
        <f t="shared" si="390"/>
        <v>249.88</v>
      </c>
      <c r="F703" s="139">
        <f>$O$706-P703*($O$706-$O$700)</f>
        <v>248.32382978723405</v>
      </c>
      <c r="G703" s="149"/>
      <c r="H703" s="82" t="str">
        <f t="shared" si="364"/>
        <v>0 percent up in Olenekian international stage</v>
      </c>
      <c r="I703" s="142" t="str">
        <f t="shared" si="365"/>
        <v>48.9 percent up in Olenekian international stage</v>
      </c>
      <c r="J703" s="7">
        <v>0</v>
      </c>
      <c r="K703" s="129">
        <f t="shared" si="366"/>
        <v>0</v>
      </c>
      <c r="L703" s="8" t="s">
        <v>100</v>
      </c>
      <c r="M703" s="5" t="s">
        <v>82</v>
      </c>
      <c r="N703" s="5" t="s">
        <v>82</v>
      </c>
      <c r="O703" s="83"/>
      <c r="P703" s="20">
        <v>0.48936170212765712</v>
      </c>
      <c r="Q703" s="143">
        <f t="shared" si="367"/>
        <v>48.9</v>
      </c>
      <c r="R703" s="21" t="s">
        <v>100</v>
      </c>
      <c r="S703" s="8" t="s">
        <v>230</v>
      </c>
      <c r="T703" s="7" t="s">
        <v>226</v>
      </c>
    </row>
    <row r="704" spans="1:20" ht="28">
      <c r="A704" s="96" t="s">
        <v>830</v>
      </c>
      <c r="B704" s="97" t="s">
        <v>101</v>
      </c>
      <c r="C704" s="5"/>
      <c r="D704" s="5" t="s">
        <v>244</v>
      </c>
      <c r="E704" s="132">
        <f t="shared" si="390"/>
        <v>249.88</v>
      </c>
      <c r="F704" s="139">
        <f>$O$706-P704*($O$706-$O$700)</f>
        <v>248.32382978723405</v>
      </c>
      <c r="G704" s="149"/>
      <c r="H704" s="82" t="str">
        <f t="shared" si="364"/>
        <v>0 percent up in Olenekian international stage</v>
      </c>
      <c r="I704" s="142" t="str">
        <f t="shared" si="365"/>
        <v>48.9 percent up in Olenekian international stage</v>
      </c>
      <c r="J704" s="7">
        <v>0</v>
      </c>
      <c r="K704" s="129">
        <f t="shared" si="366"/>
        <v>0</v>
      </c>
      <c r="L704" s="8" t="s">
        <v>100</v>
      </c>
      <c r="M704" s="5" t="s">
        <v>82</v>
      </c>
      <c r="N704" s="5" t="s">
        <v>82</v>
      </c>
      <c r="O704" s="83"/>
      <c r="P704" s="20">
        <v>0.48936170212765712</v>
      </c>
      <c r="Q704" s="143">
        <f t="shared" si="367"/>
        <v>48.9</v>
      </c>
      <c r="R704" s="21" t="s">
        <v>100</v>
      </c>
      <c r="S704" s="8" t="s">
        <v>230</v>
      </c>
      <c r="T704" s="7" t="s">
        <v>226</v>
      </c>
    </row>
    <row r="705" spans="1:20" ht="28">
      <c r="A705" s="96" t="s">
        <v>830</v>
      </c>
      <c r="B705" s="97" t="s">
        <v>863</v>
      </c>
      <c r="C705" s="5"/>
      <c r="D705" s="5" t="s">
        <v>248</v>
      </c>
      <c r="E705" s="132">
        <f t="shared" si="390"/>
        <v>249.88</v>
      </c>
      <c r="F705" s="139">
        <f>$O$706-P705*($O$706-$O$700)</f>
        <v>246.7</v>
      </c>
      <c r="G705" s="149"/>
      <c r="H705" s="82" t="str">
        <f t="shared" si="364"/>
        <v>0 percent up in Olenekian international stage</v>
      </c>
      <c r="I705" s="142" t="str">
        <f t="shared" si="365"/>
        <v>100 percent up in Olenekian international stage</v>
      </c>
      <c r="J705" s="7">
        <v>0</v>
      </c>
      <c r="K705" s="129">
        <f t="shared" si="366"/>
        <v>0</v>
      </c>
      <c r="L705" s="8" t="s">
        <v>100</v>
      </c>
      <c r="M705" s="5" t="s">
        <v>82</v>
      </c>
      <c r="N705" s="5" t="s">
        <v>82</v>
      </c>
      <c r="O705" s="83"/>
      <c r="P705" s="20">
        <v>1</v>
      </c>
      <c r="Q705" s="143">
        <f t="shared" si="367"/>
        <v>100</v>
      </c>
      <c r="R705" s="21" t="s">
        <v>100</v>
      </c>
      <c r="S705" s="8" t="s">
        <v>232</v>
      </c>
      <c r="T705" s="7" t="s">
        <v>226</v>
      </c>
    </row>
    <row r="706" spans="1:20" ht="28">
      <c r="A706" s="96" t="s">
        <v>830</v>
      </c>
      <c r="B706" s="97" t="s">
        <v>100</v>
      </c>
      <c r="C706" s="134"/>
      <c r="D706" s="134" t="s">
        <v>222</v>
      </c>
      <c r="E706" s="132">
        <f t="shared" si="390"/>
        <v>249.88</v>
      </c>
      <c r="F706" s="139">
        <f>$O$706-P706*($O$706-$O$700)</f>
        <v>246.7</v>
      </c>
      <c r="G706" s="149"/>
      <c r="H706" s="82" t="str">
        <f t="shared" si="364"/>
        <v>0 percent up in Olenekian international stage</v>
      </c>
      <c r="I706" s="142" t="str">
        <f t="shared" si="365"/>
        <v>100 percent up in Olenekian international stage</v>
      </c>
      <c r="J706" s="7">
        <v>0</v>
      </c>
      <c r="K706" s="129">
        <f t="shared" si="366"/>
        <v>0</v>
      </c>
      <c r="L706" s="8" t="s">
        <v>100</v>
      </c>
      <c r="M706" s="5" t="s">
        <v>224</v>
      </c>
      <c r="N706" s="5" t="s">
        <v>864</v>
      </c>
      <c r="O706" s="84">
        <f>Master_Chronostrat!I100</f>
        <v>249.88</v>
      </c>
      <c r="P706" s="20">
        <v>1</v>
      </c>
      <c r="Q706" s="143">
        <f t="shared" si="367"/>
        <v>100</v>
      </c>
      <c r="R706" s="21" t="s">
        <v>100</v>
      </c>
      <c r="S706" s="8" t="s">
        <v>224</v>
      </c>
      <c r="T706" s="7" t="s">
        <v>226</v>
      </c>
    </row>
    <row r="707" spans="1:20" ht="28">
      <c r="A707" s="96" t="s">
        <v>830</v>
      </c>
      <c r="B707" s="97" t="s">
        <v>102</v>
      </c>
      <c r="C707" s="5"/>
      <c r="D707" s="5" t="s">
        <v>244</v>
      </c>
      <c r="E707" s="132">
        <f t="shared" ref="E707:E724" si="391">$O$724-J707*($O$724-$O$706)</f>
        <v>250.96769230769232</v>
      </c>
      <c r="F707" s="139">
        <f>$O$724-P707*($O$724-$O$706)</f>
        <v>249.88</v>
      </c>
      <c r="G707" s="149"/>
      <c r="H707" s="82" t="str">
        <f t="shared" si="364"/>
        <v>46.2 percent up in Induan international stage</v>
      </c>
      <c r="I707" s="142" t="str">
        <f t="shared" si="365"/>
        <v>100 percent up in Induan international stage</v>
      </c>
      <c r="J707" s="7">
        <v>0.46153846153845313</v>
      </c>
      <c r="K707" s="129">
        <f t="shared" si="366"/>
        <v>46.2</v>
      </c>
      <c r="L707" s="8" t="s">
        <v>105</v>
      </c>
      <c r="M707" s="5" t="s">
        <v>82</v>
      </c>
      <c r="N707" s="5" t="s">
        <v>82</v>
      </c>
      <c r="O707" s="83"/>
      <c r="P707" s="20">
        <v>1</v>
      </c>
      <c r="Q707" s="143">
        <f t="shared" si="367"/>
        <v>100</v>
      </c>
      <c r="R707" s="21" t="s">
        <v>105</v>
      </c>
      <c r="S707" s="8" t="s">
        <v>272</v>
      </c>
      <c r="T707" s="7" t="s">
        <v>226</v>
      </c>
    </row>
    <row r="708" spans="1:20" ht="28">
      <c r="A708" s="96" t="s">
        <v>830</v>
      </c>
      <c r="B708" s="97" t="s">
        <v>865</v>
      </c>
      <c r="C708" s="5"/>
      <c r="D708" s="5" t="s">
        <v>270</v>
      </c>
      <c r="E708" s="132">
        <f t="shared" si="391"/>
        <v>251.27846153846153</v>
      </c>
      <c r="F708" s="139">
        <f>$O$724-P708*($O$724-$O$706)</f>
        <v>249.88</v>
      </c>
      <c r="G708" s="149"/>
      <c r="H708" s="82" t="str">
        <f t="shared" si="364"/>
        <v>30.8 percent up in Induan international stage</v>
      </c>
      <c r="I708" s="142" t="str">
        <f t="shared" si="365"/>
        <v>100 percent up in Induan international stage</v>
      </c>
      <c r="J708" s="7">
        <v>0.30769230769230937</v>
      </c>
      <c r="K708" s="129">
        <f t="shared" si="366"/>
        <v>30.8</v>
      </c>
      <c r="L708" s="8" t="s">
        <v>105</v>
      </c>
      <c r="M708" s="5" t="s">
        <v>82</v>
      </c>
      <c r="N708" s="5" t="s">
        <v>82</v>
      </c>
      <c r="O708" s="83"/>
      <c r="P708" s="20">
        <v>1</v>
      </c>
      <c r="Q708" s="143">
        <f t="shared" si="367"/>
        <v>100</v>
      </c>
      <c r="R708" s="21" t="s">
        <v>105</v>
      </c>
      <c r="S708" s="8" t="s">
        <v>272</v>
      </c>
      <c r="T708" s="7" t="s">
        <v>226</v>
      </c>
    </row>
    <row r="709" spans="1:20" ht="28">
      <c r="A709" s="96" t="s">
        <v>830</v>
      </c>
      <c r="B709" s="97" t="s">
        <v>866</v>
      </c>
      <c r="C709" s="5"/>
      <c r="D709" s="5" t="s">
        <v>82</v>
      </c>
      <c r="E709" s="132">
        <f t="shared" si="391"/>
        <v>251.9</v>
      </c>
      <c r="F709" s="139">
        <f>$O$724-P709*($O$724-$O$706)</f>
        <v>251.12307692307692</v>
      </c>
      <c r="G709" s="149"/>
      <c r="H709" s="82" t="str">
        <f t="shared" si="364"/>
        <v>0 percent up in Induan international stage</v>
      </c>
      <c r="I709" s="142" t="str">
        <f t="shared" si="365"/>
        <v>38.5 percent up in Induan international stage</v>
      </c>
      <c r="J709" s="7">
        <v>0</v>
      </c>
      <c r="K709" s="129">
        <f t="shared" si="366"/>
        <v>0</v>
      </c>
      <c r="L709" s="8" t="s">
        <v>105</v>
      </c>
      <c r="M709" s="5" t="s">
        <v>82</v>
      </c>
      <c r="N709" s="5" t="s">
        <v>82</v>
      </c>
      <c r="O709" s="83"/>
      <c r="P709" s="20">
        <v>0.38461538461538125</v>
      </c>
      <c r="Q709" s="143">
        <f t="shared" si="367"/>
        <v>38.5</v>
      </c>
      <c r="R709" s="21" t="s">
        <v>105</v>
      </c>
      <c r="S709" s="8" t="s">
        <v>230</v>
      </c>
      <c r="T709" s="7" t="s">
        <v>226</v>
      </c>
    </row>
    <row r="710" spans="1:20" ht="28">
      <c r="A710" s="96" t="s">
        <v>830</v>
      </c>
      <c r="B710" s="97" t="s">
        <v>867</v>
      </c>
      <c r="C710" s="5"/>
      <c r="D710" s="5" t="s">
        <v>82</v>
      </c>
      <c r="E710" s="132">
        <f t="shared" si="391"/>
        <v>251.9</v>
      </c>
      <c r="F710" s="139">
        <f>$O$724-P710*($O$724-$O$706)</f>
        <v>251.27846153846153</v>
      </c>
      <c r="G710" s="149"/>
      <c r="H710" s="82" t="str">
        <f t="shared" si="364"/>
        <v>0 percent up in Induan international stage</v>
      </c>
      <c r="I710" s="142" t="str">
        <f t="shared" si="365"/>
        <v>30.8 percent up in Induan international stage</v>
      </c>
      <c r="J710" s="7">
        <v>0</v>
      </c>
      <c r="K710" s="129">
        <f t="shared" si="366"/>
        <v>0</v>
      </c>
      <c r="L710" s="8" t="s">
        <v>105</v>
      </c>
      <c r="M710" s="5" t="s">
        <v>82</v>
      </c>
      <c r="N710" s="5" t="s">
        <v>82</v>
      </c>
      <c r="O710" s="83"/>
      <c r="P710" s="20">
        <v>0.30769230769230937</v>
      </c>
      <c r="Q710" s="143">
        <f t="shared" si="367"/>
        <v>30.8</v>
      </c>
      <c r="R710" s="21" t="s">
        <v>105</v>
      </c>
      <c r="S710" s="8" t="s">
        <v>230</v>
      </c>
      <c r="T710" s="7" t="s">
        <v>226</v>
      </c>
    </row>
    <row r="711" spans="1:20" ht="28">
      <c r="A711" s="96" t="s">
        <v>830</v>
      </c>
      <c r="B711" s="97" t="s">
        <v>868</v>
      </c>
      <c r="C711" s="5"/>
      <c r="D711" s="5" t="s">
        <v>82</v>
      </c>
      <c r="E711" s="132">
        <f t="shared" si="391"/>
        <v>251.9</v>
      </c>
      <c r="F711" s="139">
        <f>$O$706-P711*($O$706-$O$700)</f>
        <v>246.7</v>
      </c>
      <c r="G711" s="149"/>
      <c r="H711" s="82" t="str">
        <f t="shared" si="364"/>
        <v>0 percent up in Induan international stage</v>
      </c>
      <c r="I711" s="142" t="str">
        <f t="shared" si="365"/>
        <v>100 percent up in Olenekian international stage</v>
      </c>
      <c r="J711" s="7">
        <v>0</v>
      </c>
      <c r="K711" s="129">
        <f t="shared" si="366"/>
        <v>0</v>
      </c>
      <c r="L711" s="8" t="s">
        <v>105</v>
      </c>
      <c r="M711" s="5" t="s">
        <v>82</v>
      </c>
      <c r="N711" s="5" t="s">
        <v>82</v>
      </c>
      <c r="O711" s="83"/>
      <c r="P711" s="20">
        <v>1</v>
      </c>
      <c r="Q711" s="143">
        <f t="shared" si="367"/>
        <v>100</v>
      </c>
      <c r="R711" s="21" t="s">
        <v>100</v>
      </c>
      <c r="S711" s="8" t="s">
        <v>232</v>
      </c>
      <c r="T711" s="7" t="s">
        <v>226</v>
      </c>
    </row>
    <row r="712" spans="1:20" ht="28">
      <c r="A712" s="96" t="s">
        <v>830</v>
      </c>
      <c r="B712" s="97" t="s">
        <v>869</v>
      </c>
      <c r="C712" s="5"/>
      <c r="D712" s="5" t="s">
        <v>82</v>
      </c>
      <c r="E712" s="132">
        <f t="shared" si="391"/>
        <v>251.9</v>
      </c>
      <c r="F712" s="139">
        <f>$O$724-P712*($O$724-$O$706)</f>
        <v>250.96769230769232</v>
      </c>
      <c r="G712" s="149"/>
      <c r="H712" s="82" t="str">
        <f t="shared" si="364"/>
        <v>0 percent up in Induan international stage</v>
      </c>
      <c r="I712" s="142" t="str">
        <f t="shared" si="365"/>
        <v>46.2 percent up in Induan international stage</v>
      </c>
      <c r="J712" s="7">
        <v>0</v>
      </c>
      <c r="K712" s="129">
        <f t="shared" si="366"/>
        <v>0</v>
      </c>
      <c r="L712" s="8" t="s">
        <v>105</v>
      </c>
      <c r="M712" s="5" t="s">
        <v>82</v>
      </c>
      <c r="N712" s="5" t="s">
        <v>82</v>
      </c>
      <c r="O712" s="83"/>
      <c r="P712" s="20">
        <v>0.46153846153845313</v>
      </c>
      <c r="Q712" s="143">
        <f t="shared" si="367"/>
        <v>46.2</v>
      </c>
      <c r="R712" s="21" t="s">
        <v>105</v>
      </c>
      <c r="S712" s="8" t="s">
        <v>230</v>
      </c>
      <c r="T712" s="7" t="s">
        <v>226</v>
      </c>
    </row>
    <row r="713" spans="1:20" ht="28">
      <c r="A713" s="96" t="s">
        <v>830</v>
      </c>
      <c r="B713" s="97" t="s">
        <v>870</v>
      </c>
      <c r="C713" s="5"/>
      <c r="D713" s="5" t="s">
        <v>248</v>
      </c>
      <c r="E713" s="132">
        <f t="shared" si="391"/>
        <v>251.9</v>
      </c>
      <c r="F713" s="139">
        <f>$O$724-P713*($O$724-$O$706)</f>
        <v>249.88</v>
      </c>
      <c r="G713" s="149"/>
      <c r="H713" s="82" t="str">
        <f t="shared" si="364"/>
        <v>0 percent up in Induan international stage</v>
      </c>
      <c r="I713" s="142" t="str">
        <f t="shared" si="365"/>
        <v>100 percent up in Induan international stage</v>
      </c>
      <c r="J713" s="7">
        <v>0</v>
      </c>
      <c r="K713" s="129">
        <f t="shared" si="366"/>
        <v>0</v>
      </c>
      <c r="L713" s="8" t="s">
        <v>105</v>
      </c>
      <c r="M713" s="5" t="s">
        <v>82</v>
      </c>
      <c r="N713" s="5" t="s">
        <v>82</v>
      </c>
      <c r="O713" s="83"/>
      <c r="P713" s="20">
        <v>1</v>
      </c>
      <c r="Q713" s="143">
        <f t="shared" si="367"/>
        <v>100</v>
      </c>
      <c r="R713" s="21" t="s">
        <v>105</v>
      </c>
      <c r="S713" s="8" t="s">
        <v>232</v>
      </c>
      <c r="T713" s="7" t="s">
        <v>226</v>
      </c>
    </row>
    <row r="714" spans="1:20" ht="28">
      <c r="A714" s="96" t="s">
        <v>830</v>
      </c>
      <c r="B714" s="97" t="s">
        <v>871</v>
      </c>
      <c r="C714" s="5"/>
      <c r="D714" s="5" t="s">
        <v>82</v>
      </c>
      <c r="E714" s="132">
        <f t="shared" si="391"/>
        <v>251.9</v>
      </c>
      <c r="F714" s="139">
        <f>$O$724-P714*($O$724-$O$706)</f>
        <v>250.96769230769232</v>
      </c>
      <c r="G714" s="149"/>
      <c r="H714" s="82" t="str">
        <f t="shared" si="364"/>
        <v>0 percent up in Induan international stage</v>
      </c>
      <c r="I714" s="142" t="str">
        <f t="shared" si="365"/>
        <v>46.2 percent up in Induan international stage</v>
      </c>
      <c r="J714" s="7">
        <v>0</v>
      </c>
      <c r="K714" s="129">
        <f t="shared" si="366"/>
        <v>0</v>
      </c>
      <c r="L714" s="8" t="s">
        <v>105</v>
      </c>
      <c r="M714" s="5" t="s">
        <v>82</v>
      </c>
      <c r="N714" s="5" t="s">
        <v>82</v>
      </c>
      <c r="O714" s="83"/>
      <c r="P714" s="20">
        <v>0.46153846153845313</v>
      </c>
      <c r="Q714" s="143">
        <f t="shared" si="367"/>
        <v>46.2</v>
      </c>
      <c r="R714" s="21" t="s">
        <v>105</v>
      </c>
      <c r="S714" s="8" t="s">
        <v>230</v>
      </c>
      <c r="T714" s="7" t="s">
        <v>226</v>
      </c>
    </row>
    <row r="715" spans="1:20" ht="28">
      <c r="A715" s="96" t="s">
        <v>830</v>
      </c>
      <c r="B715" s="97" t="s">
        <v>106</v>
      </c>
      <c r="C715" s="5"/>
      <c r="D715" s="5" t="s">
        <v>244</v>
      </c>
      <c r="E715" s="132">
        <f t="shared" si="391"/>
        <v>251.9</v>
      </c>
      <c r="F715" s="139">
        <f>$O$724-P715*($O$724-$O$706)</f>
        <v>250.96769230769232</v>
      </c>
      <c r="G715" s="149"/>
      <c r="H715" s="82" t="str">
        <f t="shared" si="364"/>
        <v>0 percent up in Induan international stage</v>
      </c>
      <c r="I715" s="142" t="str">
        <f t="shared" si="365"/>
        <v>46.2 percent up in Induan international stage</v>
      </c>
      <c r="J715" s="7">
        <v>0</v>
      </c>
      <c r="K715" s="129">
        <f t="shared" si="366"/>
        <v>0</v>
      </c>
      <c r="L715" s="8" t="s">
        <v>105</v>
      </c>
      <c r="M715" s="5" t="s">
        <v>82</v>
      </c>
      <c r="N715" s="5" t="s">
        <v>82</v>
      </c>
      <c r="O715" s="83"/>
      <c r="P715" s="20">
        <v>0.46153846153845313</v>
      </c>
      <c r="Q715" s="143">
        <f t="shared" si="367"/>
        <v>46.2</v>
      </c>
      <c r="R715" s="21" t="s">
        <v>105</v>
      </c>
      <c r="S715" s="8" t="s">
        <v>230</v>
      </c>
      <c r="T715" s="7" t="s">
        <v>226</v>
      </c>
    </row>
    <row r="716" spans="1:20" ht="28">
      <c r="A716" s="96" t="s">
        <v>830</v>
      </c>
      <c r="B716" s="97" t="s">
        <v>872</v>
      </c>
      <c r="C716" s="5"/>
      <c r="D716" s="5" t="s">
        <v>270</v>
      </c>
      <c r="E716" s="132">
        <f t="shared" si="391"/>
        <v>251.9</v>
      </c>
      <c r="F716" s="139">
        <f>$O$706-P716*($O$706-$O$700)</f>
        <v>246.7</v>
      </c>
      <c r="G716" s="149"/>
      <c r="H716" s="82" t="str">
        <f t="shared" si="364"/>
        <v>0 percent up in Induan international stage</v>
      </c>
      <c r="I716" s="142" t="str">
        <f t="shared" si="365"/>
        <v>100 percent up in Olenekian international stage</v>
      </c>
      <c r="J716" s="7">
        <v>0</v>
      </c>
      <c r="K716" s="129">
        <f t="shared" si="366"/>
        <v>0</v>
      </c>
      <c r="L716" s="8" t="s">
        <v>105</v>
      </c>
      <c r="M716" s="5" t="s">
        <v>82</v>
      </c>
      <c r="N716" s="5" t="s">
        <v>82</v>
      </c>
      <c r="O716" s="83"/>
      <c r="P716" s="20">
        <v>1</v>
      </c>
      <c r="Q716" s="143">
        <f t="shared" si="367"/>
        <v>100</v>
      </c>
      <c r="R716" s="21" t="s">
        <v>100</v>
      </c>
      <c r="S716" s="8" t="s">
        <v>232</v>
      </c>
      <c r="T716" s="7" t="s">
        <v>226</v>
      </c>
    </row>
    <row r="717" spans="1:20" ht="28">
      <c r="A717" s="96"/>
      <c r="B717" s="97" t="s">
        <v>1845</v>
      </c>
      <c r="C717" s="5"/>
      <c r="D717" s="5"/>
      <c r="E717" s="132">
        <f t="shared" ref="E717" si="392">$O$724-J717*($O$724-$O$706)</f>
        <v>251.9</v>
      </c>
      <c r="F717" s="139">
        <f>$O$706-P717*($O$706-$O$700)</f>
        <v>248.41230769230771</v>
      </c>
      <c r="G717" s="149" t="s">
        <v>1846</v>
      </c>
      <c r="H717" s="82" t="str">
        <f t="shared" ref="H717" si="393">CONCATENATE(K717," percent up in ",L717," international stage")</f>
        <v>0 percent up in Induan international stage</v>
      </c>
      <c r="I717" s="142" t="str">
        <f t="shared" ref="I717" si="394">CONCATENATE(Q717," percent up in ",R717," international stage")</f>
        <v>46.2 percent up in Induan international stage</v>
      </c>
      <c r="J717" s="7">
        <v>0</v>
      </c>
      <c r="K717" s="129">
        <f t="shared" ref="K717" si="395">ROUND(J717*100,1)</f>
        <v>0</v>
      </c>
      <c r="L717" s="8" t="s">
        <v>105</v>
      </c>
      <c r="M717" s="5"/>
      <c r="O717" s="83"/>
      <c r="P717" s="20">
        <v>0.46153846153845313</v>
      </c>
      <c r="Q717" s="143">
        <f t="shared" ref="Q717" si="396">ROUND(P717*100,1)</f>
        <v>46.2</v>
      </c>
      <c r="R717" s="21" t="s">
        <v>105</v>
      </c>
      <c r="S717" s="149" t="s">
        <v>1846</v>
      </c>
    </row>
    <row r="718" spans="1:20" ht="28">
      <c r="A718" s="96" t="s">
        <v>830</v>
      </c>
      <c r="B718" s="97" t="s">
        <v>873</v>
      </c>
      <c r="C718" s="5"/>
      <c r="D718" s="5" t="s">
        <v>270</v>
      </c>
      <c r="E718" s="132">
        <f t="shared" si="391"/>
        <v>251.9</v>
      </c>
      <c r="F718" s="139">
        <f>$O$706-P718*($O$706-$O$700)</f>
        <v>246.7</v>
      </c>
      <c r="G718" s="149"/>
      <c r="H718" s="82" t="str">
        <f t="shared" si="364"/>
        <v>0 percent up in Induan international stage</v>
      </c>
      <c r="I718" s="142" t="str">
        <f t="shared" si="365"/>
        <v>100 percent up in Olenekian international stage</v>
      </c>
      <c r="J718" s="7">
        <v>0</v>
      </c>
      <c r="K718" s="129">
        <f t="shared" si="366"/>
        <v>0</v>
      </c>
      <c r="L718" s="8" t="s">
        <v>105</v>
      </c>
      <c r="M718" s="5" t="s">
        <v>82</v>
      </c>
      <c r="N718" s="5" t="s">
        <v>82</v>
      </c>
      <c r="O718" s="83"/>
      <c r="P718" s="20">
        <v>1</v>
      </c>
      <c r="Q718" s="143">
        <f t="shared" si="367"/>
        <v>100</v>
      </c>
      <c r="R718" s="21" t="s">
        <v>100</v>
      </c>
      <c r="S718" s="8" t="s">
        <v>232</v>
      </c>
      <c r="T718" s="7" t="s">
        <v>226</v>
      </c>
    </row>
    <row r="719" spans="1:20" ht="28">
      <c r="A719" s="96" t="s">
        <v>830</v>
      </c>
      <c r="B719" s="99" t="s">
        <v>874</v>
      </c>
      <c r="C719" s="5"/>
      <c r="D719" s="5" t="s">
        <v>82</v>
      </c>
      <c r="E719" s="132">
        <f t="shared" si="391"/>
        <v>251.9</v>
      </c>
      <c r="F719" s="139">
        <f>$O$450-P719*($O$450-$O$440)</f>
        <v>66.040000000000006</v>
      </c>
      <c r="G719" s="149"/>
      <c r="H719" s="82" t="str">
        <f t="shared" si="364"/>
        <v>0 percent up in Induan international stage</v>
      </c>
      <c r="I719" s="142" t="str">
        <f t="shared" si="365"/>
        <v>100 percent up in Maastrichtian international stage</v>
      </c>
      <c r="J719" s="7">
        <v>0</v>
      </c>
      <c r="K719" s="129">
        <f t="shared" si="366"/>
        <v>0</v>
      </c>
      <c r="L719" s="8" t="s">
        <v>105</v>
      </c>
      <c r="M719" s="5" t="s">
        <v>82</v>
      </c>
      <c r="N719" s="5" t="s">
        <v>82</v>
      </c>
      <c r="O719" s="83"/>
      <c r="P719" s="20">
        <v>1</v>
      </c>
      <c r="Q719" s="143">
        <f t="shared" si="367"/>
        <v>100</v>
      </c>
      <c r="R719" s="21" t="s">
        <v>50</v>
      </c>
      <c r="S719" s="8" t="s">
        <v>232</v>
      </c>
      <c r="T719" s="7" t="s">
        <v>226</v>
      </c>
    </row>
    <row r="720" spans="1:20" ht="28">
      <c r="A720" s="96" t="s">
        <v>830</v>
      </c>
      <c r="B720" s="97" t="s">
        <v>875</v>
      </c>
      <c r="C720" s="5"/>
      <c r="D720" s="5" t="s">
        <v>270</v>
      </c>
      <c r="E720" s="132">
        <f t="shared" si="391"/>
        <v>251.9</v>
      </c>
      <c r="F720" s="139">
        <f>$O$706-P720*($O$706-$O$700)</f>
        <v>246.7</v>
      </c>
      <c r="G720" s="149"/>
      <c r="H720" s="82" t="str">
        <f t="shared" si="364"/>
        <v>0 percent up in Induan international stage</v>
      </c>
      <c r="I720" s="142" t="str">
        <f t="shared" si="365"/>
        <v>100 percent up in Olenekian international stage</v>
      </c>
      <c r="J720" s="7">
        <v>0</v>
      </c>
      <c r="K720" s="129">
        <f t="shared" si="366"/>
        <v>0</v>
      </c>
      <c r="L720" s="8" t="s">
        <v>105</v>
      </c>
      <c r="M720" s="5" t="s">
        <v>82</v>
      </c>
      <c r="N720" s="5" t="s">
        <v>82</v>
      </c>
      <c r="O720" s="83"/>
      <c r="P720" s="20">
        <v>1</v>
      </c>
      <c r="Q720" s="143">
        <f t="shared" si="367"/>
        <v>100</v>
      </c>
      <c r="R720" s="21" t="s">
        <v>100</v>
      </c>
      <c r="S720" s="8" t="s">
        <v>232</v>
      </c>
      <c r="T720" s="7" t="s">
        <v>226</v>
      </c>
    </row>
    <row r="721" spans="1:20" ht="28">
      <c r="A721" s="96" t="s">
        <v>830</v>
      </c>
      <c r="B721" s="97" t="s">
        <v>105</v>
      </c>
      <c r="C721" s="134"/>
      <c r="D721" s="134" t="s">
        <v>222</v>
      </c>
      <c r="E721" s="132">
        <f t="shared" si="391"/>
        <v>251.9</v>
      </c>
      <c r="F721" s="139">
        <f>$O$724-P721*($O$724-$O$706)</f>
        <v>249.88</v>
      </c>
      <c r="G721" s="149"/>
      <c r="H721" s="82" t="str">
        <f t="shared" si="364"/>
        <v>0 percent up in Induan international stage</v>
      </c>
      <c r="I721" s="142" t="str">
        <f t="shared" si="365"/>
        <v>100 percent up in Induan international stage</v>
      </c>
      <c r="J721" s="7">
        <v>0</v>
      </c>
      <c r="K721" s="129">
        <f t="shared" si="366"/>
        <v>0</v>
      </c>
      <c r="L721" s="8" t="s">
        <v>105</v>
      </c>
      <c r="M721" s="5" t="s">
        <v>224</v>
      </c>
      <c r="N721" s="5" t="s">
        <v>876</v>
      </c>
      <c r="O721" s="84">
        <f>Master_Chronostrat!I102</f>
        <v>251.9</v>
      </c>
      <c r="P721" s="20">
        <v>1</v>
      </c>
      <c r="Q721" s="143">
        <f t="shared" si="367"/>
        <v>100</v>
      </c>
      <c r="R721" s="21" t="s">
        <v>105</v>
      </c>
      <c r="S721" s="8" t="s">
        <v>224</v>
      </c>
      <c r="T721" s="7" t="s">
        <v>226</v>
      </c>
    </row>
    <row r="722" spans="1:20" ht="28">
      <c r="A722" s="96" t="s">
        <v>830</v>
      </c>
      <c r="B722" s="97" t="s">
        <v>877</v>
      </c>
      <c r="C722" s="134"/>
      <c r="D722" s="134" t="s">
        <v>222</v>
      </c>
      <c r="E722" s="132">
        <f t="shared" si="391"/>
        <v>251.9</v>
      </c>
      <c r="F722" s="139">
        <f>$O$706-P722*($O$706-$O$700)</f>
        <v>246.7</v>
      </c>
      <c r="G722" s="149"/>
      <c r="H722" s="82" t="str">
        <f t="shared" si="364"/>
        <v>0 percent up in Induan international stage</v>
      </c>
      <c r="I722" s="142" t="str">
        <f t="shared" si="365"/>
        <v>100 percent up in Olenekian international stage</v>
      </c>
      <c r="J722" s="7">
        <v>0</v>
      </c>
      <c r="K722" s="129">
        <f t="shared" si="366"/>
        <v>0</v>
      </c>
      <c r="L722" s="8" t="s">
        <v>105</v>
      </c>
      <c r="M722" s="5" t="s">
        <v>224</v>
      </c>
      <c r="N722" s="5" t="s">
        <v>878</v>
      </c>
      <c r="O722" s="84">
        <f>Master_Chronostrat!I102</f>
        <v>251.9</v>
      </c>
      <c r="P722" s="20">
        <v>1</v>
      </c>
      <c r="Q722" s="143">
        <f t="shared" si="367"/>
        <v>100</v>
      </c>
      <c r="R722" s="21" t="s">
        <v>100</v>
      </c>
      <c r="S722" s="8" t="s">
        <v>239</v>
      </c>
      <c r="T722" s="7" t="s">
        <v>226</v>
      </c>
    </row>
    <row r="723" spans="1:20" ht="28">
      <c r="A723" s="96" t="s">
        <v>830</v>
      </c>
      <c r="B723" s="97" t="s">
        <v>104</v>
      </c>
      <c r="C723" s="134"/>
      <c r="D723" s="134" t="s">
        <v>222</v>
      </c>
      <c r="E723" s="132">
        <f t="shared" si="391"/>
        <v>251.9</v>
      </c>
      <c r="F723" s="139">
        <f>$O$652-P723*($O$652-$O$649)</f>
        <v>201.36</v>
      </c>
      <c r="G723" s="149"/>
      <c r="H723" s="82" t="str">
        <f t="shared" si="364"/>
        <v>0 percent up in Induan international stage</v>
      </c>
      <c r="I723" s="142" t="str">
        <f t="shared" si="365"/>
        <v>100 percent up in Rhaetian international stage</v>
      </c>
      <c r="J723" s="7">
        <v>0</v>
      </c>
      <c r="K723" s="129">
        <f t="shared" si="366"/>
        <v>0</v>
      </c>
      <c r="L723" s="8" t="s">
        <v>105</v>
      </c>
      <c r="M723" s="5" t="s">
        <v>224</v>
      </c>
      <c r="N723" s="5" t="s">
        <v>879</v>
      </c>
      <c r="O723" s="84">
        <f>Master_Chronostrat!I102</f>
        <v>251.9</v>
      </c>
      <c r="P723" s="20">
        <v>1</v>
      </c>
      <c r="Q723" s="143">
        <f t="shared" si="367"/>
        <v>100</v>
      </c>
      <c r="R723" s="21" t="s">
        <v>83</v>
      </c>
      <c r="S723" s="8" t="s">
        <v>239</v>
      </c>
      <c r="T723" s="7" t="s">
        <v>226</v>
      </c>
    </row>
    <row r="724" spans="1:20" ht="28">
      <c r="A724" s="96" t="s">
        <v>830</v>
      </c>
      <c r="B724" s="99" t="s">
        <v>103</v>
      </c>
      <c r="C724" s="135"/>
      <c r="D724" s="135" t="s">
        <v>222</v>
      </c>
      <c r="E724" s="132">
        <f t="shared" si="391"/>
        <v>251.9</v>
      </c>
      <c r="F724" s="139">
        <f>$O$450-P724*($O$450-$O$440)</f>
        <v>66.040000000000006</v>
      </c>
      <c r="G724" s="149"/>
      <c r="H724" s="82" t="str">
        <f t="shared" si="364"/>
        <v>0 percent up in Induan international stage</v>
      </c>
      <c r="I724" s="142" t="str">
        <f t="shared" si="365"/>
        <v>100 percent up in Maastrichtian international stage</v>
      </c>
      <c r="J724" s="7">
        <v>0</v>
      </c>
      <c r="K724" s="129">
        <f t="shared" si="366"/>
        <v>0</v>
      </c>
      <c r="L724" s="8" t="s">
        <v>105</v>
      </c>
      <c r="M724" s="5" t="s">
        <v>224</v>
      </c>
      <c r="N724" s="5" t="s">
        <v>880</v>
      </c>
      <c r="O724" s="84">
        <f>Master_Chronostrat!I102</f>
        <v>251.9</v>
      </c>
      <c r="P724" s="20">
        <v>1</v>
      </c>
      <c r="Q724" s="143">
        <f t="shared" si="367"/>
        <v>100</v>
      </c>
      <c r="R724" s="21" t="s">
        <v>50</v>
      </c>
      <c r="S724" s="8" t="s">
        <v>239</v>
      </c>
      <c r="T724" s="7" t="s">
        <v>226</v>
      </c>
    </row>
    <row r="725" spans="1:20" ht="42">
      <c r="A725" s="101" t="s">
        <v>881</v>
      </c>
      <c r="B725" s="154" t="s">
        <v>882</v>
      </c>
      <c r="C725" s="5"/>
      <c r="D725" s="5" t="s">
        <v>82</v>
      </c>
      <c r="E725" s="132">
        <f t="shared" ref="E725:E733" si="397">$O$733-J725*($O$733-$O$724)</f>
        <v>254.24260000000001</v>
      </c>
      <c r="F725" s="139">
        <f t="shared" ref="F725:F733" si="398">$O$733-P725*($O$733-$O$724)</f>
        <v>251.9</v>
      </c>
      <c r="G725" s="149" t="s">
        <v>1645</v>
      </c>
      <c r="H725" s="82" t="str">
        <f t="shared" si="364"/>
        <v>0 percent up in Changhsingian international stage</v>
      </c>
      <c r="I725" s="142" t="str">
        <f t="shared" si="365"/>
        <v>100 percent up in Changhsingian international stage</v>
      </c>
      <c r="J725" s="7">
        <v>0</v>
      </c>
      <c r="K725" s="129">
        <f t="shared" si="366"/>
        <v>0</v>
      </c>
      <c r="L725" s="8" t="s">
        <v>107</v>
      </c>
      <c r="M725" s="5" t="s">
        <v>82</v>
      </c>
      <c r="N725" s="5" t="s">
        <v>82</v>
      </c>
      <c r="O725" s="83"/>
      <c r="P725" s="20">
        <v>1</v>
      </c>
      <c r="Q725" s="143">
        <f t="shared" si="367"/>
        <v>100</v>
      </c>
      <c r="R725" s="21" t="s">
        <v>107</v>
      </c>
      <c r="S725" s="8" t="s">
        <v>232</v>
      </c>
      <c r="T725" s="7" t="s">
        <v>226</v>
      </c>
    </row>
    <row r="726" spans="1:20" ht="42">
      <c r="A726" s="101" t="s">
        <v>881</v>
      </c>
      <c r="B726" s="154" t="s">
        <v>883</v>
      </c>
      <c r="C726" s="5"/>
      <c r="D726" s="5" t="s">
        <v>82</v>
      </c>
      <c r="E726" s="132">
        <f t="shared" si="397"/>
        <v>254.24260000000001</v>
      </c>
      <c r="F726" s="139">
        <f t="shared" si="398"/>
        <v>251.9</v>
      </c>
      <c r="G726" s="149"/>
      <c r="H726" s="82" t="str">
        <f t="shared" si="364"/>
        <v>0 percent up in Changhsingian international stage</v>
      </c>
      <c r="I726" s="142" t="str">
        <f t="shared" si="365"/>
        <v>100 percent up in Changhsingian international stage</v>
      </c>
      <c r="J726" s="7">
        <v>0</v>
      </c>
      <c r="K726" s="129">
        <f t="shared" si="366"/>
        <v>0</v>
      </c>
      <c r="L726" s="8" t="s">
        <v>107</v>
      </c>
      <c r="M726" s="5" t="s">
        <v>82</v>
      </c>
      <c r="N726" s="5" t="s">
        <v>82</v>
      </c>
      <c r="O726" s="83"/>
      <c r="P726" s="20">
        <v>1</v>
      </c>
      <c r="Q726" s="143">
        <f t="shared" si="367"/>
        <v>100</v>
      </c>
      <c r="R726" s="21" t="s">
        <v>107</v>
      </c>
      <c r="S726" s="8" t="s">
        <v>232</v>
      </c>
      <c r="T726" s="7" t="s">
        <v>226</v>
      </c>
    </row>
    <row r="727" spans="1:20" ht="42">
      <c r="A727" s="101" t="s">
        <v>881</v>
      </c>
      <c r="B727" s="154" t="s">
        <v>884</v>
      </c>
      <c r="C727" s="5"/>
      <c r="D727" s="5" t="s">
        <v>2085</v>
      </c>
      <c r="E727" s="132">
        <f t="shared" si="397"/>
        <v>254.24260000000001</v>
      </c>
      <c r="F727" s="139">
        <f t="shared" si="398"/>
        <v>251.9</v>
      </c>
      <c r="G727" s="149"/>
      <c r="H727" s="82" t="str">
        <f t="shared" si="364"/>
        <v>0 percent up in Changhsingian international stage</v>
      </c>
      <c r="I727" s="142" t="str">
        <f t="shared" si="365"/>
        <v>100 percent up in Changhsingian international stage</v>
      </c>
      <c r="J727" s="7">
        <v>0</v>
      </c>
      <c r="K727" s="129">
        <f t="shared" si="366"/>
        <v>0</v>
      </c>
      <c r="L727" s="8" t="s">
        <v>107</v>
      </c>
      <c r="M727" s="5" t="s">
        <v>82</v>
      </c>
      <c r="N727" s="5" t="s">
        <v>82</v>
      </c>
      <c r="O727" s="83"/>
      <c r="P727" s="20">
        <v>1</v>
      </c>
      <c r="Q727" s="143">
        <f t="shared" si="367"/>
        <v>100</v>
      </c>
      <c r="R727" s="21" t="s">
        <v>107</v>
      </c>
      <c r="S727" s="8" t="s">
        <v>232</v>
      </c>
      <c r="T727" s="7" t="s">
        <v>226</v>
      </c>
    </row>
    <row r="728" spans="1:20" ht="42">
      <c r="A728" s="101" t="s">
        <v>881</v>
      </c>
      <c r="B728" s="154" t="s">
        <v>885</v>
      </c>
      <c r="C728" s="5"/>
      <c r="D728" s="5" t="s">
        <v>236</v>
      </c>
      <c r="E728" s="132">
        <f t="shared" si="397"/>
        <v>254.24260000000001</v>
      </c>
      <c r="F728" s="139">
        <f t="shared" si="398"/>
        <v>251.9</v>
      </c>
      <c r="G728" s="149"/>
      <c r="H728" s="82" t="str">
        <f t="shared" si="364"/>
        <v>0 percent up in Changhsingian international stage</v>
      </c>
      <c r="I728" s="142" t="str">
        <f t="shared" si="365"/>
        <v>100 percent up in Changhsingian international stage</v>
      </c>
      <c r="J728" s="7">
        <v>0</v>
      </c>
      <c r="K728" s="129">
        <f t="shared" si="366"/>
        <v>0</v>
      </c>
      <c r="L728" s="8" t="s">
        <v>107</v>
      </c>
      <c r="M728" s="5" t="s">
        <v>82</v>
      </c>
      <c r="N728" s="5" t="s">
        <v>82</v>
      </c>
      <c r="O728" s="83"/>
      <c r="P728" s="20">
        <v>1</v>
      </c>
      <c r="Q728" s="143">
        <f t="shared" si="367"/>
        <v>100</v>
      </c>
      <c r="R728" s="21" t="s">
        <v>107</v>
      </c>
      <c r="S728" s="8" t="s">
        <v>232</v>
      </c>
      <c r="T728" s="7" t="s">
        <v>226</v>
      </c>
    </row>
    <row r="729" spans="1:20" ht="42">
      <c r="A729" s="101"/>
      <c r="B729" s="154" t="s">
        <v>1646</v>
      </c>
      <c r="C729" s="5"/>
      <c r="D729" s="5"/>
      <c r="E729" s="132">
        <f t="shared" si="397"/>
        <v>254.24260000000001</v>
      </c>
      <c r="F729" s="139">
        <f t="shared" si="398"/>
        <v>251.9</v>
      </c>
      <c r="G729" s="149" t="s">
        <v>1647</v>
      </c>
      <c r="H729" s="82" t="str">
        <f t="shared" ref="H729:H731" si="399">CONCATENATE(K729," percent up in ",L729," international stage")</f>
        <v>0 percent up in Changhsingian international stage</v>
      </c>
      <c r="I729" s="142" t="str">
        <f t="shared" ref="I729:I731" si="400">CONCATENATE(Q729," percent up in ",R729," international stage")</f>
        <v>100 percent up in Changhsingian international stage</v>
      </c>
      <c r="J729" s="7">
        <v>0</v>
      </c>
      <c r="K729" s="129">
        <f t="shared" ref="K729:K731" si="401">ROUND(J729*100,1)</f>
        <v>0</v>
      </c>
      <c r="L729" s="8" t="s">
        <v>107</v>
      </c>
      <c r="M729" s="5" t="s">
        <v>82</v>
      </c>
      <c r="N729" s="5" t="s">
        <v>82</v>
      </c>
      <c r="O729" s="83"/>
      <c r="P729" s="20">
        <v>1</v>
      </c>
      <c r="Q729" s="143">
        <f t="shared" ref="Q729:Q732" si="402">ROUND(P729*100,1)</f>
        <v>100</v>
      </c>
      <c r="R729" s="21" t="s">
        <v>107</v>
      </c>
      <c r="S729" s="149" t="s">
        <v>1647</v>
      </c>
    </row>
    <row r="730" spans="1:20" ht="42">
      <c r="A730" s="101"/>
      <c r="B730" s="154" t="s">
        <v>1849</v>
      </c>
      <c r="C730" s="5"/>
      <c r="D730" s="5"/>
      <c r="E730" s="132">
        <f t="shared" si="397"/>
        <v>252.36852000000002</v>
      </c>
      <c r="F730" s="139">
        <f t="shared" si="398"/>
        <v>251.9</v>
      </c>
      <c r="G730" s="151" t="s">
        <v>1850</v>
      </c>
      <c r="H730" s="82" t="str">
        <f t="shared" ref="H730" si="403">CONCATENATE(K730," percent up in ",L730," international stage")</f>
        <v>80 percent up in Changhsingian international stage</v>
      </c>
      <c r="I730" s="142" t="str">
        <f t="shared" ref="I730" si="404">CONCATENATE(Q730," percent up in ",R730," international stage")</f>
        <v>100 percent up in Changhsingian international stage</v>
      </c>
      <c r="J730" s="7">
        <v>0.8</v>
      </c>
      <c r="K730" s="129">
        <f t="shared" ref="K730" si="405">ROUND(J730*100,1)</f>
        <v>80</v>
      </c>
      <c r="L730" s="8" t="s">
        <v>107</v>
      </c>
      <c r="M730" s="5"/>
      <c r="O730" s="84"/>
      <c r="P730" s="20">
        <v>1</v>
      </c>
      <c r="Q730" s="143">
        <f>ROUND(P730*100,1)</f>
        <v>100</v>
      </c>
      <c r="R730" s="21" t="s">
        <v>107</v>
      </c>
      <c r="S730" s="151" t="s">
        <v>1850</v>
      </c>
    </row>
    <row r="731" spans="1:20" ht="42">
      <c r="A731" s="101"/>
      <c r="B731" s="154" t="s">
        <v>1847</v>
      </c>
      <c r="C731" s="5"/>
      <c r="D731" s="5" t="s">
        <v>82</v>
      </c>
      <c r="E731" s="132">
        <f t="shared" si="397"/>
        <v>253.07130000000001</v>
      </c>
      <c r="F731" s="139">
        <f t="shared" si="398"/>
        <v>251.9</v>
      </c>
      <c r="G731" s="149" t="s">
        <v>1601</v>
      </c>
      <c r="H731" s="82" t="str">
        <f t="shared" si="399"/>
        <v>50 percent up in Changhsingian international stage</v>
      </c>
      <c r="I731" s="142" t="str">
        <f t="shared" si="400"/>
        <v>100 percent up in Changhsingian international stage</v>
      </c>
      <c r="J731" s="7">
        <v>0.5</v>
      </c>
      <c r="K731" s="129">
        <f t="shared" si="401"/>
        <v>50</v>
      </c>
      <c r="L731" s="8" t="s">
        <v>107</v>
      </c>
      <c r="M731" s="5"/>
      <c r="O731" s="84"/>
      <c r="P731" s="20">
        <v>1</v>
      </c>
      <c r="Q731" s="143">
        <f t="shared" si="402"/>
        <v>100</v>
      </c>
      <c r="R731" s="21" t="s">
        <v>107</v>
      </c>
      <c r="S731" s="149" t="s">
        <v>1601</v>
      </c>
    </row>
    <row r="732" spans="1:20" ht="42">
      <c r="A732" s="101"/>
      <c r="B732" s="154" t="s">
        <v>1848</v>
      </c>
      <c r="C732" s="5"/>
      <c r="D732" s="5"/>
      <c r="E732" s="132">
        <f t="shared" si="397"/>
        <v>254.24260000000001</v>
      </c>
      <c r="F732" s="139">
        <f t="shared" si="398"/>
        <v>253.07130000000001</v>
      </c>
      <c r="G732" s="149" t="s">
        <v>1602</v>
      </c>
      <c r="H732" s="82" t="str">
        <f t="shared" ref="H732" si="406">CONCATENATE(K732," percent up in ",L732," international stage")</f>
        <v>0 percent up in Changhsingian international stage</v>
      </c>
      <c r="I732" s="142" t="str">
        <f t="shared" ref="I732" si="407">CONCATENATE(Q732," percent up in ",R732," international stage")</f>
        <v>50 percent up in Changhsingian international stage</v>
      </c>
      <c r="J732" s="7">
        <v>0</v>
      </c>
      <c r="K732" s="129">
        <f t="shared" ref="K732" si="408">ROUND(J732*100,1)</f>
        <v>0</v>
      </c>
      <c r="L732" s="8" t="s">
        <v>107</v>
      </c>
      <c r="M732" s="5"/>
      <c r="O732" s="84"/>
      <c r="P732" s="20">
        <v>0.5</v>
      </c>
      <c r="Q732" s="143">
        <f t="shared" si="402"/>
        <v>50</v>
      </c>
      <c r="R732" s="21" t="s">
        <v>107</v>
      </c>
      <c r="S732" s="149" t="s">
        <v>1602</v>
      </c>
    </row>
    <row r="733" spans="1:20" ht="42">
      <c r="A733" s="101" t="s">
        <v>881</v>
      </c>
      <c r="B733" s="154" t="s">
        <v>107</v>
      </c>
      <c r="C733" s="135"/>
      <c r="D733" s="135" t="s">
        <v>222</v>
      </c>
      <c r="E733" s="132">
        <f t="shared" si="397"/>
        <v>254.24260000000001</v>
      </c>
      <c r="F733" s="139">
        <f t="shared" si="398"/>
        <v>251.9</v>
      </c>
      <c r="G733" s="149"/>
      <c r="H733" s="82" t="str">
        <f t="shared" si="364"/>
        <v>0 percent up in Changhsingian international stage</v>
      </c>
      <c r="I733" s="142" t="str">
        <f t="shared" si="365"/>
        <v>100 percent up in Changhsingian international stage</v>
      </c>
      <c r="J733" s="7">
        <v>0</v>
      </c>
      <c r="K733" s="129">
        <f t="shared" si="366"/>
        <v>0</v>
      </c>
      <c r="L733" s="8" t="s">
        <v>107</v>
      </c>
      <c r="M733" s="5" t="s">
        <v>224</v>
      </c>
      <c r="N733" s="5" t="s">
        <v>886</v>
      </c>
      <c r="O733" s="84">
        <f>Master_Chronostrat!I103</f>
        <v>254.24260000000001</v>
      </c>
      <c r="P733" s="20">
        <v>1</v>
      </c>
      <c r="Q733" s="143">
        <f t="shared" si="367"/>
        <v>100</v>
      </c>
      <c r="R733" s="21" t="s">
        <v>107</v>
      </c>
      <c r="S733" s="8" t="s">
        <v>224</v>
      </c>
      <c r="T733" s="7" t="s">
        <v>226</v>
      </c>
    </row>
    <row r="734" spans="1:20" ht="42">
      <c r="A734" s="101" t="s">
        <v>881</v>
      </c>
      <c r="B734" s="154" t="s">
        <v>889</v>
      </c>
      <c r="C734" s="5"/>
      <c r="D734" s="5" t="s">
        <v>82</v>
      </c>
      <c r="E734" s="132">
        <f t="shared" ref="E734:E747" si="409">$O$752-J734*($O$752-$O$733)</f>
        <v>259.54700000000003</v>
      </c>
      <c r="F734" s="139">
        <f>$O$752-P734*($O$752-$O$733)</f>
        <v>254.24260000000001</v>
      </c>
      <c r="G734" s="149"/>
      <c r="H734" s="82" t="str">
        <f t="shared" si="364"/>
        <v>0 percent up in Wuchiapingian international stage</v>
      </c>
      <c r="I734" s="142" t="str">
        <f t="shared" si="365"/>
        <v>100 percent up in Wuchiapingian international stage</v>
      </c>
      <c r="J734" s="7">
        <v>0</v>
      </c>
      <c r="K734" s="129">
        <f t="shared" si="366"/>
        <v>0</v>
      </c>
      <c r="L734" s="8" t="s">
        <v>109</v>
      </c>
      <c r="M734" s="5" t="s">
        <v>82</v>
      </c>
      <c r="N734" s="5" t="s">
        <v>82</v>
      </c>
      <c r="O734" s="83"/>
      <c r="P734" s="20">
        <v>1</v>
      </c>
      <c r="Q734" s="143">
        <f t="shared" si="367"/>
        <v>100</v>
      </c>
      <c r="R734" s="21" t="s">
        <v>109</v>
      </c>
      <c r="S734" s="8" t="s">
        <v>232</v>
      </c>
      <c r="T734" s="7" t="s">
        <v>226</v>
      </c>
    </row>
    <row r="735" spans="1:20" ht="42">
      <c r="A735" s="101" t="s">
        <v>881</v>
      </c>
      <c r="B735" s="154" t="s">
        <v>890</v>
      </c>
      <c r="C735" s="5"/>
      <c r="D735" s="5" t="s">
        <v>2085</v>
      </c>
      <c r="E735" s="132">
        <f t="shared" si="409"/>
        <v>259.54700000000003</v>
      </c>
      <c r="F735" s="139">
        <f>$O$752-P735*($O$752-$O$733)</f>
        <v>254.24260000000001</v>
      </c>
      <c r="G735" s="149" t="s">
        <v>2013</v>
      </c>
      <c r="H735" s="82" t="str">
        <f t="shared" si="364"/>
        <v>0 percent up in Wuchiapingian international stage</v>
      </c>
      <c r="I735" s="142" t="str">
        <f t="shared" si="365"/>
        <v>100 percent up in Wuchiapingian international stage</v>
      </c>
      <c r="J735" s="7">
        <v>0</v>
      </c>
      <c r="K735" s="129">
        <f t="shared" si="366"/>
        <v>0</v>
      </c>
      <c r="L735" s="8" t="s">
        <v>109</v>
      </c>
      <c r="M735" s="5" t="s">
        <v>82</v>
      </c>
      <c r="N735" s="5" t="s">
        <v>82</v>
      </c>
      <c r="O735" s="83"/>
      <c r="P735" s="20">
        <v>1</v>
      </c>
      <c r="Q735" s="143">
        <f t="shared" si="367"/>
        <v>100</v>
      </c>
      <c r="R735" s="21" t="s">
        <v>109</v>
      </c>
      <c r="S735" s="8" t="s">
        <v>232</v>
      </c>
      <c r="T735" s="7" t="s">
        <v>226</v>
      </c>
    </row>
    <row r="736" spans="1:20" ht="42">
      <c r="A736" s="101" t="s">
        <v>881</v>
      </c>
      <c r="B736" s="154" t="s">
        <v>891</v>
      </c>
      <c r="C736" s="5"/>
      <c r="D736" s="5" t="s">
        <v>2085</v>
      </c>
      <c r="E736" s="132">
        <f t="shared" si="409"/>
        <v>259.54700000000003</v>
      </c>
      <c r="F736" s="139">
        <f>$O$752-P736*($O$752-$O$733)</f>
        <v>254.24260000000001</v>
      </c>
      <c r="G736" s="149"/>
      <c r="H736" s="82" t="str">
        <f t="shared" si="364"/>
        <v>0 percent up in Wuchiapingian international stage</v>
      </c>
      <c r="I736" s="142" t="str">
        <f t="shared" si="365"/>
        <v>100 percent up in Wuchiapingian international stage</v>
      </c>
      <c r="J736" s="7">
        <v>0</v>
      </c>
      <c r="K736" s="129">
        <f t="shared" si="366"/>
        <v>0</v>
      </c>
      <c r="L736" s="8" t="s">
        <v>109</v>
      </c>
      <c r="M736" s="5" t="s">
        <v>82</v>
      </c>
      <c r="N736" s="5" t="s">
        <v>82</v>
      </c>
      <c r="O736" s="83"/>
      <c r="P736" s="20">
        <v>1</v>
      </c>
      <c r="Q736" s="143">
        <f t="shared" si="367"/>
        <v>100</v>
      </c>
      <c r="R736" s="21" t="s">
        <v>109</v>
      </c>
      <c r="S736" s="8" t="s">
        <v>232</v>
      </c>
      <c r="T736" s="7" t="s">
        <v>226</v>
      </c>
    </row>
    <row r="737" spans="1:20" ht="42">
      <c r="A737" s="101" t="s">
        <v>881</v>
      </c>
      <c r="B737" s="154" t="s">
        <v>893</v>
      </c>
      <c r="C737" s="5"/>
      <c r="D737" s="5" t="s">
        <v>82</v>
      </c>
      <c r="E737" s="132">
        <f t="shared" si="409"/>
        <v>259.54700000000003</v>
      </c>
      <c r="F737" s="139">
        <f>$O$752-P737*($O$752-$O$733)</f>
        <v>254.24260000000001</v>
      </c>
      <c r="G737" s="149"/>
      <c r="H737" s="82" t="str">
        <f t="shared" si="364"/>
        <v>0 percent up in Wuchiapingian international stage</v>
      </c>
      <c r="I737" s="142" t="str">
        <f t="shared" si="365"/>
        <v>100 percent up in Wuchiapingian international stage</v>
      </c>
      <c r="J737" s="7">
        <v>0</v>
      </c>
      <c r="K737" s="129">
        <f t="shared" si="366"/>
        <v>0</v>
      </c>
      <c r="L737" s="8" t="s">
        <v>109</v>
      </c>
      <c r="M737" s="5" t="s">
        <v>82</v>
      </c>
      <c r="N737" s="5" t="s">
        <v>82</v>
      </c>
      <c r="O737" s="83"/>
      <c r="P737" s="20">
        <v>1</v>
      </c>
      <c r="Q737" s="143">
        <f t="shared" si="367"/>
        <v>100</v>
      </c>
      <c r="R737" s="21" t="s">
        <v>109</v>
      </c>
      <c r="S737" s="8" t="s">
        <v>232</v>
      </c>
      <c r="T737" s="7" t="s">
        <v>226</v>
      </c>
    </row>
    <row r="738" spans="1:20" ht="28">
      <c r="A738" s="101" t="s">
        <v>881</v>
      </c>
      <c r="B738" s="154" t="s">
        <v>895</v>
      </c>
      <c r="C738" s="5"/>
      <c r="D738" s="5" t="s">
        <v>244</v>
      </c>
      <c r="E738" s="132">
        <f t="shared" si="409"/>
        <v>259.54700000000003</v>
      </c>
      <c r="F738" s="139">
        <f>$O$747-P738*($O$747-$O$733)</f>
        <v>259.12264800000003</v>
      </c>
      <c r="G738" s="153" t="s">
        <v>1908</v>
      </c>
      <c r="H738" s="82" t="str">
        <f t="shared" si="364"/>
        <v>0 percent up in Wuchiapingian international stage</v>
      </c>
      <c r="I738" s="142" t="str">
        <f t="shared" si="365"/>
        <v>8 percent up in Wuchiapingian international stage</v>
      </c>
      <c r="J738" s="7">
        <v>0</v>
      </c>
      <c r="K738" s="129">
        <f t="shared" si="366"/>
        <v>0</v>
      </c>
      <c r="L738" s="8" t="s">
        <v>109</v>
      </c>
      <c r="M738" s="5" t="s">
        <v>82</v>
      </c>
      <c r="N738" s="5" t="s">
        <v>82</v>
      </c>
      <c r="O738" s="83"/>
      <c r="P738" s="20">
        <v>0.08</v>
      </c>
      <c r="Q738" s="143">
        <f t="shared" ref="Q738" si="410">ROUND(P738*100,1)</f>
        <v>8</v>
      </c>
      <c r="R738" s="21" t="s">
        <v>109</v>
      </c>
      <c r="S738" s="153" t="s">
        <v>1904</v>
      </c>
      <c r="T738" s="7" t="s">
        <v>226</v>
      </c>
    </row>
    <row r="739" spans="1:20" ht="42">
      <c r="A739" s="101" t="s">
        <v>881</v>
      </c>
      <c r="B739" s="154" t="s">
        <v>896</v>
      </c>
      <c r="C739" s="5"/>
      <c r="D739" s="5" t="s">
        <v>82</v>
      </c>
      <c r="E739" s="132">
        <f t="shared" si="409"/>
        <v>259.54700000000003</v>
      </c>
      <c r="F739" s="139">
        <f>$O$752-P739*($O$752-$O$733)</f>
        <v>254.24260000000001</v>
      </c>
      <c r="G739" s="149"/>
      <c r="H739" s="82" t="str">
        <f t="shared" si="364"/>
        <v>0 percent up in Wuchiapingian international stage</v>
      </c>
      <c r="I739" s="142" t="str">
        <f t="shared" si="365"/>
        <v>100 percent up in Wuchiapingian international stage</v>
      </c>
      <c r="J739" s="7">
        <v>0</v>
      </c>
      <c r="K739" s="129">
        <f t="shared" si="366"/>
        <v>0</v>
      </c>
      <c r="L739" s="8" t="s">
        <v>109</v>
      </c>
      <c r="M739" s="5" t="s">
        <v>82</v>
      </c>
      <c r="N739" s="5" t="s">
        <v>82</v>
      </c>
      <c r="O739" s="83"/>
      <c r="P739" s="20">
        <v>1</v>
      </c>
      <c r="Q739" s="143">
        <f t="shared" si="367"/>
        <v>100</v>
      </c>
      <c r="R739" s="21" t="s">
        <v>109</v>
      </c>
      <c r="S739" s="8" t="s">
        <v>232</v>
      </c>
      <c r="T739" s="7" t="s">
        <v>226</v>
      </c>
    </row>
    <row r="740" spans="1:20" ht="42">
      <c r="A740" s="101" t="s">
        <v>881</v>
      </c>
      <c r="B740" s="154" t="s">
        <v>897</v>
      </c>
      <c r="C740" s="5"/>
      <c r="D740" s="5" t="s">
        <v>82</v>
      </c>
      <c r="E740" s="132">
        <f t="shared" si="409"/>
        <v>259.54700000000003</v>
      </c>
      <c r="F740" s="139">
        <f>$O$752-P740*($O$752-$O$733)</f>
        <v>254.24260000000001</v>
      </c>
      <c r="G740" s="149"/>
      <c r="H740" s="82" t="str">
        <f t="shared" si="364"/>
        <v>0 percent up in Wuchiapingian international stage</v>
      </c>
      <c r="I740" s="142" t="str">
        <f t="shared" si="365"/>
        <v>100 percent up in Wuchiapingian international stage</v>
      </c>
      <c r="J740" s="7">
        <v>0</v>
      </c>
      <c r="K740" s="129">
        <f t="shared" si="366"/>
        <v>0</v>
      </c>
      <c r="L740" s="8" t="s">
        <v>109</v>
      </c>
      <c r="M740" s="5" t="s">
        <v>82</v>
      </c>
      <c r="N740" s="5" t="s">
        <v>82</v>
      </c>
      <c r="O740" s="83"/>
      <c r="P740" s="20">
        <v>1</v>
      </c>
      <c r="Q740" s="143">
        <f t="shared" si="367"/>
        <v>100</v>
      </c>
      <c r="R740" s="21" t="s">
        <v>109</v>
      </c>
      <c r="S740" s="8" t="s">
        <v>232</v>
      </c>
      <c r="T740" s="7" t="s">
        <v>226</v>
      </c>
    </row>
    <row r="741" spans="1:20" ht="42">
      <c r="A741" s="101" t="s">
        <v>881</v>
      </c>
      <c r="B741" s="154" t="s">
        <v>898</v>
      </c>
      <c r="C741" s="5"/>
      <c r="D741" s="5" t="s">
        <v>82</v>
      </c>
      <c r="E741" s="132">
        <f t="shared" si="409"/>
        <v>259.54700000000003</v>
      </c>
      <c r="F741" s="139">
        <f>$O$752-P741*($O$752-$O$733)</f>
        <v>254.24260000000001</v>
      </c>
      <c r="G741" s="149"/>
      <c r="H741" s="82" t="str">
        <f t="shared" si="364"/>
        <v>0 percent up in Wuchiapingian international stage</v>
      </c>
      <c r="I741" s="142" t="str">
        <f t="shared" si="365"/>
        <v>100 percent up in Wuchiapingian international stage</v>
      </c>
      <c r="J741" s="7">
        <v>0</v>
      </c>
      <c r="K741" s="129">
        <f t="shared" si="366"/>
        <v>0</v>
      </c>
      <c r="L741" s="8" t="s">
        <v>109</v>
      </c>
      <c r="M741" s="5" t="s">
        <v>82</v>
      </c>
      <c r="N741" s="5" t="s">
        <v>82</v>
      </c>
      <c r="O741" s="83"/>
      <c r="P741" s="20">
        <v>1</v>
      </c>
      <c r="Q741" s="143">
        <f t="shared" si="367"/>
        <v>100</v>
      </c>
      <c r="R741" s="21" t="s">
        <v>109</v>
      </c>
      <c r="S741" s="8" t="s">
        <v>232</v>
      </c>
      <c r="T741" s="7" t="s">
        <v>226</v>
      </c>
    </row>
    <row r="742" spans="1:20" ht="42">
      <c r="A742" s="101" t="s">
        <v>881</v>
      </c>
      <c r="B742" s="154" t="s">
        <v>900</v>
      </c>
      <c r="C742" s="5"/>
      <c r="D742" s="5" t="s">
        <v>236</v>
      </c>
      <c r="E742" s="132">
        <f t="shared" si="409"/>
        <v>259.54700000000003</v>
      </c>
      <c r="F742" s="139">
        <f>$O$752-P742*($O$752-$O$733)</f>
        <v>254.24260000000001</v>
      </c>
      <c r="G742" s="149"/>
      <c r="H742" s="82" t="str">
        <f t="shared" ref="H742:H849" si="411">CONCATENATE(K742," percent up in ",L742," international stage")</f>
        <v>0 percent up in Wuchiapingian international stage</v>
      </c>
      <c r="I742" s="142" t="str">
        <f t="shared" ref="I742:I849" si="412">CONCATENATE(Q742," percent up in ",R742," international stage")</f>
        <v>100 percent up in Wuchiapingian international stage</v>
      </c>
      <c r="J742" s="7">
        <v>0</v>
      </c>
      <c r="K742" s="129">
        <f t="shared" ref="K742:K849" si="413">ROUND(J742*100,1)</f>
        <v>0</v>
      </c>
      <c r="L742" s="8" t="s">
        <v>109</v>
      </c>
      <c r="M742" s="5" t="s">
        <v>82</v>
      </c>
      <c r="N742" s="5" t="s">
        <v>82</v>
      </c>
      <c r="O742" s="83"/>
      <c r="P742" s="20">
        <v>1</v>
      </c>
      <c r="Q742" s="143">
        <f t="shared" ref="Q742:Q849" si="414">ROUND(P742*100,1)</f>
        <v>100</v>
      </c>
      <c r="R742" s="21" t="s">
        <v>109</v>
      </c>
      <c r="S742" s="8" t="s">
        <v>232</v>
      </c>
      <c r="T742" s="7" t="s">
        <v>226</v>
      </c>
    </row>
    <row r="743" spans="1:20" ht="42">
      <c r="A743" s="101" t="s">
        <v>881</v>
      </c>
      <c r="B743" s="155" t="s">
        <v>887</v>
      </c>
      <c r="C743" s="5"/>
      <c r="D743" s="5" t="s">
        <v>888</v>
      </c>
      <c r="E743" s="132">
        <f t="shared" si="409"/>
        <v>259.54700000000003</v>
      </c>
      <c r="F743" s="139">
        <f>$O$747-P743*($O$747-$O$733)</f>
        <v>257.42524000000003</v>
      </c>
      <c r="G743" s="153" t="s">
        <v>1907</v>
      </c>
      <c r="H743" s="82" t="str">
        <f>CONCATENATE(K743," percent up in ",L743," international stage")</f>
        <v>0 percent up in Wuchiapingian international stage</v>
      </c>
      <c r="I743" s="142" t="str">
        <f>CONCATENATE(Q743," percent up in ",R743," international stage")</f>
        <v>40 percent up in Wuchiapingian international stage</v>
      </c>
      <c r="J743" s="7">
        <v>0</v>
      </c>
      <c r="K743" s="129">
        <f t="shared" si="413"/>
        <v>0</v>
      </c>
      <c r="L743" s="8" t="s">
        <v>109</v>
      </c>
      <c r="M743" s="5" t="s">
        <v>82</v>
      </c>
      <c r="N743" s="5" t="s">
        <v>82</v>
      </c>
      <c r="O743" s="83"/>
      <c r="P743" s="20">
        <v>0.4</v>
      </c>
      <c r="Q743" s="143">
        <f t="shared" si="414"/>
        <v>40</v>
      </c>
      <c r="R743" s="21" t="s">
        <v>109</v>
      </c>
      <c r="S743" s="153" t="s">
        <v>1904</v>
      </c>
      <c r="T743" s="7" t="s">
        <v>226</v>
      </c>
    </row>
    <row r="744" spans="1:20" ht="42">
      <c r="A744" s="101"/>
      <c r="B744" s="154" t="s">
        <v>1648</v>
      </c>
      <c r="C744" s="5"/>
      <c r="D744" s="5"/>
      <c r="E744" s="132">
        <f t="shared" si="409"/>
        <v>259.54700000000003</v>
      </c>
      <c r="F744" s="139">
        <f>$O$752-P744*($O$752-$O$733)</f>
        <v>254.24260000000001</v>
      </c>
      <c r="G744" s="149" t="s">
        <v>1649</v>
      </c>
      <c r="H744" s="82" t="str">
        <f t="shared" ref="H744" si="415">CONCATENATE(K744," percent up in ",L744," international stage")</f>
        <v>0 percent up in Wuchiapingian international stage</v>
      </c>
      <c r="I744" s="142" t="str">
        <f t="shared" ref="I744" si="416">CONCATENATE(Q744," percent up in ",R744," international stage")</f>
        <v>100 percent up in Wuchiapingian international stage</v>
      </c>
      <c r="J744" s="7">
        <v>0</v>
      </c>
      <c r="K744" s="129">
        <f t="shared" ref="K744" si="417">ROUND(J744*100,1)</f>
        <v>0</v>
      </c>
      <c r="L744" s="8" t="s">
        <v>109</v>
      </c>
      <c r="M744" s="5" t="s">
        <v>82</v>
      </c>
      <c r="N744" s="5" t="s">
        <v>82</v>
      </c>
      <c r="O744" s="83"/>
      <c r="P744" s="20">
        <v>1</v>
      </c>
      <c r="Q744" s="143">
        <f t="shared" ref="Q744" si="418">ROUND(P744*100,1)</f>
        <v>100</v>
      </c>
      <c r="R744" s="21" t="s">
        <v>109</v>
      </c>
      <c r="S744" s="149" t="s">
        <v>1649</v>
      </c>
    </row>
    <row r="745" spans="1:20" ht="42">
      <c r="A745" s="101" t="s">
        <v>881</v>
      </c>
      <c r="B745" s="154" t="s">
        <v>901</v>
      </c>
      <c r="C745" s="5"/>
      <c r="D745" s="5" t="s">
        <v>248</v>
      </c>
      <c r="E745" s="132">
        <f t="shared" si="409"/>
        <v>259.54700000000003</v>
      </c>
      <c r="F745" s="139">
        <f>$O$752-P745*($O$752-$O$733)</f>
        <v>254.24260000000001</v>
      </c>
      <c r="G745" s="149"/>
      <c r="H745" s="82" t="str">
        <f t="shared" si="411"/>
        <v>0 percent up in Wuchiapingian international stage</v>
      </c>
      <c r="I745" s="142" t="str">
        <f t="shared" si="412"/>
        <v>100 percent up in Wuchiapingian international stage</v>
      </c>
      <c r="J745" s="7">
        <v>0</v>
      </c>
      <c r="K745" s="129">
        <f t="shared" si="413"/>
        <v>0</v>
      </c>
      <c r="L745" s="8" t="s">
        <v>109</v>
      </c>
      <c r="M745" s="5" t="s">
        <v>82</v>
      </c>
      <c r="N745" s="5" t="s">
        <v>82</v>
      </c>
      <c r="O745" s="83"/>
      <c r="P745" s="20">
        <v>1</v>
      </c>
      <c r="Q745" s="143">
        <f t="shared" si="414"/>
        <v>100</v>
      </c>
      <c r="R745" s="21" t="s">
        <v>109</v>
      </c>
      <c r="S745" s="8" t="s">
        <v>232</v>
      </c>
      <c r="T745" s="7" t="s">
        <v>226</v>
      </c>
    </row>
    <row r="746" spans="1:20" ht="42">
      <c r="A746" s="101" t="s">
        <v>881</v>
      </c>
      <c r="B746" s="154" t="s">
        <v>902</v>
      </c>
      <c r="C746" s="5"/>
      <c r="D746" s="5" t="s">
        <v>270</v>
      </c>
      <c r="E746" s="132">
        <f t="shared" si="409"/>
        <v>259.54700000000003</v>
      </c>
      <c r="F746" s="139">
        <f>$O$733-P746*($O$733-$O$724)</f>
        <v>251.9</v>
      </c>
      <c r="G746" s="149"/>
      <c r="H746" s="82" t="str">
        <f t="shared" si="411"/>
        <v>0 percent up in Wuchiapingian international stage</v>
      </c>
      <c r="I746" s="142" t="str">
        <f t="shared" si="412"/>
        <v>100 percent up in Changhsingian international stage</v>
      </c>
      <c r="J746" s="7">
        <v>0</v>
      </c>
      <c r="K746" s="129">
        <f t="shared" si="413"/>
        <v>0</v>
      </c>
      <c r="L746" s="8" t="s">
        <v>109</v>
      </c>
      <c r="M746" s="5" t="s">
        <v>82</v>
      </c>
      <c r="N746" s="5" t="s">
        <v>82</v>
      </c>
      <c r="O746" s="83"/>
      <c r="P746" s="20">
        <v>1</v>
      </c>
      <c r="Q746" s="143">
        <f t="shared" si="414"/>
        <v>100</v>
      </c>
      <c r="R746" s="21" t="s">
        <v>107</v>
      </c>
      <c r="S746" s="8" t="s">
        <v>232</v>
      </c>
      <c r="T746" s="7" t="s">
        <v>226</v>
      </c>
    </row>
    <row r="747" spans="1:20" ht="42">
      <c r="A747" s="101" t="s">
        <v>881</v>
      </c>
      <c r="B747" s="154" t="s">
        <v>109</v>
      </c>
      <c r="C747" s="5"/>
      <c r="D747" s="5" t="s">
        <v>82</v>
      </c>
      <c r="E747" s="132">
        <f t="shared" si="409"/>
        <v>259.54700000000003</v>
      </c>
      <c r="F747" s="139">
        <f>$O$752-P747*($O$752-$O$733)</f>
        <v>254.24260000000001</v>
      </c>
      <c r="G747" s="149"/>
      <c r="H747" s="82" t="str">
        <f t="shared" si="411"/>
        <v>0 percent up in Wuchiapingian international stage</v>
      </c>
      <c r="I747" s="142" t="str">
        <f t="shared" si="412"/>
        <v>100 percent up in Wuchiapingian international stage</v>
      </c>
      <c r="J747" s="7">
        <v>0</v>
      </c>
      <c r="K747" s="129">
        <f t="shared" si="413"/>
        <v>0</v>
      </c>
      <c r="L747" s="8" t="s">
        <v>109</v>
      </c>
      <c r="M747" s="5" t="s">
        <v>82</v>
      </c>
      <c r="N747" s="5" t="s">
        <v>82</v>
      </c>
      <c r="O747" s="84">
        <f>Master_Chronostrat!I104</f>
        <v>259.54700000000003</v>
      </c>
      <c r="P747" s="20">
        <v>1</v>
      </c>
      <c r="Q747" s="143">
        <f t="shared" si="414"/>
        <v>100</v>
      </c>
      <c r="R747" s="21" t="s">
        <v>109</v>
      </c>
      <c r="S747" s="8" t="s">
        <v>224</v>
      </c>
      <c r="T747" s="7" t="s">
        <v>226</v>
      </c>
    </row>
    <row r="748" spans="1:20" ht="42">
      <c r="A748" s="101"/>
      <c r="B748" s="154" t="s">
        <v>1851</v>
      </c>
      <c r="C748" s="5"/>
      <c r="D748" s="5"/>
      <c r="E748" s="132">
        <f>$O$733-J748*($O$733-$O$724)</f>
        <v>254.24260000000001</v>
      </c>
      <c r="F748" s="139">
        <f>$O$733-P748*($O$733-$O$724)</f>
        <v>251.9</v>
      </c>
      <c r="G748" s="149" t="s">
        <v>1854</v>
      </c>
      <c r="H748" s="82" t="str">
        <f t="shared" si="411"/>
        <v>0 percent up in Changhsingian international stage</v>
      </c>
      <c r="I748" s="142" t="str">
        <f t="shared" si="412"/>
        <v>100 percent up in Changhsingian international stage</v>
      </c>
      <c r="J748" s="7">
        <v>0</v>
      </c>
      <c r="K748" s="129">
        <f t="shared" si="413"/>
        <v>0</v>
      </c>
      <c r="L748" s="8" t="s">
        <v>107</v>
      </c>
      <c r="M748" s="5"/>
      <c r="O748" s="84"/>
      <c r="P748" s="20">
        <v>1</v>
      </c>
      <c r="Q748" s="143">
        <f t="shared" ref="Q748" si="419">ROUND(P748*100,1)</f>
        <v>100</v>
      </c>
      <c r="R748" s="21" t="s">
        <v>107</v>
      </c>
      <c r="S748" s="149" t="s">
        <v>1854</v>
      </c>
    </row>
    <row r="749" spans="1:20" ht="56">
      <c r="A749" s="101"/>
      <c r="B749" s="154" t="s">
        <v>1856</v>
      </c>
      <c r="C749" s="5"/>
      <c r="D749" s="5"/>
      <c r="E749" s="132">
        <f>$O$752-J749*($O$752-$O$733)</f>
        <v>255.56870000000001</v>
      </c>
      <c r="F749" s="139">
        <f>$O$733-P749*($O$733-$O$724)</f>
        <v>253.65694999999999</v>
      </c>
      <c r="G749" s="151" t="s">
        <v>1857</v>
      </c>
      <c r="H749" s="82" t="str">
        <f>CONCATENATE(K749," percent up in ",L749," international stage")</f>
        <v>75 percent up in Wuchiapingian international stage</v>
      </c>
      <c r="I749" s="142" t="str">
        <f>CONCATENATE(Q749," percent up in ",R749," international stage")</f>
        <v>25 percent up in Changhsingian international stage</v>
      </c>
      <c r="J749" s="7">
        <v>0.75</v>
      </c>
      <c r="K749" s="129">
        <f>ROUND(J749*100,1)</f>
        <v>75</v>
      </c>
      <c r="L749" s="8" t="s">
        <v>109</v>
      </c>
      <c r="M749" s="5"/>
      <c r="O749" s="84"/>
      <c r="P749" s="20">
        <v>0.25</v>
      </c>
      <c r="Q749" s="143">
        <f t="shared" ref="Q749" si="420">ROUND(P749*100,1)</f>
        <v>25</v>
      </c>
      <c r="R749" s="21" t="s">
        <v>107</v>
      </c>
      <c r="S749" s="151" t="s">
        <v>1855</v>
      </c>
    </row>
    <row r="750" spans="1:20" ht="42">
      <c r="A750" s="101" t="s">
        <v>881</v>
      </c>
      <c r="B750" s="154" t="s">
        <v>1852</v>
      </c>
      <c r="C750" s="5"/>
      <c r="D750" s="5" t="s">
        <v>82</v>
      </c>
      <c r="E750" s="132">
        <f>$O$752-J750*($O$752-$O$733)</f>
        <v>259.54700000000003</v>
      </c>
      <c r="F750" s="139">
        <f>$O$752-P750*($O$752-$O$733)</f>
        <v>254.24260000000001</v>
      </c>
      <c r="G750" s="149" t="s">
        <v>1853</v>
      </c>
      <c r="H750" s="82" t="str">
        <f>CONCATENATE(K750," percent up in ",L750," international stage")</f>
        <v>0 percent up in Wuchiapingian international stage</v>
      </c>
      <c r="I750" s="142" t="str">
        <f>CONCATENATE(Q750," percent up in ",R750," international stage")</f>
        <v>100 percent up in Wuchiapingian international stage</v>
      </c>
      <c r="J750" s="7">
        <v>0</v>
      </c>
      <c r="K750" s="129">
        <f>ROUND(J750*100,1)</f>
        <v>0</v>
      </c>
      <c r="L750" s="8" t="s">
        <v>109</v>
      </c>
      <c r="M750" s="5" t="s">
        <v>82</v>
      </c>
      <c r="N750" s="5" t="s">
        <v>82</v>
      </c>
      <c r="O750" s="83"/>
      <c r="P750" s="20">
        <v>1</v>
      </c>
      <c r="Q750" s="143">
        <f t="shared" ref="Q750:Q751" si="421">ROUND(P750*100,1)</f>
        <v>100</v>
      </c>
      <c r="R750" s="21" t="s">
        <v>109</v>
      </c>
      <c r="S750" s="149" t="s">
        <v>1853</v>
      </c>
      <c r="T750" s="7" t="s">
        <v>226</v>
      </c>
    </row>
    <row r="751" spans="1:20" ht="42">
      <c r="A751" s="101"/>
      <c r="B751" s="154" t="s">
        <v>1922</v>
      </c>
      <c r="C751" s="5"/>
      <c r="D751" s="5"/>
      <c r="E751" s="132">
        <f>$O$752-J751*($O$752-$O$733)</f>
        <v>259.54700000000003</v>
      </c>
      <c r="F751" s="139">
        <f>$O$733-P751*($O$733-$O$724)</f>
        <v>251.9</v>
      </c>
      <c r="G751" s="149"/>
      <c r="H751" s="82" t="str">
        <f t="shared" ref="H751" si="422">CONCATENATE(K751," percent up in ",L751," international stage")</f>
        <v>0 percent up in Wuchiapingian international stage</v>
      </c>
      <c r="I751" s="142" t="str">
        <f t="shared" ref="I751" si="423">CONCATENATE(Q751," percent up in ",R751," international stage")</f>
        <v>100 percent up in Changhsingian international stage</v>
      </c>
      <c r="J751" s="7">
        <v>0</v>
      </c>
      <c r="K751" s="129">
        <f t="shared" ref="K751" si="424">ROUND(J751*100,1)</f>
        <v>0</v>
      </c>
      <c r="L751" s="8" t="s">
        <v>109</v>
      </c>
      <c r="M751" s="5" t="s">
        <v>82</v>
      </c>
      <c r="N751" s="5" t="s">
        <v>82</v>
      </c>
      <c r="O751" s="83"/>
      <c r="P751" s="20">
        <v>1</v>
      </c>
      <c r="Q751" s="143">
        <f t="shared" si="421"/>
        <v>100</v>
      </c>
      <c r="R751" s="21" t="s">
        <v>107</v>
      </c>
      <c r="S751" s="8" t="s">
        <v>1923</v>
      </c>
    </row>
    <row r="752" spans="1:20" ht="42">
      <c r="A752" s="101" t="s">
        <v>881</v>
      </c>
      <c r="B752" s="154" t="s">
        <v>108</v>
      </c>
      <c r="C752" s="135"/>
      <c r="D752" s="135" t="s">
        <v>222</v>
      </c>
      <c r="E752" s="132">
        <f>$O$752-J752*($O$752-$O$733)</f>
        <v>259.54700000000003</v>
      </c>
      <c r="F752" s="139">
        <f>$O$733-P752*($O$733-$O$724)</f>
        <v>251.9</v>
      </c>
      <c r="G752" s="149"/>
      <c r="H752" s="82" t="str">
        <f t="shared" si="411"/>
        <v>0 percent up in Wuchiapingian international stage</v>
      </c>
      <c r="I752" s="142" t="str">
        <f t="shared" si="412"/>
        <v>100 percent up in Changhsingian international stage</v>
      </c>
      <c r="J752" s="7">
        <v>0</v>
      </c>
      <c r="K752" s="129">
        <f t="shared" si="413"/>
        <v>0</v>
      </c>
      <c r="L752" s="8" t="s">
        <v>109</v>
      </c>
      <c r="M752" s="5" t="s">
        <v>224</v>
      </c>
      <c r="N752" s="5" t="s">
        <v>903</v>
      </c>
      <c r="O752" s="84">
        <f>Master_Chronostrat!I104</f>
        <v>259.54700000000003</v>
      </c>
      <c r="P752" s="20">
        <v>1</v>
      </c>
      <c r="Q752" s="143">
        <f t="shared" si="414"/>
        <v>100</v>
      </c>
      <c r="R752" s="21" t="s">
        <v>107</v>
      </c>
      <c r="S752" s="8" t="s">
        <v>3</v>
      </c>
      <c r="T752" s="7" t="s">
        <v>226</v>
      </c>
    </row>
    <row r="753" spans="1:20" ht="28">
      <c r="A753" s="101" t="s">
        <v>881</v>
      </c>
      <c r="B753" s="155" t="s">
        <v>904</v>
      </c>
      <c r="C753" s="5"/>
      <c r="D753" s="5" t="s">
        <v>905</v>
      </c>
      <c r="E753" s="132">
        <f>$O$760-J753*($O$760-$O$752)</f>
        <v>261.41133333333335</v>
      </c>
      <c r="F753" s="139">
        <f>$O$760-P753*($O$760-$O$752)</f>
        <v>259.54700000000003</v>
      </c>
      <c r="G753" s="149"/>
      <c r="H753" s="82" t="str">
        <f t="shared" si="411"/>
        <v>61.1 percent up in Capitanian international stage</v>
      </c>
      <c r="I753" s="142" t="str">
        <f t="shared" si="412"/>
        <v>100 percent up in Capitanian international stage</v>
      </c>
      <c r="J753" s="7">
        <v>0.61111111111110938</v>
      </c>
      <c r="K753" s="129">
        <f t="shared" si="413"/>
        <v>61.1</v>
      </c>
      <c r="L753" s="8" t="s">
        <v>110</v>
      </c>
      <c r="M753" s="5" t="s">
        <v>82</v>
      </c>
      <c r="N753" s="5" t="s">
        <v>82</v>
      </c>
      <c r="O753" s="83"/>
      <c r="P753" s="20">
        <v>1</v>
      </c>
      <c r="Q753" s="143">
        <f t="shared" si="414"/>
        <v>100</v>
      </c>
      <c r="R753" s="21" t="s">
        <v>110</v>
      </c>
      <c r="S753" s="8" t="s">
        <v>272</v>
      </c>
      <c r="T753" s="7" t="s">
        <v>226</v>
      </c>
    </row>
    <row r="754" spans="1:20" ht="28">
      <c r="A754" s="101" t="s">
        <v>881</v>
      </c>
      <c r="B754" s="155" t="s">
        <v>906</v>
      </c>
      <c r="C754" s="5"/>
      <c r="D754" s="5" t="s">
        <v>2085</v>
      </c>
      <c r="E754" s="132">
        <f>$O$768-J754*($O$768-$O$760)</f>
        <v>266.77549999999997</v>
      </c>
      <c r="F754" s="139">
        <f>$O$760-P754*($O$760-$O$752)</f>
        <v>259.54700000000003</v>
      </c>
      <c r="G754" s="149" t="s">
        <v>2107</v>
      </c>
      <c r="H754" s="82" t="str">
        <f t="shared" si="411"/>
        <v>50 percent up in Wordian international stage</v>
      </c>
      <c r="I754" s="142" t="str">
        <f t="shared" si="412"/>
        <v>100 percent up in Capitanian international stage</v>
      </c>
      <c r="J754" s="7">
        <v>0.5</v>
      </c>
      <c r="K754" s="129">
        <f t="shared" ref="K754" si="425">ROUND(J754*100,1)</f>
        <v>50</v>
      </c>
      <c r="L754" s="8" t="s">
        <v>111</v>
      </c>
      <c r="M754" s="5" t="s">
        <v>82</v>
      </c>
      <c r="N754" s="5" t="s">
        <v>82</v>
      </c>
      <c r="O754" s="83"/>
      <c r="P754" s="20">
        <v>1</v>
      </c>
      <c r="Q754" s="143">
        <f t="shared" si="414"/>
        <v>100</v>
      </c>
      <c r="R754" s="21" t="s">
        <v>110</v>
      </c>
      <c r="S754" s="8" t="s">
        <v>259</v>
      </c>
      <c r="T754" s="7">
        <v>0.37037037037036197</v>
      </c>
    </row>
    <row r="755" spans="1:20" ht="28">
      <c r="A755" s="101" t="s">
        <v>881</v>
      </c>
      <c r="B755" s="155" t="s">
        <v>907</v>
      </c>
      <c r="C755" s="5"/>
      <c r="D755" s="5" t="s">
        <v>248</v>
      </c>
      <c r="E755" s="132">
        <f>$O$760-J755*($O$760-$O$752)</f>
        <v>264.34100000000001</v>
      </c>
      <c r="F755" s="139">
        <f>$O$760-P755*($O$760-$O$752)</f>
        <v>259.54700000000003</v>
      </c>
      <c r="G755" s="149"/>
      <c r="H755" s="82" t="str">
        <f t="shared" si="411"/>
        <v>0 percent up in Capitanian international stage</v>
      </c>
      <c r="I755" s="142" t="str">
        <f t="shared" si="412"/>
        <v>100 percent up in Capitanian international stage</v>
      </c>
      <c r="J755" s="7">
        <v>0</v>
      </c>
      <c r="K755" s="129">
        <f t="shared" si="413"/>
        <v>0</v>
      </c>
      <c r="L755" s="8" t="s">
        <v>110</v>
      </c>
      <c r="M755" s="5" t="s">
        <v>82</v>
      </c>
      <c r="N755" s="5" t="s">
        <v>82</v>
      </c>
      <c r="O755" s="83"/>
      <c r="P755" s="20">
        <v>1</v>
      </c>
      <c r="Q755" s="143">
        <f t="shared" si="414"/>
        <v>100</v>
      </c>
      <c r="R755" s="21" t="s">
        <v>110</v>
      </c>
      <c r="S755" s="8" t="s">
        <v>232</v>
      </c>
      <c r="T755" s="7" t="s">
        <v>226</v>
      </c>
    </row>
    <row r="756" spans="1:20" ht="28">
      <c r="A756" s="101" t="s">
        <v>881</v>
      </c>
      <c r="B756" s="155" t="s">
        <v>908</v>
      </c>
      <c r="C756" s="5"/>
      <c r="D756" s="5" t="s">
        <v>888</v>
      </c>
      <c r="E756" s="132">
        <f>$O$760-J756*($O$760-$O$752)</f>
        <v>264.34100000000001</v>
      </c>
      <c r="F756" s="139">
        <f>$O$760-P756*($O$760-$O$752)</f>
        <v>259.54700000000003</v>
      </c>
      <c r="G756" s="153" t="s">
        <v>1906</v>
      </c>
      <c r="H756" s="82" t="str">
        <f t="shared" si="411"/>
        <v>0 percent up in Capitanian international stage</v>
      </c>
      <c r="I756" s="142" t="str">
        <f t="shared" si="412"/>
        <v>100 percent up in Capitanian international stage</v>
      </c>
      <c r="J756" s="7">
        <v>0</v>
      </c>
      <c r="K756" s="129">
        <f t="shared" si="413"/>
        <v>0</v>
      </c>
      <c r="L756" s="8" t="s">
        <v>110</v>
      </c>
      <c r="M756" s="5" t="s">
        <v>82</v>
      </c>
      <c r="N756" s="5" t="s">
        <v>82</v>
      </c>
      <c r="O756" s="83"/>
      <c r="P756" s="20">
        <v>1</v>
      </c>
      <c r="Q756" s="143">
        <f t="shared" si="414"/>
        <v>100</v>
      </c>
      <c r="R756" s="21" t="s">
        <v>110</v>
      </c>
      <c r="S756" s="153" t="s">
        <v>1904</v>
      </c>
      <c r="T756" s="7" t="s">
        <v>226</v>
      </c>
    </row>
    <row r="757" spans="1:20" ht="56">
      <c r="A757" s="101"/>
      <c r="B757" s="154" t="s">
        <v>1651</v>
      </c>
      <c r="C757" s="5"/>
      <c r="D757" s="5" t="s">
        <v>888</v>
      </c>
      <c r="E757" s="132">
        <f>$O$733-J757*($O$733-$O$724)</f>
        <v>254.24260000000001</v>
      </c>
      <c r="F757" s="139">
        <f>$O$752-P757*($O$752-$O$733)</f>
        <v>257.42524000000003</v>
      </c>
      <c r="G757" s="153" t="s">
        <v>1905</v>
      </c>
      <c r="H757" s="82" t="str">
        <f>CONCATENATE(K757," percent up in ",L757," international stage")</f>
        <v>0 percent up in Capitanian international stage</v>
      </c>
      <c r="I757" s="142" t="str">
        <f>CONCATENATE(Q757," percent up in ",R757," international stage")</f>
        <v>40 percent up in Wuchiapingian international stage</v>
      </c>
      <c r="J757" s="7">
        <v>0</v>
      </c>
      <c r="K757" s="129">
        <f t="shared" ref="K757" si="426">ROUND(J757*100,1)</f>
        <v>0</v>
      </c>
      <c r="L757" s="8" t="s">
        <v>110</v>
      </c>
      <c r="M757" s="5" t="s">
        <v>82</v>
      </c>
      <c r="N757" s="5" t="s">
        <v>82</v>
      </c>
      <c r="O757" s="83"/>
      <c r="P757" s="20">
        <v>0.4</v>
      </c>
      <c r="Q757" s="143">
        <f t="shared" ref="Q757" si="427">ROUND(P757*100,1)</f>
        <v>40</v>
      </c>
      <c r="R757" s="21" t="s">
        <v>109</v>
      </c>
      <c r="S757" s="153" t="s">
        <v>1904</v>
      </c>
    </row>
    <row r="758" spans="1:20" ht="28">
      <c r="A758" s="101"/>
      <c r="B758" s="155" t="s">
        <v>1652</v>
      </c>
      <c r="C758" s="5"/>
      <c r="D758" s="5"/>
      <c r="E758" s="132">
        <f>$O$760-J758*($O$760-$O$752)</f>
        <v>261.94400000000002</v>
      </c>
      <c r="F758" s="139">
        <f>$O$760-P758*($O$760-$O$752)</f>
        <v>259.54700000000003</v>
      </c>
      <c r="G758" s="149" t="s">
        <v>1601</v>
      </c>
      <c r="H758" s="82" t="str">
        <f t="shared" ref="H758:H759" si="428">CONCATENATE(K758," percent up in ",L758," international stage")</f>
        <v>50 percent up in Capitanian international stage</v>
      </c>
      <c r="I758" s="142" t="str">
        <f t="shared" ref="I758:I759" si="429">CONCATENATE(Q758," percent up in ",R758," international stage")</f>
        <v>100 percent up in Capitanian international stage</v>
      </c>
      <c r="J758" s="7">
        <v>0.5</v>
      </c>
      <c r="K758" s="129">
        <f t="shared" ref="K758:K759" si="430">ROUND(J758*100,1)</f>
        <v>50</v>
      </c>
      <c r="L758" s="8" t="s">
        <v>110</v>
      </c>
      <c r="M758" s="5" t="s">
        <v>82</v>
      </c>
      <c r="N758" s="5" t="s">
        <v>82</v>
      </c>
      <c r="O758" s="83"/>
      <c r="P758" s="20">
        <v>1</v>
      </c>
      <c r="Q758" s="143">
        <f t="shared" ref="Q758:Q759" si="431">ROUND(P758*100,1)</f>
        <v>100</v>
      </c>
      <c r="R758" s="21" t="s">
        <v>110</v>
      </c>
      <c r="S758" s="151" t="s">
        <v>1601</v>
      </c>
    </row>
    <row r="759" spans="1:20" ht="28">
      <c r="A759" s="101"/>
      <c r="B759" s="155" t="s">
        <v>1653</v>
      </c>
      <c r="C759" s="5"/>
      <c r="D759" s="5"/>
      <c r="E759" s="132">
        <f>$O$760-J759*($O$760-$O$752)</f>
        <v>264.34100000000001</v>
      </c>
      <c r="F759" s="139">
        <f>$O$760-P759*($O$760-$O$752)</f>
        <v>261.94400000000002</v>
      </c>
      <c r="G759" s="149" t="s">
        <v>1602</v>
      </c>
      <c r="H759" s="82" t="str">
        <f t="shared" si="428"/>
        <v>0 percent up in Capitanian international stage</v>
      </c>
      <c r="I759" s="142" t="str">
        <f t="shared" si="429"/>
        <v>50 percent up in Capitanian international stage</v>
      </c>
      <c r="J759" s="7">
        <v>0</v>
      </c>
      <c r="K759" s="129">
        <f t="shared" si="430"/>
        <v>0</v>
      </c>
      <c r="L759" s="8" t="s">
        <v>110</v>
      </c>
      <c r="M759" s="5" t="s">
        <v>82</v>
      </c>
      <c r="N759" s="5" t="s">
        <v>82</v>
      </c>
      <c r="O759" s="83"/>
      <c r="P759" s="20">
        <v>0.5</v>
      </c>
      <c r="Q759" s="143">
        <f t="shared" si="431"/>
        <v>50</v>
      </c>
      <c r="R759" s="21" t="s">
        <v>110</v>
      </c>
      <c r="S759" s="151" t="s">
        <v>1602</v>
      </c>
    </row>
    <row r="760" spans="1:20" ht="28">
      <c r="A760" s="101" t="s">
        <v>881</v>
      </c>
      <c r="B760" s="154" t="s">
        <v>110</v>
      </c>
      <c r="C760" s="135"/>
      <c r="D760" s="135" t="s">
        <v>222</v>
      </c>
      <c r="E760" s="132">
        <f>$O$760-J760*($O$760-$O$752)</f>
        <v>264.34100000000001</v>
      </c>
      <c r="F760" s="139">
        <f>$O$760-P760*($O$760-$O$752)</f>
        <v>259.54700000000003</v>
      </c>
      <c r="G760" s="149"/>
      <c r="H760" s="82" t="str">
        <f t="shared" si="411"/>
        <v>0 percent up in Capitanian international stage</v>
      </c>
      <c r="I760" s="142" t="str">
        <f t="shared" si="412"/>
        <v>100 percent up in Capitanian international stage</v>
      </c>
      <c r="J760" s="7">
        <v>0</v>
      </c>
      <c r="K760" s="129">
        <f t="shared" si="413"/>
        <v>0</v>
      </c>
      <c r="L760" s="8" t="s">
        <v>110</v>
      </c>
      <c r="M760" s="5" t="s">
        <v>224</v>
      </c>
      <c r="N760" s="5" t="s">
        <v>909</v>
      </c>
      <c r="O760" s="84">
        <f>Master_Chronostrat!I105</f>
        <v>264.34100000000001</v>
      </c>
      <c r="P760" s="20">
        <v>1</v>
      </c>
      <c r="Q760" s="143">
        <f t="shared" si="414"/>
        <v>100</v>
      </c>
      <c r="R760" s="21" t="s">
        <v>110</v>
      </c>
      <c r="S760" s="8" t="s">
        <v>224</v>
      </c>
      <c r="T760" s="7" t="s">
        <v>226</v>
      </c>
    </row>
    <row r="761" spans="1:20" ht="42">
      <c r="A761" s="101"/>
      <c r="B761" s="154" t="s">
        <v>2066</v>
      </c>
      <c r="C761" s="5"/>
      <c r="D761" s="5"/>
      <c r="E761" s="132">
        <f t="shared" ref="E761" si="432">$O$760-J761*($O$760-$O$752)</f>
        <v>264.34100000000001</v>
      </c>
      <c r="F761" s="139">
        <f>$O$760-P761*($O$760-$O$752)</f>
        <v>259.54700000000003</v>
      </c>
      <c r="G761" s="149" t="s">
        <v>1862</v>
      </c>
      <c r="H761" s="82" t="str">
        <f t="shared" ref="H761" si="433">CONCATENATE(K761," percent up in ",L761," international stage")</f>
        <v>0 percent up in Capitanian international stage</v>
      </c>
      <c r="I761" s="142" t="str">
        <f t="shared" ref="I761" si="434">CONCATENATE(Q761," percent up in ",R761," international stage")</f>
        <v>100 percent up in Capitanian international stage</v>
      </c>
      <c r="J761" s="7">
        <v>0</v>
      </c>
      <c r="K761" s="129">
        <f t="shared" ref="K761" si="435">ROUND(J761*100,1)</f>
        <v>0</v>
      </c>
      <c r="L761" s="8" t="s">
        <v>110</v>
      </c>
      <c r="M761" s="5"/>
      <c r="O761" s="84"/>
      <c r="P761" s="20">
        <v>1</v>
      </c>
      <c r="Q761" s="143">
        <f t="shared" ref="Q761" si="436">ROUND(P761*100,1)</f>
        <v>100</v>
      </c>
      <c r="R761" s="21" t="s">
        <v>110</v>
      </c>
      <c r="S761" s="8" t="s">
        <v>232</v>
      </c>
    </row>
    <row r="762" spans="1:20" ht="28">
      <c r="A762" s="101" t="s">
        <v>881</v>
      </c>
      <c r="B762" s="155" t="s">
        <v>910</v>
      </c>
      <c r="C762" s="5"/>
      <c r="D762" s="5" t="s">
        <v>888</v>
      </c>
      <c r="E762" s="132">
        <f>$O$768-J762*($O$768-$O$760)</f>
        <v>269.20999999999998</v>
      </c>
      <c r="F762" s="139">
        <f t="shared" ref="F762:F772" si="437">$O$768-P762*($O$768-$O$760)</f>
        <v>264.34100000000001</v>
      </c>
      <c r="G762" s="153" t="s">
        <v>1909</v>
      </c>
      <c r="H762" s="82" t="str">
        <f t="shared" si="411"/>
        <v>0 percent up in Wordian international stage</v>
      </c>
      <c r="I762" s="142" t="str">
        <f t="shared" si="412"/>
        <v>100 percent up in Wordian international stage</v>
      </c>
      <c r="J762" s="7">
        <v>0</v>
      </c>
      <c r="K762" s="129">
        <f t="shared" si="413"/>
        <v>0</v>
      </c>
      <c r="L762" s="8" t="s">
        <v>111</v>
      </c>
      <c r="M762" s="5" t="s">
        <v>82</v>
      </c>
      <c r="N762" s="5" t="s">
        <v>82</v>
      </c>
      <c r="O762" s="83"/>
      <c r="P762" s="20">
        <v>1</v>
      </c>
      <c r="Q762" s="143">
        <f t="shared" si="414"/>
        <v>100</v>
      </c>
      <c r="R762" s="21" t="s">
        <v>111</v>
      </c>
      <c r="S762" s="8" t="s">
        <v>232</v>
      </c>
      <c r="T762" s="7" t="s">
        <v>226</v>
      </c>
    </row>
    <row r="763" spans="1:20" ht="28">
      <c r="A763" s="101"/>
      <c r="B763" s="155" t="s">
        <v>1656</v>
      </c>
      <c r="C763" s="5"/>
      <c r="D763" s="5"/>
      <c r="E763" s="132">
        <f>$O$768-J763*($O$768-$O$760)</f>
        <v>266.77549999999997</v>
      </c>
      <c r="F763" s="139">
        <f t="shared" si="437"/>
        <v>264.34100000000001</v>
      </c>
      <c r="G763" s="149" t="s">
        <v>1601</v>
      </c>
      <c r="H763" s="82" t="str">
        <f t="shared" ref="H763:H764" si="438">CONCATENATE(K763," percent up in ",L763," international stage")</f>
        <v>50 percent up in Wordian international stage</v>
      </c>
      <c r="I763" s="142" t="str">
        <f t="shared" ref="I763:I764" si="439">CONCATENATE(Q763," percent up in ",R763," international stage")</f>
        <v>100 percent up in Wordian international stage</v>
      </c>
      <c r="J763" s="7">
        <v>0.5</v>
      </c>
      <c r="K763" s="129">
        <f t="shared" ref="K763:K764" si="440">ROUND(J763*100,1)</f>
        <v>50</v>
      </c>
      <c r="L763" s="8" t="s">
        <v>111</v>
      </c>
      <c r="M763" s="5" t="s">
        <v>82</v>
      </c>
      <c r="N763" s="5" t="s">
        <v>82</v>
      </c>
      <c r="O763" s="83"/>
      <c r="P763" s="20">
        <v>1</v>
      </c>
      <c r="Q763" s="143">
        <f t="shared" ref="Q763:Q765" si="441">ROUND(P763*100,1)</f>
        <v>100</v>
      </c>
      <c r="R763" s="21" t="s">
        <v>111</v>
      </c>
      <c r="S763" s="151" t="s">
        <v>1601</v>
      </c>
    </row>
    <row r="764" spans="1:20" ht="28">
      <c r="A764" s="101"/>
      <c r="B764" s="155" t="s">
        <v>1657</v>
      </c>
      <c r="C764" s="5"/>
      <c r="D764" s="5"/>
      <c r="E764" s="132">
        <f>$O$768-J764*($O$768-$O$760)</f>
        <v>269.20999999999998</v>
      </c>
      <c r="F764" s="139">
        <f t="shared" si="437"/>
        <v>266.77549999999997</v>
      </c>
      <c r="G764" s="149" t="s">
        <v>1602</v>
      </c>
      <c r="H764" s="82" t="str">
        <f t="shared" si="438"/>
        <v>0 percent up in Wordian international stage</v>
      </c>
      <c r="I764" s="142" t="str">
        <f t="shared" si="439"/>
        <v>50 percent up in Wordian international stage</v>
      </c>
      <c r="J764" s="7">
        <v>0</v>
      </c>
      <c r="K764" s="129">
        <f t="shared" si="440"/>
        <v>0</v>
      </c>
      <c r="L764" s="8" t="s">
        <v>111</v>
      </c>
      <c r="M764" s="5" t="s">
        <v>82</v>
      </c>
      <c r="N764" s="5" t="s">
        <v>82</v>
      </c>
      <c r="O764" s="83"/>
      <c r="P764" s="20">
        <v>0.5</v>
      </c>
      <c r="Q764" s="143">
        <f t="shared" si="441"/>
        <v>50</v>
      </c>
      <c r="R764" s="21" t="s">
        <v>111</v>
      </c>
      <c r="S764" s="151" t="s">
        <v>1602</v>
      </c>
    </row>
    <row r="765" spans="1:20" ht="42">
      <c r="A765" s="101"/>
      <c r="B765" s="154" t="s">
        <v>1861</v>
      </c>
      <c r="C765" s="5"/>
      <c r="D765" s="5"/>
      <c r="E765" s="132">
        <f>$O$768-J765*($O$768-$O$760)</f>
        <v>269.20999999999998</v>
      </c>
      <c r="F765" s="139">
        <f t="shared" si="437"/>
        <v>264.34100000000001</v>
      </c>
      <c r="G765" s="149" t="s">
        <v>1863</v>
      </c>
      <c r="H765" s="82" t="str">
        <f t="shared" ref="H765" si="442">CONCATENATE(K765," percent up in ",L765," international stage")</f>
        <v>0 percent up in Wordian international stage</v>
      </c>
      <c r="I765" s="142" t="str">
        <f t="shared" ref="I765" si="443">CONCATENATE(Q765," percent up in ",R765," international stage")</f>
        <v>100 percent up in Wordian international stage</v>
      </c>
      <c r="J765" s="7">
        <v>0</v>
      </c>
      <c r="K765" s="129">
        <f t="shared" ref="K765:K766" si="444">ROUND(J765*100,1)</f>
        <v>0</v>
      </c>
      <c r="L765" s="8" t="s">
        <v>111</v>
      </c>
      <c r="M765" s="5"/>
      <c r="O765" s="84"/>
      <c r="P765" s="20">
        <v>1</v>
      </c>
      <c r="Q765" s="143">
        <f t="shared" si="441"/>
        <v>100</v>
      </c>
      <c r="R765" s="21" t="s">
        <v>111</v>
      </c>
      <c r="S765" s="8" t="s">
        <v>232</v>
      </c>
    </row>
    <row r="766" spans="1:20" ht="28">
      <c r="A766" s="101"/>
      <c r="B766" s="154" t="s">
        <v>1650</v>
      </c>
      <c r="C766" s="5"/>
      <c r="D766" s="5"/>
      <c r="E766" s="132">
        <f>$O$752-J766*($O$752-$O$733)</f>
        <v>259.54700000000003</v>
      </c>
      <c r="F766" s="139">
        <f>$O$752-P766*($O$752-$O$733)</f>
        <v>254.24260000000001</v>
      </c>
      <c r="G766" s="153" t="s">
        <v>2065</v>
      </c>
      <c r="H766" s="82" t="str">
        <f>CONCATENATE(K766," percent up in ",L766," international stage")</f>
        <v>0 percent up in Wordian international stage</v>
      </c>
      <c r="I766" s="142" t="str">
        <f>CONCATENATE(Q766," percent up in ",R766," international stage")</f>
        <v>100 percent up in Wordian international stage</v>
      </c>
      <c r="J766" s="7">
        <v>0</v>
      </c>
      <c r="K766" s="129">
        <f t="shared" si="444"/>
        <v>0</v>
      </c>
      <c r="L766" s="8" t="s">
        <v>111</v>
      </c>
      <c r="M766" s="5" t="s">
        <v>82</v>
      </c>
      <c r="N766" s="5" t="s">
        <v>82</v>
      </c>
      <c r="O766" s="83"/>
      <c r="P766" s="20">
        <v>1</v>
      </c>
      <c r="Q766" s="143">
        <f t="shared" ref="Q766" si="445">ROUND(P766*100,1)</f>
        <v>100</v>
      </c>
      <c r="R766" s="21" t="s">
        <v>111</v>
      </c>
      <c r="S766" s="153" t="s">
        <v>1904</v>
      </c>
    </row>
    <row r="767" spans="1:20" ht="42">
      <c r="A767" s="101" t="s">
        <v>881</v>
      </c>
      <c r="B767" s="154" t="s">
        <v>899</v>
      </c>
      <c r="C767" s="5"/>
      <c r="D767" s="5" t="s">
        <v>264</v>
      </c>
      <c r="E767" s="132">
        <f>$O$752-J767*($O$752-$O$733)</f>
        <v>259.54700000000003</v>
      </c>
      <c r="F767" s="139">
        <f>$O$747-P767*($O$747-$O$733)</f>
        <v>257.42524000000003</v>
      </c>
      <c r="G767" s="153" t="s">
        <v>1903</v>
      </c>
      <c r="H767" s="82" t="str">
        <f>CONCATENATE(K767," percent up in ",L767," international stage")</f>
        <v>0 percent up in Wordian international stage</v>
      </c>
      <c r="I767" s="142" t="str">
        <f>CONCATENATE(Q767," percent up in ",R767," international stage")</f>
        <v>40 percent up in Wuchiapingian international stage</v>
      </c>
      <c r="J767" s="7">
        <v>0</v>
      </c>
      <c r="K767" s="129">
        <f t="shared" ref="K767" si="446">ROUND(J767*100,1)</f>
        <v>0</v>
      </c>
      <c r="L767" s="8" t="s">
        <v>111</v>
      </c>
      <c r="M767" s="5" t="s">
        <v>82</v>
      </c>
      <c r="N767" s="5" t="s">
        <v>82</v>
      </c>
      <c r="O767" s="83"/>
      <c r="P767" s="20">
        <v>0.4</v>
      </c>
      <c r="Q767" s="143">
        <f>ROUND(P767*100,1)</f>
        <v>40</v>
      </c>
      <c r="R767" s="21" t="s">
        <v>109</v>
      </c>
      <c r="S767" s="153" t="s">
        <v>1904</v>
      </c>
      <c r="T767" s="7" t="s">
        <v>226</v>
      </c>
    </row>
    <row r="768" spans="1:20" ht="28">
      <c r="A768" s="101" t="s">
        <v>881</v>
      </c>
      <c r="B768" s="154" t="s">
        <v>111</v>
      </c>
      <c r="C768" s="135"/>
      <c r="D768" s="135" t="s">
        <v>222</v>
      </c>
      <c r="E768" s="132">
        <f>$O$768-J768*($O$768-$O$760)</f>
        <v>269.20999999999998</v>
      </c>
      <c r="F768" s="139">
        <f t="shared" si="437"/>
        <v>264.34100000000001</v>
      </c>
      <c r="G768" s="149"/>
      <c r="H768" s="82" t="str">
        <f t="shared" si="411"/>
        <v>0 percent up in Wordian international stage</v>
      </c>
      <c r="I768" s="142" t="str">
        <f t="shared" si="412"/>
        <v>100 percent up in Wordian international stage</v>
      </c>
      <c r="J768" s="7">
        <v>0</v>
      </c>
      <c r="K768" s="129">
        <f t="shared" si="413"/>
        <v>0</v>
      </c>
      <c r="L768" s="8" t="s">
        <v>111</v>
      </c>
      <c r="M768" s="5" t="s">
        <v>224</v>
      </c>
      <c r="N768" s="5" t="s">
        <v>911</v>
      </c>
      <c r="O768" s="84">
        <f>Master_Chronostrat!I106</f>
        <v>269.20999999999998</v>
      </c>
      <c r="P768" s="20">
        <v>1</v>
      </c>
      <c r="Q768" s="143">
        <f t="shared" si="414"/>
        <v>100</v>
      </c>
      <c r="R768" s="21" t="s">
        <v>111</v>
      </c>
      <c r="S768" s="8" t="s">
        <v>224</v>
      </c>
      <c r="T768" s="7" t="s">
        <v>226</v>
      </c>
    </row>
    <row r="769" spans="1:20" ht="28">
      <c r="A769" s="101" t="s">
        <v>881</v>
      </c>
      <c r="B769" s="155" t="s">
        <v>912</v>
      </c>
      <c r="C769" s="5"/>
      <c r="D769" s="5" t="s">
        <v>248</v>
      </c>
      <c r="E769" s="132">
        <f t="shared" ref="E769:E786" si="447">$O$785-J769*($O$785-$O$768)</f>
        <v>274.37</v>
      </c>
      <c r="F769" s="139">
        <f t="shared" si="437"/>
        <v>264.34100000000001</v>
      </c>
      <c r="G769" s="149"/>
      <c r="H769" s="82" t="str">
        <f t="shared" si="411"/>
        <v>0 percent up in Roadian international stage</v>
      </c>
      <c r="I769" s="142" t="str">
        <f t="shared" si="412"/>
        <v>100 percent up in Wordian international stage</v>
      </c>
      <c r="J769" s="7">
        <v>0</v>
      </c>
      <c r="K769" s="129">
        <f t="shared" si="413"/>
        <v>0</v>
      </c>
      <c r="L769" s="8" t="s">
        <v>113</v>
      </c>
      <c r="M769" s="5" t="s">
        <v>82</v>
      </c>
      <c r="N769" s="5" t="s">
        <v>82</v>
      </c>
      <c r="O769" s="83"/>
      <c r="P769" s="20">
        <v>1</v>
      </c>
      <c r="Q769" s="143">
        <f t="shared" si="414"/>
        <v>100</v>
      </c>
      <c r="R769" s="21" t="s">
        <v>111</v>
      </c>
      <c r="S769" s="8" t="s">
        <v>246</v>
      </c>
      <c r="T769" s="7" t="s">
        <v>226</v>
      </c>
    </row>
    <row r="770" spans="1:20" ht="28">
      <c r="A770" s="101" t="s">
        <v>881</v>
      </c>
      <c r="B770" s="154" t="s">
        <v>913</v>
      </c>
      <c r="C770" s="5"/>
      <c r="D770" s="5" t="s">
        <v>236</v>
      </c>
      <c r="E770" s="132">
        <f t="shared" si="447"/>
        <v>274.37</v>
      </c>
      <c r="F770" s="139">
        <f>$O$760-P770*($O$760-$O$752)</f>
        <v>259.54700000000003</v>
      </c>
      <c r="G770" s="149"/>
      <c r="H770" s="82" t="str">
        <f t="shared" si="411"/>
        <v>0 percent up in Roadian international stage</v>
      </c>
      <c r="I770" s="142" t="str">
        <f t="shared" si="412"/>
        <v>100 percent up in Capitanian international stage</v>
      </c>
      <c r="J770" s="7">
        <v>0</v>
      </c>
      <c r="K770" s="129">
        <f t="shared" si="413"/>
        <v>0</v>
      </c>
      <c r="L770" s="8" t="s">
        <v>113</v>
      </c>
      <c r="M770" s="5" t="s">
        <v>82</v>
      </c>
      <c r="N770" s="5" t="s">
        <v>82</v>
      </c>
      <c r="O770" s="83"/>
      <c r="P770" s="20">
        <v>1</v>
      </c>
      <c r="Q770" s="143">
        <f t="shared" si="414"/>
        <v>100</v>
      </c>
      <c r="R770" s="21" t="s">
        <v>110</v>
      </c>
      <c r="S770" s="8" t="s">
        <v>232</v>
      </c>
      <c r="T770" s="7" t="s">
        <v>226</v>
      </c>
    </row>
    <row r="771" spans="1:20" ht="28">
      <c r="A771" s="101" t="s">
        <v>881</v>
      </c>
      <c r="B771" s="156" t="s">
        <v>894</v>
      </c>
      <c r="C771" s="5"/>
      <c r="D771" s="5" t="s">
        <v>2085</v>
      </c>
      <c r="E771" s="132">
        <f t="shared" ref="E771" si="448">$O$785-J771*($O$785-$O$768)</f>
        <v>274.37</v>
      </c>
      <c r="F771" s="139">
        <f t="shared" ref="F771" si="449">$O$768-P771*($O$768-$O$760)</f>
        <v>266.77549999999997</v>
      </c>
      <c r="G771" s="149" t="s">
        <v>2013</v>
      </c>
      <c r="H771" s="82" t="str">
        <f t="shared" ref="H771" si="450">CONCATENATE(K771," percent up in ",L771," international stage")</f>
        <v>0 percent up in Roadian international stage</v>
      </c>
      <c r="I771" s="142" t="str">
        <f t="shared" ref="I771" si="451">CONCATENATE(Q771," percent up in ",R771," international stage")</f>
        <v>50 percent up in Wordian international stage</v>
      </c>
      <c r="J771" s="7">
        <v>0</v>
      </c>
      <c r="K771" s="129">
        <f t="shared" ref="K771" si="452">ROUND(J771*100,1)</f>
        <v>0</v>
      </c>
      <c r="L771" s="8" t="s">
        <v>113</v>
      </c>
      <c r="M771" s="5"/>
      <c r="O771" s="83"/>
      <c r="P771" s="20">
        <v>0.5</v>
      </c>
      <c r="Q771" s="143">
        <f t="shared" si="414"/>
        <v>50</v>
      </c>
      <c r="R771" s="21" t="s">
        <v>111</v>
      </c>
      <c r="S771" s="8" t="s">
        <v>232</v>
      </c>
      <c r="T771" s="7" t="s">
        <v>226</v>
      </c>
    </row>
    <row r="772" spans="1:20" ht="28">
      <c r="A772" s="101"/>
      <c r="B772" s="154" t="s">
        <v>2106</v>
      </c>
      <c r="C772" s="5"/>
      <c r="D772" s="5" t="s">
        <v>2085</v>
      </c>
      <c r="E772" s="132">
        <f t="shared" si="447"/>
        <v>274.37</v>
      </c>
      <c r="F772" s="139">
        <f t="shared" si="437"/>
        <v>266.77549999999997</v>
      </c>
      <c r="G772" s="149" t="s">
        <v>2108</v>
      </c>
      <c r="H772" s="82" t="str">
        <f t="shared" si="411"/>
        <v>0 percent up in Roadian international stage</v>
      </c>
      <c r="I772" s="142" t="str">
        <f t="shared" si="412"/>
        <v>50 percent up in Wordian international stage</v>
      </c>
      <c r="J772" s="7">
        <v>0</v>
      </c>
      <c r="K772" s="129">
        <f t="shared" si="413"/>
        <v>0</v>
      </c>
      <c r="L772" s="8" t="s">
        <v>113</v>
      </c>
      <c r="M772" s="5"/>
      <c r="O772" s="83"/>
      <c r="P772" s="20">
        <v>0.5</v>
      </c>
      <c r="Q772" s="143">
        <f t="shared" ref="Q772" si="453">ROUND(P772*100,1)</f>
        <v>50</v>
      </c>
      <c r="R772" s="21" t="s">
        <v>111</v>
      </c>
      <c r="S772" s="8"/>
    </row>
    <row r="773" spans="1:20" ht="28">
      <c r="A773" s="101"/>
      <c r="B773" s="154" t="s">
        <v>2105</v>
      </c>
      <c r="C773" s="5"/>
      <c r="D773" s="5" t="s">
        <v>2076</v>
      </c>
      <c r="E773" s="132">
        <f t="shared" ref="E773" si="454">$O$785-J773*($O$785-$O$768)</f>
        <v>271.78999999999996</v>
      </c>
      <c r="F773" s="139">
        <f>$O$785-P773*($O$785-$O$768)</f>
        <v>269.20999999999998</v>
      </c>
      <c r="G773" s="153" t="s">
        <v>1911</v>
      </c>
      <c r="H773" s="82" t="str">
        <f t="shared" si="411"/>
        <v>50 percent up in Roadian international stage</v>
      </c>
      <c r="I773" s="142" t="str">
        <f t="shared" si="412"/>
        <v>100 percent up in Roadian international stage</v>
      </c>
      <c r="J773" s="7">
        <v>0.5</v>
      </c>
      <c r="K773" s="129">
        <f t="shared" si="413"/>
        <v>50</v>
      </c>
      <c r="L773" s="8" t="s">
        <v>113</v>
      </c>
      <c r="M773" s="5" t="s">
        <v>82</v>
      </c>
      <c r="N773" s="5" t="s">
        <v>82</v>
      </c>
      <c r="O773" s="83"/>
      <c r="P773" s="20">
        <v>1</v>
      </c>
      <c r="Q773" s="143">
        <f t="shared" ref="Q773" si="455">ROUND(P773*100,1)</f>
        <v>100</v>
      </c>
      <c r="R773" s="21" t="s">
        <v>113</v>
      </c>
      <c r="S773" s="8"/>
    </row>
    <row r="774" spans="1:20" ht="28">
      <c r="A774" s="101"/>
      <c r="B774" s="154" t="s">
        <v>1670</v>
      </c>
      <c r="C774" s="5"/>
      <c r="D774" s="5" t="s">
        <v>2076</v>
      </c>
      <c r="E774" s="132">
        <f t="shared" si="447"/>
        <v>271.78999999999996</v>
      </c>
      <c r="F774" s="139">
        <f>$O$785-P774*($O$785-$O$768)</f>
        <v>269.20999999999998</v>
      </c>
      <c r="G774" s="153" t="s">
        <v>1911</v>
      </c>
      <c r="H774" s="82" t="str">
        <f t="shared" ref="H774:H776" si="456">CONCATENATE(K774," percent up in ",L774," international stage")</f>
        <v>50 percent up in Roadian international stage</v>
      </c>
      <c r="I774" s="142" t="str">
        <f t="shared" ref="I774:I776" si="457">CONCATENATE(Q774," percent up in ",R774," international stage")</f>
        <v>100 percent up in Roadian international stage</v>
      </c>
      <c r="J774" s="7">
        <v>0.5</v>
      </c>
      <c r="K774" s="129">
        <f t="shared" ref="K774:K776" si="458">ROUND(J774*100,1)</f>
        <v>50</v>
      </c>
      <c r="L774" s="8" t="s">
        <v>113</v>
      </c>
      <c r="M774" s="5" t="s">
        <v>82</v>
      </c>
      <c r="N774" s="5" t="s">
        <v>82</v>
      </c>
      <c r="O774" s="83"/>
      <c r="P774" s="20">
        <v>1</v>
      </c>
      <c r="Q774" s="143">
        <f t="shared" si="414"/>
        <v>100</v>
      </c>
      <c r="R774" s="21" t="s">
        <v>113</v>
      </c>
      <c r="S774" s="153" t="s">
        <v>1904</v>
      </c>
    </row>
    <row r="775" spans="1:20" ht="28">
      <c r="A775" s="101"/>
      <c r="B775" s="154" t="s">
        <v>2104</v>
      </c>
      <c r="C775" s="5"/>
      <c r="D775" s="5" t="s">
        <v>2076</v>
      </c>
      <c r="E775" s="132">
        <f t="shared" ref="E775" si="459">$O$785-J775*($O$785-$O$768)</f>
        <v>274.37</v>
      </c>
      <c r="F775" s="139">
        <f>$O$785-P775*($O$785-$O$768)</f>
        <v>271.78999999999996</v>
      </c>
      <c r="G775" s="153" t="s">
        <v>1912</v>
      </c>
      <c r="H775" s="82" t="str">
        <f t="shared" ref="H775" si="460">CONCATENATE(K775," percent up in ",L775," international stage")</f>
        <v>0 percent up in Roadian international stage</v>
      </c>
      <c r="I775" s="142" t="str">
        <f t="shared" ref="I775" si="461">CONCATENATE(Q775," percent up in ",R775," international stage")</f>
        <v>50 percent up in Roadian international stage</v>
      </c>
      <c r="J775" s="7">
        <v>0</v>
      </c>
      <c r="K775" s="129">
        <f t="shared" ref="K775" si="462">ROUND(J775*100,1)</f>
        <v>0</v>
      </c>
      <c r="L775" s="8" t="s">
        <v>113</v>
      </c>
      <c r="M775" s="5" t="s">
        <v>82</v>
      </c>
      <c r="N775" s="5" t="s">
        <v>82</v>
      </c>
      <c r="O775" s="83"/>
      <c r="P775" s="20">
        <v>0.5</v>
      </c>
      <c r="Q775" s="143">
        <f t="shared" si="414"/>
        <v>50</v>
      </c>
      <c r="R775" s="21" t="s">
        <v>113</v>
      </c>
      <c r="S775" s="153"/>
    </row>
    <row r="776" spans="1:20" ht="28">
      <c r="A776" s="101"/>
      <c r="B776" s="154" t="s">
        <v>1671</v>
      </c>
      <c r="C776" s="5"/>
      <c r="D776" s="5" t="s">
        <v>2076</v>
      </c>
      <c r="E776" s="132">
        <f t="shared" si="447"/>
        <v>274.37</v>
      </c>
      <c r="F776" s="139">
        <f>$O$785-P776*($O$785-$O$768)</f>
        <v>271.78999999999996</v>
      </c>
      <c r="G776" s="153" t="s">
        <v>1912</v>
      </c>
      <c r="H776" s="82" t="str">
        <f t="shared" si="456"/>
        <v>0 percent up in Roadian international stage</v>
      </c>
      <c r="I776" s="142" t="str">
        <f t="shared" si="457"/>
        <v>50 percent up in Roadian international stage</v>
      </c>
      <c r="J776" s="7">
        <v>0</v>
      </c>
      <c r="K776" s="129">
        <f t="shared" si="458"/>
        <v>0</v>
      </c>
      <c r="L776" s="8" t="s">
        <v>113</v>
      </c>
      <c r="M776" s="5" t="s">
        <v>82</v>
      </c>
      <c r="N776" s="5" t="s">
        <v>82</v>
      </c>
      <c r="O776" s="83"/>
      <c r="P776" s="20">
        <v>0.5</v>
      </c>
      <c r="Q776" s="143">
        <f t="shared" ref="Q776:Q777" si="463">ROUND(P776*100,1)</f>
        <v>50</v>
      </c>
      <c r="R776" s="21" t="s">
        <v>113</v>
      </c>
      <c r="S776" s="153" t="s">
        <v>1904</v>
      </c>
    </row>
    <row r="777" spans="1:20" ht="28">
      <c r="A777" s="101" t="s">
        <v>881</v>
      </c>
      <c r="B777" s="154" t="s">
        <v>914</v>
      </c>
      <c r="C777" s="5"/>
      <c r="D777" s="5" t="s">
        <v>2076</v>
      </c>
      <c r="E777" s="132">
        <f t="shared" si="447"/>
        <v>274.37</v>
      </c>
      <c r="F777" s="139">
        <f>$O$785-P777*($O$785-$O$768)</f>
        <v>269.20999999999998</v>
      </c>
      <c r="G777" s="153" t="s">
        <v>1910</v>
      </c>
      <c r="H777" s="82" t="str">
        <f t="shared" si="411"/>
        <v>0 percent up in Roadian international stage</v>
      </c>
      <c r="I777" s="142" t="str">
        <f t="shared" si="412"/>
        <v>100 percent up in Roadian international stage</v>
      </c>
      <c r="J777" s="7">
        <v>0</v>
      </c>
      <c r="K777" s="129">
        <f t="shared" si="413"/>
        <v>0</v>
      </c>
      <c r="L777" s="8" t="s">
        <v>113</v>
      </c>
      <c r="M777" s="5" t="s">
        <v>82</v>
      </c>
      <c r="N777" s="5" t="s">
        <v>82</v>
      </c>
      <c r="O777" s="83"/>
      <c r="P777" s="20">
        <v>1</v>
      </c>
      <c r="Q777" s="143">
        <f t="shared" si="463"/>
        <v>100</v>
      </c>
      <c r="R777" s="21" t="s">
        <v>113</v>
      </c>
      <c r="S777" s="153" t="s">
        <v>1904</v>
      </c>
      <c r="T777" s="7" t="s">
        <v>226</v>
      </c>
    </row>
    <row r="778" spans="1:20" ht="28">
      <c r="A778" s="101" t="s">
        <v>881</v>
      </c>
      <c r="B778" s="154" t="s">
        <v>915</v>
      </c>
      <c r="C778" s="5"/>
      <c r="D778" s="5" t="s">
        <v>248</v>
      </c>
      <c r="E778" s="132">
        <f t="shared" si="447"/>
        <v>274.37</v>
      </c>
      <c r="F778" s="139">
        <f>$O$760-P778*($O$760-$O$752)</f>
        <v>259.54700000000003</v>
      </c>
      <c r="G778" s="149"/>
      <c r="H778" s="82" t="str">
        <f t="shared" si="411"/>
        <v>0 percent up in Roadian international stage</v>
      </c>
      <c r="I778" s="142" t="str">
        <f t="shared" si="412"/>
        <v>100 percent up in Capitanian international stage</v>
      </c>
      <c r="J778" s="7">
        <v>0</v>
      </c>
      <c r="K778" s="129">
        <f t="shared" si="413"/>
        <v>0</v>
      </c>
      <c r="L778" s="8" t="s">
        <v>113</v>
      </c>
      <c r="M778" s="5" t="s">
        <v>82</v>
      </c>
      <c r="N778" s="5" t="s">
        <v>82</v>
      </c>
      <c r="O778" s="83"/>
      <c r="P778" s="20">
        <v>1</v>
      </c>
      <c r="Q778" s="143">
        <f t="shared" si="414"/>
        <v>100</v>
      </c>
      <c r="R778" s="21" t="s">
        <v>110</v>
      </c>
      <c r="S778" s="8" t="s">
        <v>232</v>
      </c>
      <c r="T778" s="7" t="s">
        <v>226</v>
      </c>
    </row>
    <row r="779" spans="1:20" ht="42">
      <c r="A779" s="101" t="s">
        <v>881</v>
      </c>
      <c r="B779" s="154" t="s">
        <v>916</v>
      </c>
      <c r="C779" s="5"/>
      <c r="D779" s="5" t="s">
        <v>82</v>
      </c>
      <c r="E779" s="132">
        <f t="shared" si="447"/>
        <v>274.37</v>
      </c>
      <c r="F779" s="139">
        <f>$O$733-P779*($O$733-$O$724)</f>
        <v>251.9</v>
      </c>
      <c r="G779" s="149"/>
      <c r="H779" s="82" t="str">
        <f t="shared" si="411"/>
        <v>0 percent up in Roadian international stage</v>
      </c>
      <c r="I779" s="142" t="str">
        <f t="shared" si="412"/>
        <v>100 percent up in Changhsingian international stage</v>
      </c>
      <c r="J779" s="7">
        <v>0</v>
      </c>
      <c r="K779" s="129">
        <f t="shared" si="413"/>
        <v>0</v>
      </c>
      <c r="L779" s="8" t="s">
        <v>113</v>
      </c>
      <c r="M779" s="5" t="s">
        <v>82</v>
      </c>
      <c r="N779" s="5" t="s">
        <v>82</v>
      </c>
      <c r="O779" s="83"/>
      <c r="P779" s="20">
        <v>1</v>
      </c>
      <c r="Q779" s="143">
        <f t="shared" si="414"/>
        <v>100</v>
      </c>
      <c r="R779" s="21" t="s">
        <v>107</v>
      </c>
      <c r="S779" s="8" t="s">
        <v>232</v>
      </c>
      <c r="T779" s="7" t="s">
        <v>226</v>
      </c>
    </row>
    <row r="780" spans="1:20" ht="28">
      <c r="A780" s="101"/>
      <c r="B780" s="154" t="s">
        <v>1654</v>
      </c>
      <c r="C780" s="5"/>
      <c r="D780" s="5"/>
      <c r="E780" s="132">
        <f t="shared" si="447"/>
        <v>271.78999999999996</v>
      </c>
      <c r="F780" s="139">
        <f>$O$785-P780*($O$785-$O$768)</f>
        <v>269.20999999999998</v>
      </c>
      <c r="G780" s="149" t="s">
        <v>1601</v>
      </c>
      <c r="H780" s="82" t="str">
        <f t="shared" ref="H780:H782" si="464">CONCATENATE(K780," percent up in ",L780," international stage")</f>
        <v>50 percent up in Roadian international stage</v>
      </c>
      <c r="I780" s="142" t="str">
        <f t="shared" ref="I780:I782" si="465">CONCATENATE(Q780," percent up in ",R780," international stage")</f>
        <v>100 percent up in Roadian international stage</v>
      </c>
      <c r="J780" s="7">
        <v>0.5</v>
      </c>
      <c r="K780" s="129">
        <f t="shared" ref="K780:K782" si="466">ROUND(J780*100,1)</f>
        <v>50</v>
      </c>
      <c r="L780" s="8" t="s">
        <v>113</v>
      </c>
      <c r="M780" s="5" t="s">
        <v>82</v>
      </c>
      <c r="N780" s="5" t="s">
        <v>82</v>
      </c>
      <c r="O780" s="83"/>
      <c r="P780" s="20">
        <v>1</v>
      </c>
      <c r="Q780" s="143">
        <f t="shared" ref="Q780:Q782" si="467">ROUND(P780*100,1)</f>
        <v>100</v>
      </c>
      <c r="R780" s="21" t="s">
        <v>113</v>
      </c>
      <c r="S780" s="151" t="s">
        <v>1601</v>
      </c>
    </row>
    <row r="781" spans="1:20" ht="28">
      <c r="A781" s="101"/>
      <c r="B781" s="154" t="s">
        <v>1655</v>
      </c>
      <c r="C781" s="5"/>
      <c r="D781" s="5"/>
      <c r="E781" s="132">
        <f t="shared" si="447"/>
        <v>274.37</v>
      </c>
      <c r="F781" s="139">
        <f>$O$785-P781*($O$785-$O$768)</f>
        <v>271.78999999999996</v>
      </c>
      <c r="G781" s="149" t="s">
        <v>1602</v>
      </c>
      <c r="H781" s="82" t="str">
        <f t="shared" si="464"/>
        <v>0 percent up in Roadian international stage</v>
      </c>
      <c r="I781" s="142" t="str">
        <f t="shared" si="465"/>
        <v>50 percent up in Roadian international stage</v>
      </c>
      <c r="J781" s="7">
        <v>0</v>
      </c>
      <c r="K781" s="129">
        <f t="shared" si="466"/>
        <v>0</v>
      </c>
      <c r="L781" s="8" t="s">
        <v>113</v>
      </c>
      <c r="M781" s="5" t="s">
        <v>82</v>
      </c>
      <c r="N781" s="5" t="s">
        <v>82</v>
      </c>
      <c r="O781" s="83"/>
      <c r="P781" s="20">
        <v>0.5</v>
      </c>
      <c r="Q781" s="143">
        <f t="shared" si="467"/>
        <v>50</v>
      </c>
      <c r="R781" s="21" t="s">
        <v>113</v>
      </c>
      <c r="S781" s="151" t="s">
        <v>1602</v>
      </c>
    </row>
    <row r="782" spans="1:20" ht="34">
      <c r="A782" s="101"/>
      <c r="B782" s="154" t="s">
        <v>1986</v>
      </c>
      <c r="C782" s="5"/>
      <c r="D782" s="5"/>
      <c r="E782" s="132">
        <f t="shared" ref="E782" si="468">$O$785-J782*($O$785-$O$768)</f>
        <v>274.37</v>
      </c>
      <c r="F782" s="139">
        <f>$O$785-P782*($O$785-$O$768)</f>
        <v>269.20999999999998</v>
      </c>
      <c r="G782" s="149" t="s">
        <v>1987</v>
      </c>
      <c r="H782" s="82" t="str">
        <f t="shared" si="464"/>
        <v>0 percent up in Roadian international stage</v>
      </c>
      <c r="I782" s="142" t="str">
        <f t="shared" si="465"/>
        <v>100 percent up in Roadian international stage</v>
      </c>
      <c r="J782" s="7">
        <v>0</v>
      </c>
      <c r="K782" s="129">
        <f t="shared" si="466"/>
        <v>0</v>
      </c>
      <c r="L782" s="8" t="s">
        <v>113</v>
      </c>
      <c r="M782" s="5"/>
      <c r="O782" s="83"/>
      <c r="P782" s="20">
        <v>1</v>
      </c>
      <c r="Q782" s="143">
        <f t="shared" si="467"/>
        <v>100</v>
      </c>
      <c r="R782" s="21" t="s">
        <v>113</v>
      </c>
      <c r="S782" s="151"/>
    </row>
    <row r="783" spans="1:20" ht="28">
      <c r="A783" s="101" t="s">
        <v>881</v>
      </c>
      <c r="B783" s="154" t="s">
        <v>113</v>
      </c>
      <c r="C783" s="135"/>
      <c r="D783" s="135" t="s">
        <v>222</v>
      </c>
      <c r="E783" s="132">
        <f t="shared" si="447"/>
        <v>274.37</v>
      </c>
      <c r="F783" s="139">
        <f>$O$785-P783*($O$785-$O$768)</f>
        <v>269.20999999999998</v>
      </c>
      <c r="G783" s="149"/>
      <c r="H783" s="82" t="str">
        <f t="shared" si="411"/>
        <v>0 percent up in Roadian international stage</v>
      </c>
      <c r="I783" s="142" t="str">
        <f t="shared" si="412"/>
        <v>100 percent up in Roadian international stage</v>
      </c>
      <c r="J783" s="7">
        <v>0</v>
      </c>
      <c r="K783" s="129">
        <f t="shared" si="413"/>
        <v>0</v>
      </c>
      <c r="L783" s="8" t="s">
        <v>113</v>
      </c>
      <c r="M783" s="5" t="s">
        <v>224</v>
      </c>
      <c r="N783" s="5" t="s">
        <v>919</v>
      </c>
      <c r="O783" s="84">
        <f>Master_Chronostrat!I107</f>
        <v>274.37</v>
      </c>
      <c r="P783" s="20">
        <v>1</v>
      </c>
      <c r="Q783" s="143">
        <f t="shared" si="414"/>
        <v>100</v>
      </c>
      <c r="R783" s="21" t="s">
        <v>113</v>
      </c>
      <c r="S783" s="8" t="s">
        <v>224</v>
      </c>
      <c r="T783" s="7" t="s">
        <v>226</v>
      </c>
    </row>
    <row r="784" spans="1:20" ht="42">
      <c r="A784" s="101"/>
      <c r="B784" s="154" t="s">
        <v>1858</v>
      </c>
      <c r="C784" s="5"/>
      <c r="D784" s="5"/>
      <c r="E784" s="132">
        <f t="shared" si="447"/>
        <v>274.37</v>
      </c>
      <c r="F784" s="139">
        <f>$O$785-P784*($O$785-$O$768)</f>
        <v>269.20999999999998</v>
      </c>
      <c r="G784" s="149" t="s">
        <v>1859</v>
      </c>
      <c r="H784" s="82" t="str">
        <f t="shared" ref="H784" si="469">CONCATENATE(K784," percent up in ",L784," international stage")</f>
        <v>0 percent up in Roadian international stage</v>
      </c>
      <c r="I784" s="142" t="str">
        <f t="shared" ref="I784" si="470">CONCATENATE(Q784," percent up in ",R784," international stage")</f>
        <v>100 percent up in Roadian international stage</v>
      </c>
      <c r="J784" s="7">
        <v>0</v>
      </c>
      <c r="K784" s="129">
        <f t="shared" ref="K784" si="471">ROUND(J784*100,1)</f>
        <v>0</v>
      </c>
      <c r="L784" s="8" t="s">
        <v>113</v>
      </c>
      <c r="M784" s="5"/>
      <c r="O784" s="84"/>
      <c r="P784" s="20">
        <v>1</v>
      </c>
      <c r="Q784" s="143">
        <f t="shared" ref="Q784" si="472">ROUND(P784*100,1)</f>
        <v>100</v>
      </c>
      <c r="R784" s="21" t="s">
        <v>113</v>
      </c>
      <c r="S784" s="8" t="s">
        <v>232</v>
      </c>
    </row>
    <row r="785" spans="1:20" ht="28">
      <c r="A785" s="101" t="s">
        <v>881</v>
      </c>
      <c r="B785" s="154" t="s">
        <v>112</v>
      </c>
      <c r="C785" s="135"/>
      <c r="D785" s="135" t="s">
        <v>222</v>
      </c>
      <c r="E785" s="132">
        <f t="shared" si="447"/>
        <v>274.37</v>
      </c>
      <c r="F785" s="139">
        <f>$O$760-P785*($O$760-$O$752)</f>
        <v>259.54700000000003</v>
      </c>
      <c r="G785" s="149"/>
      <c r="H785" s="82" t="str">
        <f t="shared" si="411"/>
        <v>0 percent up in Roadian international stage</v>
      </c>
      <c r="I785" s="142" t="str">
        <f t="shared" si="412"/>
        <v>100 percent up in Capitanian international stage</v>
      </c>
      <c r="J785" s="7">
        <v>0</v>
      </c>
      <c r="K785" s="129">
        <f t="shared" si="413"/>
        <v>0</v>
      </c>
      <c r="L785" s="8" t="s">
        <v>113</v>
      </c>
      <c r="M785" s="5" t="s">
        <v>224</v>
      </c>
      <c r="N785" s="5" t="s">
        <v>920</v>
      </c>
      <c r="O785" s="84">
        <f>Master_Chronostrat!I107</f>
        <v>274.37</v>
      </c>
      <c r="P785" s="20">
        <v>1</v>
      </c>
      <c r="Q785" s="143">
        <f t="shared" si="414"/>
        <v>100</v>
      </c>
      <c r="R785" s="21" t="s">
        <v>110</v>
      </c>
      <c r="S785" s="8" t="s">
        <v>239</v>
      </c>
      <c r="T785" s="7" t="s">
        <v>226</v>
      </c>
    </row>
    <row r="786" spans="1:20" ht="28">
      <c r="A786" s="101" t="s">
        <v>881</v>
      </c>
      <c r="B786" s="154" t="s">
        <v>918</v>
      </c>
      <c r="C786" s="5"/>
      <c r="D786" s="5" t="s">
        <v>82</v>
      </c>
      <c r="E786" s="132">
        <f t="shared" si="447"/>
        <v>274.37</v>
      </c>
      <c r="F786" s="139">
        <f>$O$760-P786*($O$760-$O$752)</f>
        <v>259.54700000000003</v>
      </c>
      <c r="G786" s="149"/>
      <c r="H786" s="82" t="str">
        <f>CONCATENATE(K786," percent up in ",L786," international stage")</f>
        <v>0 percent up in Roadian international stage</v>
      </c>
      <c r="I786" s="142" t="str">
        <f>CONCATENATE(Q786," percent up in ",R786," international stage")</f>
        <v>100 percent up in Capitanian international stage</v>
      </c>
      <c r="J786" s="7">
        <v>0</v>
      </c>
      <c r="K786" s="129">
        <f>ROUND(J786*100,1)</f>
        <v>0</v>
      </c>
      <c r="L786" s="8" t="s">
        <v>113</v>
      </c>
      <c r="M786" s="5" t="s">
        <v>82</v>
      </c>
      <c r="N786" s="5" t="s">
        <v>82</v>
      </c>
      <c r="O786" s="83"/>
      <c r="P786" s="20">
        <v>1</v>
      </c>
      <c r="Q786" s="143">
        <f>ROUND(P786*100,1)</f>
        <v>100</v>
      </c>
      <c r="R786" s="21" t="s">
        <v>110</v>
      </c>
      <c r="S786" s="8" t="s">
        <v>1860</v>
      </c>
      <c r="T786" s="7" t="s">
        <v>226</v>
      </c>
    </row>
    <row r="787" spans="1:20" ht="28">
      <c r="A787" s="101" t="s">
        <v>881</v>
      </c>
      <c r="B787" s="155" t="s">
        <v>921</v>
      </c>
      <c r="C787" s="5"/>
      <c r="D787" s="5" t="s">
        <v>248</v>
      </c>
      <c r="E787" s="132">
        <f t="shared" ref="E787:E799" si="473">$O$799-J787*($O$799-$O$785)</f>
        <v>275.97739999999999</v>
      </c>
      <c r="F787" s="139">
        <f>$O$799-P787*($O$799-$O$785)</f>
        <v>274.37</v>
      </c>
      <c r="G787" s="149" t="s">
        <v>2101</v>
      </c>
      <c r="H787" s="82" t="str">
        <f t="shared" si="411"/>
        <v>82 percent up in Kungurian international stage</v>
      </c>
      <c r="I787" s="142" t="str">
        <f t="shared" si="412"/>
        <v>100 percent up in Kungurian international stage</v>
      </c>
      <c r="J787" s="7">
        <v>0.8200000000000045</v>
      </c>
      <c r="K787" s="129">
        <f t="shared" si="413"/>
        <v>82</v>
      </c>
      <c r="L787" s="8" t="s">
        <v>114</v>
      </c>
      <c r="M787" s="5" t="s">
        <v>82</v>
      </c>
      <c r="N787" s="5" t="s">
        <v>82</v>
      </c>
      <c r="O787" s="83"/>
      <c r="P787" s="20">
        <v>1</v>
      </c>
      <c r="Q787" s="143">
        <f t="shared" ref="Q787" si="474">ROUND(P787*100,1)</f>
        <v>100</v>
      </c>
      <c r="R787" s="21" t="s">
        <v>114</v>
      </c>
      <c r="S787" s="8" t="s">
        <v>246</v>
      </c>
      <c r="T787" s="7" t="s">
        <v>226</v>
      </c>
    </row>
    <row r="788" spans="1:20" ht="28">
      <c r="A788" s="101" t="s">
        <v>881</v>
      </c>
      <c r="B788" s="154" t="s">
        <v>926</v>
      </c>
      <c r="C788" s="5"/>
      <c r="D788" s="5" t="s">
        <v>888</v>
      </c>
      <c r="E788" s="132">
        <f t="shared" si="473"/>
        <v>276.15600000000001</v>
      </c>
      <c r="F788" s="139">
        <f>$O$799-P788*($O$799-$O$785)</f>
        <v>274.37</v>
      </c>
      <c r="G788" s="153" t="s">
        <v>1913</v>
      </c>
      <c r="H788" s="82" t="str">
        <f>CONCATENATE(K788," percent up in ",L788," international stage")</f>
        <v>80 percent up in Kungurian international stage</v>
      </c>
      <c r="I788" s="142" t="str">
        <f t="shared" si="412"/>
        <v>100 percent up in Kungurian international stage</v>
      </c>
      <c r="J788" s="7">
        <v>0.8</v>
      </c>
      <c r="K788" s="129">
        <f t="shared" si="413"/>
        <v>80</v>
      </c>
      <c r="L788" s="8" t="s">
        <v>114</v>
      </c>
      <c r="M788" s="5" t="s">
        <v>82</v>
      </c>
      <c r="N788" s="5" t="s">
        <v>82</v>
      </c>
      <c r="O788" s="83"/>
      <c r="P788" s="20">
        <v>1</v>
      </c>
      <c r="Q788" s="143">
        <f t="shared" si="414"/>
        <v>100</v>
      </c>
      <c r="R788" s="21" t="s">
        <v>114</v>
      </c>
      <c r="S788" s="153" t="s">
        <v>1904</v>
      </c>
      <c r="T788" s="7" t="s">
        <v>226</v>
      </c>
    </row>
    <row r="789" spans="1:20" ht="28">
      <c r="A789" s="101" t="s">
        <v>881</v>
      </c>
      <c r="B789" s="154" t="s">
        <v>917</v>
      </c>
      <c r="C789" s="5"/>
      <c r="D789" s="5" t="s">
        <v>888</v>
      </c>
      <c r="E789" s="132">
        <f t="shared" si="473"/>
        <v>276.15600000000001</v>
      </c>
      <c r="F789" s="139">
        <f>$O$799-P789*($O$799-$O$785)</f>
        <v>274.37</v>
      </c>
      <c r="G789" s="153" t="s">
        <v>2102</v>
      </c>
      <c r="H789" s="82" t="str">
        <f>CONCATENATE(K789," percent up in ",L789," international stage")</f>
        <v>80 percent up in Kungurian international stage</v>
      </c>
      <c r="I789" s="142" t="str">
        <f t="shared" ref="I789" si="475">CONCATENATE(Q789," percent up in ",R789," international stage")</f>
        <v>100 percent up in Kungurian international stage</v>
      </c>
      <c r="J789" s="7">
        <v>0.8</v>
      </c>
      <c r="K789" s="129">
        <f t="shared" ref="K789" si="476">ROUND(J789*100,1)</f>
        <v>80</v>
      </c>
      <c r="L789" s="8" t="s">
        <v>114</v>
      </c>
      <c r="M789" s="5" t="s">
        <v>82</v>
      </c>
      <c r="N789" s="5" t="s">
        <v>82</v>
      </c>
      <c r="O789" s="83"/>
      <c r="P789" s="20">
        <v>1</v>
      </c>
      <c r="Q789" s="143">
        <f t="shared" ref="Q789" si="477">ROUND(P789*100,1)</f>
        <v>100</v>
      </c>
      <c r="R789" s="21" t="s">
        <v>114</v>
      </c>
      <c r="S789" s="153" t="s">
        <v>1904</v>
      </c>
      <c r="T789" s="7" t="s">
        <v>226</v>
      </c>
    </row>
    <row r="790" spans="1:20" ht="28">
      <c r="A790" s="101" t="s">
        <v>881</v>
      </c>
      <c r="B790" s="155" t="s">
        <v>922</v>
      </c>
      <c r="C790" s="5"/>
      <c r="D790" s="5" t="s">
        <v>244</v>
      </c>
      <c r="E790" s="132">
        <f t="shared" si="473"/>
        <v>281.96050000000002</v>
      </c>
      <c r="F790" s="139">
        <f>$O$799-P790*($O$799-$O$785)</f>
        <v>274.37</v>
      </c>
      <c r="G790" s="149" t="s">
        <v>2089</v>
      </c>
      <c r="H790" s="82" t="str">
        <f t="shared" si="411"/>
        <v>15 percent up in Kungurian international stage</v>
      </c>
      <c r="I790" s="142" t="str">
        <f t="shared" si="412"/>
        <v>100 percent up in Kungurian international stage</v>
      </c>
      <c r="J790" s="7">
        <v>0.15</v>
      </c>
      <c r="K790" s="129">
        <f t="shared" si="413"/>
        <v>15</v>
      </c>
      <c r="L790" s="8" t="s">
        <v>114</v>
      </c>
      <c r="M790" s="5" t="s">
        <v>82</v>
      </c>
      <c r="N790" s="5" t="s">
        <v>82</v>
      </c>
      <c r="O790" s="83"/>
      <c r="P790" s="20">
        <v>1</v>
      </c>
      <c r="Q790" s="143">
        <f t="shared" si="414"/>
        <v>100</v>
      </c>
      <c r="R790" s="21" t="s">
        <v>114</v>
      </c>
      <c r="S790" s="8" t="s">
        <v>272</v>
      </c>
      <c r="T790" s="7" t="s">
        <v>226</v>
      </c>
    </row>
    <row r="791" spans="1:20" ht="42">
      <c r="A791" s="101" t="s">
        <v>881</v>
      </c>
      <c r="B791" s="154" t="s">
        <v>923</v>
      </c>
      <c r="C791" s="5"/>
      <c r="D791" s="5" t="s">
        <v>82</v>
      </c>
      <c r="E791" s="132">
        <f t="shared" si="473"/>
        <v>283.3</v>
      </c>
      <c r="F791" s="139">
        <f>$O$752-P791*($O$752-$O$733)</f>
        <v>254.24260000000001</v>
      </c>
      <c r="G791" s="149"/>
      <c r="H791" s="82" t="str">
        <f t="shared" si="411"/>
        <v>0 percent up in Kungurian international stage</v>
      </c>
      <c r="I791" s="142" t="str">
        <f t="shared" si="412"/>
        <v>100 percent up in Wuchiapingian international stage</v>
      </c>
      <c r="J791" s="7">
        <v>0</v>
      </c>
      <c r="K791" s="129">
        <f t="shared" si="413"/>
        <v>0</v>
      </c>
      <c r="L791" s="8" t="s">
        <v>114</v>
      </c>
      <c r="M791" s="5" t="s">
        <v>82</v>
      </c>
      <c r="N791" s="5" t="s">
        <v>82</v>
      </c>
      <c r="O791" s="83"/>
      <c r="P791" s="20">
        <v>1</v>
      </c>
      <c r="Q791" s="143">
        <f t="shared" si="414"/>
        <v>100</v>
      </c>
      <c r="R791" s="21" t="s">
        <v>109</v>
      </c>
      <c r="S791" s="8" t="s">
        <v>232</v>
      </c>
      <c r="T791" s="7" t="s">
        <v>226</v>
      </c>
    </row>
    <row r="792" spans="1:20" ht="42">
      <c r="A792" s="101" t="s">
        <v>881</v>
      </c>
      <c r="B792" s="156" t="s">
        <v>892</v>
      </c>
      <c r="C792" s="5"/>
      <c r="D792" s="5" t="s">
        <v>2085</v>
      </c>
      <c r="E792" s="132">
        <f t="shared" si="473"/>
        <v>279.72800000000001</v>
      </c>
      <c r="F792" s="139">
        <f>$O$799-P792*($O$799-$O$785)</f>
        <v>274.37</v>
      </c>
      <c r="G792" s="149" t="s">
        <v>2103</v>
      </c>
      <c r="H792" s="82" t="str">
        <f>CONCATENATE(K792," percent up in ",L792," international stage")</f>
        <v>40 percent up in Kungurian international stage</v>
      </c>
      <c r="I792" s="142" t="str">
        <f>CONCATENATE(Q792," percent up in ",R792," international stage")</f>
        <v>100 percent up in Kungurian international stage</v>
      </c>
      <c r="J792" s="7">
        <v>0.4</v>
      </c>
      <c r="K792" s="129">
        <f>ROUND(J792*100,1)</f>
        <v>40</v>
      </c>
      <c r="L792" s="8" t="s">
        <v>114</v>
      </c>
      <c r="M792" s="5" t="s">
        <v>82</v>
      </c>
      <c r="N792" s="5" t="s">
        <v>82</v>
      </c>
      <c r="O792" s="83"/>
      <c r="P792" s="20">
        <v>1</v>
      </c>
      <c r="Q792" s="143">
        <f>ROUND(P792*100,1)</f>
        <v>100</v>
      </c>
      <c r="R792" s="21" t="s">
        <v>114</v>
      </c>
      <c r="S792" s="8" t="s">
        <v>232</v>
      </c>
      <c r="T792" s="7" t="s">
        <v>226</v>
      </c>
    </row>
    <row r="793" spans="1:20" ht="42">
      <c r="A793" s="101" t="s">
        <v>881</v>
      </c>
      <c r="B793" s="154" t="s">
        <v>925</v>
      </c>
      <c r="C793" s="5"/>
      <c r="D793" s="5" t="s">
        <v>2076</v>
      </c>
      <c r="E793" s="132">
        <f t="shared" si="473"/>
        <v>279.72800000000001</v>
      </c>
      <c r="F793" s="139">
        <f>$O$799-P793*($O$799-$O$785)</f>
        <v>276.15600000000001</v>
      </c>
      <c r="G793" s="153" t="s">
        <v>2099</v>
      </c>
      <c r="H793" s="82" t="str">
        <f t="shared" si="411"/>
        <v>40 percent up in Kungurian international stage</v>
      </c>
      <c r="I793" s="142" t="str">
        <f t="shared" si="412"/>
        <v>80 percent up in Kungurian international stage</v>
      </c>
      <c r="J793" s="7">
        <v>0.4</v>
      </c>
      <c r="K793" s="129">
        <f t="shared" si="413"/>
        <v>40</v>
      </c>
      <c r="L793" s="8" t="s">
        <v>114</v>
      </c>
      <c r="M793" s="5" t="s">
        <v>82</v>
      </c>
      <c r="N793" s="5" t="s">
        <v>82</v>
      </c>
      <c r="O793" s="83"/>
      <c r="P793" s="20">
        <v>0.8</v>
      </c>
      <c r="Q793" s="143">
        <f t="shared" si="414"/>
        <v>80</v>
      </c>
      <c r="R793" s="21" t="s">
        <v>114</v>
      </c>
      <c r="S793" s="153" t="s">
        <v>1904</v>
      </c>
      <c r="T793" s="7" t="s">
        <v>226</v>
      </c>
    </row>
    <row r="794" spans="1:20" ht="56">
      <c r="A794" s="101"/>
      <c r="B794" s="154" t="s">
        <v>2098</v>
      </c>
      <c r="C794" s="5"/>
      <c r="D794" s="5" t="s">
        <v>2076</v>
      </c>
      <c r="E794" s="132">
        <f t="shared" si="473"/>
        <v>283.3</v>
      </c>
      <c r="F794" s="139">
        <f>$O$799-P794*($O$799-$O$785)</f>
        <v>279.72800000000001</v>
      </c>
      <c r="G794" s="153" t="s">
        <v>2100</v>
      </c>
      <c r="H794" s="82" t="str">
        <f t="shared" ref="H794" si="478">CONCATENATE(K794," percent up in ",L794," international stage")</f>
        <v>0 percent up in Kungurian international stage</v>
      </c>
      <c r="I794" s="142" t="str">
        <f t="shared" ref="I794" si="479">CONCATENATE(Q794," percent up in ",R794," international stage")</f>
        <v>40 percent up in Kungurian international stage</v>
      </c>
      <c r="J794" s="7">
        <v>0</v>
      </c>
      <c r="K794" s="129">
        <f t="shared" ref="K794" si="480">ROUND(J794*100,1)</f>
        <v>0</v>
      </c>
      <c r="L794" s="8" t="s">
        <v>114</v>
      </c>
      <c r="M794" s="5" t="s">
        <v>82</v>
      </c>
      <c r="N794" s="5" t="s">
        <v>82</v>
      </c>
      <c r="O794" s="83"/>
      <c r="P794" s="20">
        <v>0.4</v>
      </c>
      <c r="Q794" s="143">
        <f t="shared" ref="Q794" si="481">ROUND(P794*100,1)</f>
        <v>40</v>
      </c>
      <c r="R794" s="21" t="s">
        <v>114</v>
      </c>
      <c r="S794" s="153"/>
    </row>
    <row r="795" spans="1:20" ht="28">
      <c r="A795" s="101" t="s">
        <v>881</v>
      </c>
      <c r="B795" s="155" t="s">
        <v>927</v>
      </c>
      <c r="C795" s="5"/>
      <c r="D795" s="5" t="s">
        <v>248</v>
      </c>
      <c r="E795" s="132">
        <f t="shared" si="473"/>
        <v>283.3</v>
      </c>
      <c r="F795" s="139">
        <f>$O$799-P795*($O$799-$O$785)</f>
        <v>275.97739999999999</v>
      </c>
      <c r="G795" s="149"/>
      <c r="H795" s="82" t="str">
        <f t="shared" si="411"/>
        <v>0 percent up in Kungurian international stage</v>
      </c>
      <c r="I795" s="142" t="str">
        <f t="shared" si="412"/>
        <v>82 percent up in Kungurian international stage</v>
      </c>
      <c r="J795" s="7">
        <v>0</v>
      </c>
      <c r="K795" s="129">
        <f t="shared" si="413"/>
        <v>0</v>
      </c>
      <c r="L795" s="8" t="s">
        <v>114</v>
      </c>
      <c r="M795" s="5" t="s">
        <v>82</v>
      </c>
      <c r="N795" s="5" t="s">
        <v>82</v>
      </c>
      <c r="O795" s="83"/>
      <c r="P795" s="20">
        <v>0.8200000000000045</v>
      </c>
      <c r="Q795" s="143">
        <f t="shared" si="414"/>
        <v>82</v>
      </c>
      <c r="R795" s="21" t="s">
        <v>114</v>
      </c>
      <c r="S795" s="8" t="s">
        <v>230</v>
      </c>
      <c r="T795" s="7" t="s">
        <v>226</v>
      </c>
    </row>
    <row r="796" spans="1:20" ht="28">
      <c r="A796" s="101" t="s">
        <v>881</v>
      </c>
      <c r="B796" s="155" t="s">
        <v>928</v>
      </c>
      <c r="C796" s="5"/>
      <c r="D796" s="5" t="s">
        <v>248</v>
      </c>
      <c r="E796" s="132">
        <f t="shared" si="473"/>
        <v>283.3</v>
      </c>
      <c r="F796" s="139">
        <f>$O$760-P796*($O$760-$O$752)</f>
        <v>259.54700000000003</v>
      </c>
      <c r="G796" s="149"/>
      <c r="H796" s="82" t="str">
        <f t="shared" si="411"/>
        <v>0 percent up in Kungurian international stage</v>
      </c>
      <c r="I796" s="142" t="str">
        <f t="shared" si="412"/>
        <v>100 percent up in Capitanian international stage</v>
      </c>
      <c r="J796" s="7">
        <v>0</v>
      </c>
      <c r="K796" s="129">
        <f t="shared" si="413"/>
        <v>0</v>
      </c>
      <c r="L796" s="8" t="s">
        <v>114</v>
      </c>
      <c r="M796" s="5" t="s">
        <v>82</v>
      </c>
      <c r="N796" s="5" t="s">
        <v>82</v>
      </c>
      <c r="O796" s="83"/>
      <c r="P796" s="20">
        <v>1</v>
      </c>
      <c r="Q796" s="143">
        <f t="shared" si="414"/>
        <v>100</v>
      </c>
      <c r="R796" s="21" t="s">
        <v>110</v>
      </c>
      <c r="S796" s="8" t="s">
        <v>232</v>
      </c>
      <c r="T796" s="7" t="s">
        <v>226</v>
      </c>
    </row>
    <row r="797" spans="1:20" ht="28">
      <c r="A797" s="101"/>
      <c r="B797" s="155" t="s">
        <v>1659</v>
      </c>
      <c r="C797" s="5"/>
      <c r="D797" s="5"/>
      <c r="E797" s="132">
        <f t="shared" si="473"/>
        <v>278.83500000000004</v>
      </c>
      <c r="F797" s="139">
        <f t="shared" ref="F797:F802" si="482">$O$799-P797*($O$799-$O$785)</f>
        <v>274.37</v>
      </c>
      <c r="G797" s="149" t="s">
        <v>1601</v>
      </c>
      <c r="H797" s="82" t="str">
        <f t="shared" ref="H797:H798" si="483">CONCATENATE(K797," percent up in ",L797," international stage")</f>
        <v>50 percent up in Kungurian international stage</v>
      </c>
      <c r="I797" s="142" t="str">
        <f t="shared" ref="I797:I798" si="484">CONCATENATE(Q797," percent up in ",R797," international stage")</f>
        <v>100 percent up in Kungurian international stage</v>
      </c>
      <c r="J797" s="7">
        <v>0.5</v>
      </c>
      <c r="K797" s="129">
        <f t="shared" ref="K797:K798" si="485">ROUND(J797*100,1)</f>
        <v>50</v>
      </c>
      <c r="L797" s="8" t="s">
        <v>114</v>
      </c>
      <c r="M797" s="5" t="s">
        <v>82</v>
      </c>
      <c r="N797" s="5" t="s">
        <v>82</v>
      </c>
      <c r="O797" s="83"/>
      <c r="P797" s="20">
        <v>1</v>
      </c>
      <c r="Q797" s="143">
        <f t="shared" ref="Q797:Q798" si="486">ROUND(P797*100,1)</f>
        <v>100</v>
      </c>
      <c r="R797" s="21" t="s">
        <v>114</v>
      </c>
      <c r="S797" s="151" t="s">
        <v>1601</v>
      </c>
    </row>
    <row r="798" spans="1:20" ht="28">
      <c r="A798" s="101"/>
      <c r="B798" s="155" t="s">
        <v>1660</v>
      </c>
      <c r="C798" s="5"/>
      <c r="D798" s="5"/>
      <c r="E798" s="132">
        <f t="shared" si="473"/>
        <v>283.3</v>
      </c>
      <c r="F798" s="139">
        <f t="shared" si="482"/>
        <v>278.83500000000004</v>
      </c>
      <c r="G798" s="149" t="s">
        <v>1602</v>
      </c>
      <c r="H798" s="82" t="str">
        <f t="shared" si="483"/>
        <v>0 percent up in Kungurian international stage</v>
      </c>
      <c r="I798" s="142" t="str">
        <f t="shared" si="484"/>
        <v>50 percent up in Kungurian international stage</v>
      </c>
      <c r="J798" s="7">
        <v>0</v>
      </c>
      <c r="K798" s="129">
        <f t="shared" si="485"/>
        <v>0</v>
      </c>
      <c r="L798" s="8" t="s">
        <v>114</v>
      </c>
      <c r="M798" s="5" t="s">
        <v>82</v>
      </c>
      <c r="N798" s="5" t="s">
        <v>82</v>
      </c>
      <c r="O798" s="83"/>
      <c r="P798" s="20">
        <v>0.5</v>
      </c>
      <c r="Q798" s="143">
        <f t="shared" si="486"/>
        <v>50</v>
      </c>
      <c r="R798" s="21" t="s">
        <v>114</v>
      </c>
      <c r="S798" s="151" t="s">
        <v>1602</v>
      </c>
    </row>
    <row r="799" spans="1:20" ht="28">
      <c r="A799" s="101" t="s">
        <v>881</v>
      </c>
      <c r="B799" s="154" t="s">
        <v>114</v>
      </c>
      <c r="C799" s="135"/>
      <c r="D799" s="135" t="s">
        <v>222</v>
      </c>
      <c r="E799" s="132">
        <f t="shared" si="473"/>
        <v>283.3</v>
      </c>
      <c r="F799" s="139">
        <f t="shared" si="482"/>
        <v>274.37</v>
      </c>
      <c r="G799" s="149"/>
      <c r="H799" s="82" t="str">
        <f t="shared" si="411"/>
        <v>0 percent up in Kungurian international stage</v>
      </c>
      <c r="I799" s="142" t="str">
        <f t="shared" si="412"/>
        <v>100 percent up in Kungurian international stage</v>
      </c>
      <c r="J799" s="7">
        <v>0</v>
      </c>
      <c r="K799" s="129">
        <f t="shared" si="413"/>
        <v>0</v>
      </c>
      <c r="L799" s="8" t="s">
        <v>114</v>
      </c>
      <c r="M799" s="5" t="s">
        <v>224</v>
      </c>
      <c r="N799" s="5" t="s">
        <v>929</v>
      </c>
      <c r="O799" s="84">
        <f>Master_Chronostrat!I108</f>
        <v>283.3</v>
      </c>
      <c r="P799" s="20">
        <v>1</v>
      </c>
      <c r="Q799" s="143">
        <f t="shared" si="414"/>
        <v>100</v>
      </c>
      <c r="R799" s="21" t="s">
        <v>114</v>
      </c>
      <c r="S799" s="8" t="s">
        <v>224</v>
      </c>
      <c r="T799" s="7" t="s">
        <v>226</v>
      </c>
    </row>
    <row r="800" spans="1:20" ht="28">
      <c r="A800" s="101" t="s">
        <v>881</v>
      </c>
      <c r="B800" s="154" t="s">
        <v>930</v>
      </c>
      <c r="C800" s="5"/>
      <c r="D800" s="5" t="s">
        <v>236</v>
      </c>
      <c r="E800" s="132">
        <f t="shared" ref="E800:E811" si="487">$O$816-J800*($O$816-$O$799)</f>
        <v>285.26636363636362</v>
      </c>
      <c r="F800" s="139">
        <f t="shared" si="482"/>
        <v>274.37</v>
      </c>
      <c r="G800" s="149"/>
      <c r="H800" s="82" t="str">
        <f t="shared" si="411"/>
        <v>72.7 percent up in Artinskian international stage</v>
      </c>
      <c r="I800" s="142" t="str">
        <f t="shared" si="412"/>
        <v>100 percent up in Kungurian international stage</v>
      </c>
      <c r="J800" s="7">
        <v>0.7272727272727284</v>
      </c>
      <c r="K800" s="129">
        <f t="shared" si="413"/>
        <v>72.7</v>
      </c>
      <c r="L800" s="8" t="s">
        <v>115</v>
      </c>
      <c r="M800" s="5" t="s">
        <v>82</v>
      </c>
      <c r="N800" s="5" t="s">
        <v>82</v>
      </c>
      <c r="O800" s="83"/>
      <c r="P800" s="20">
        <v>1</v>
      </c>
      <c r="Q800" s="143">
        <f t="shared" si="414"/>
        <v>100</v>
      </c>
      <c r="R800" s="21" t="s">
        <v>114</v>
      </c>
      <c r="S800" s="8" t="s">
        <v>246</v>
      </c>
      <c r="T800" s="7" t="s">
        <v>226</v>
      </c>
    </row>
    <row r="801" spans="1:20" ht="42">
      <c r="A801" s="101" t="s">
        <v>881</v>
      </c>
      <c r="B801" s="154" t="s">
        <v>931</v>
      </c>
      <c r="C801" s="5"/>
      <c r="D801" s="5" t="s">
        <v>244</v>
      </c>
      <c r="E801" s="132">
        <f t="shared" si="487"/>
        <v>289.42849999999999</v>
      </c>
      <c r="F801" s="139">
        <f t="shared" si="482"/>
        <v>274.37</v>
      </c>
      <c r="G801" s="149" t="s">
        <v>2090</v>
      </c>
      <c r="H801" s="82" t="str">
        <f t="shared" si="411"/>
        <v>15 percent up in Artinskian international stage</v>
      </c>
      <c r="I801" s="142" t="str">
        <f t="shared" si="412"/>
        <v>100 percent up in Kungurian international stage</v>
      </c>
      <c r="J801" s="7">
        <v>0.15</v>
      </c>
      <c r="K801" s="129">
        <f t="shared" si="413"/>
        <v>15</v>
      </c>
      <c r="L801" s="8" t="s">
        <v>115</v>
      </c>
      <c r="M801" s="5" t="s">
        <v>82</v>
      </c>
      <c r="N801" s="5" t="s">
        <v>82</v>
      </c>
      <c r="O801" s="83"/>
      <c r="P801" s="20">
        <v>1</v>
      </c>
      <c r="Q801" s="143">
        <f t="shared" si="414"/>
        <v>100</v>
      </c>
      <c r="R801" s="21" t="s">
        <v>114</v>
      </c>
      <c r="S801" s="8" t="s">
        <v>246</v>
      </c>
      <c r="T801" s="7" t="s">
        <v>226</v>
      </c>
    </row>
    <row r="802" spans="1:20" ht="28">
      <c r="A802" s="101" t="s">
        <v>881</v>
      </c>
      <c r="B802" s="155" t="s">
        <v>924</v>
      </c>
      <c r="C802" s="5"/>
      <c r="D802" s="5" t="s">
        <v>2085</v>
      </c>
      <c r="E802" s="132">
        <f t="shared" si="487"/>
        <v>285.82350000000002</v>
      </c>
      <c r="F802" s="139">
        <f t="shared" si="482"/>
        <v>279.72800000000001</v>
      </c>
      <c r="G802" s="149" t="s">
        <v>2096</v>
      </c>
      <c r="H802" s="82" t="str">
        <f>CONCATENATE(K802," percent up in ",L802," international stage")</f>
        <v>65 percent up in Artinskian international stage</v>
      </c>
      <c r="I802" s="142" t="str">
        <f>CONCATENATE(Q802," percent up in ",R802," international stage")</f>
        <v>40 percent up in Kungurian international stage</v>
      </c>
      <c r="J802" s="7">
        <v>0.65</v>
      </c>
      <c r="K802" s="129">
        <f>ROUND(J802*100,1)</f>
        <v>65</v>
      </c>
      <c r="L802" s="8" t="s">
        <v>115</v>
      </c>
      <c r="M802" s="5" t="s">
        <v>82</v>
      </c>
      <c r="N802" s="5" t="s">
        <v>82</v>
      </c>
      <c r="O802" s="83"/>
      <c r="P802" s="20">
        <v>0.4</v>
      </c>
      <c r="Q802" s="143">
        <f>ROUND(P802*100,1)</f>
        <v>40</v>
      </c>
      <c r="R802" s="21" t="s">
        <v>114</v>
      </c>
      <c r="S802" s="8" t="s">
        <v>232</v>
      </c>
      <c r="T802" s="7" t="s">
        <v>226</v>
      </c>
    </row>
    <row r="803" spans="1:20" ht="28">
      <c r="A803" s="101" t="s">
        <v>881</v>
      </c>
      <c r="B803" s="155" t="s">
        <v>932</v>
      </c>
      <c r="C803" s="5"/>
      <c r="D803" s="5" t="s">
        <v>2085</v>
      </c>
      <c r="E803" s="132">
        <f t="shared" si="487"/>
        <v>290.51</v>
      </c>
      <c r="F803" s="139">
        <f t="shared" ref="F803:F809" si="488">$O$816-P803*($O$816-$O$799)</f>
        <v>285.82350000000002</v>
      </c>
      <c r="G803" s="149" t="s">
        <v>2097</v>
      </c>
      <c r="H803" s="82" t="str">
        <f t="shared" si="411"/>
        <v>0 percent up in Artinskian international stage</v>
      </c>
      <c r="I803" s="142" t="str">
        <f t="shared" si="412"/>
        <v>65 percent up in Artinskian international stage</v>
      </c>
      <c r="J803" s="7">
        <v>0</v>
      </c>
      <c r="K803" s="129">
        <f t="shared" si="413"/>
        <v>0</v>
      </c>
      <c r="L803" s="8" t="s">
        <v>115</v>
      </c>
      <c r="M803" s="5" t="s">
        <v>82</v>
      </c>
      <c r="N803" s="5" t="s">
        <v>82</v>
      </c>
      <c r="O803" s="83"/>
      <c r="P803" s="20">
        <v>0.65</v>
      </c>
      <c r="Q803" s="143">
        <f t="shared" si="414"/>
        <v>65</v>
      </c>
      <c r="R803" s="21" t="s">
        <v>115</v>
      </c>
      <c r="S803" s="8" t="s">
        <v>272</v>
      </c>
      <c r="T803" s="7" t="s">
        <v>226</v>
      </c>
    </row>
    <row r="804" spans="1:20" ht="28">
      <c r="A804" s="101"/>
      <c r="B804" s="155" t="s">
        <v>2086</v>
      </c>
      <c r="C804" s="5"/>
      <c r="D804" s="5" t="s">
        <v>2076</v>
      </c>
      <c r="E804" s="132">
        <f t="shared" si="487"/>
        <v>285.82350000000002</v>
      </c>
      <c r="F804" s="139">
        <f t="shared" si="488"/>
        <v>283.3</v>
      </c>
      <c r="G804" s="149" t="s">
        <v>2095</v>
      </c>
      <c r="H804" s="82" t="str">
        <f t="shared" ref="H804:H806" si="489">CONCATENATE(K804," percent up in ",L804," international stage")</f>
        <v>65 percent up in Artinskian international stage</v>
      </c>
      <c r="I804" s="142" t="str">
        <f t="shared" ref="I804:I806" si="490">CONCATENATE(Q804," percent up in ",R804," international stage")</f>
        <v>100 percent up in Artinskian international stage</v>
      </c>
      <c r="J804" s="7">
        <v>0.65</v>
      </c>
      <c r="K804" s="129">
        <f t="shared" ref="K804:K806" si="491">ROUND(J804*100,1)</f>
        <v>65</v>
      </c>
      <c r="L804" s="8" t="s">
        <v>115</v>
      </c>
      <c r="M804" s="5" t="s">
        <v>82</v>
      </c>
      <c r="N804" s="5" t="s">
        <v>82</v>
      </c>
      <c r="O804" s="83"/>
      <c r="P804" s="20">
        <v>1</v>
      </c>
      <c r="Q804" s="143">
        <f t="shared" ref="Q804:Q806" si="492">ROUND(P804*100,1)</f>
        <v>100</v>
      </c>
      <c r="R804" s="21" t="s">
        <v>115</v>
      </c>
      <c r="S804" s="8"/>
    </row>
    <row r="805" spans="1:20" ht="28">
      <c r="A805" s="101"/>
      <c r="B805" s="155" t="s">
        <v>2091</v>
      </c>
      <c r="C805" s="5"/>
      <c r="D805" s="5" t="s">
        <v>2076</v>
      </c>
      <c r="E805" s="132">
        <f t="shared" si="487"/>
        <v>287.98649999999998</v>
      </c>
      <c r="F805" s="139">
        <f t="shared" si="488"/>
        <v>285.82350000000002</v>
      </c>
      <c r="G805" s="149" t="s">
        <v>2094</v>
      </c>
      <c r="H805" s="82" t="str">
        <f t="shared" si="489"/>
        <v>35 percent up in Artinskian international stage</v>
      </c>
      <c r="I805" s="142" t="str">
        <f t="shared" si="490"/>
        <v>65 percent up in Artinskian international stage</v>
      </c>
      <c r="J805" s="7">
        <v>0.35</v>
      </c>
      <c r="K805" s="129">
        <f t="shared" si="491"/>
        <v>35</v>
      </c>
      <c r="L805" s="8" t="s">
        <v>115</v>
      </c>
      <c r="M805" s="5" t="s">
        <v>82</v>
      </c>
      <c r="N805" s="5" t="s">
        <v>82</v>
      </c>
      <c r="O805" s="83"/>
      <c r="P805" s="20">
        <v>0.65</v>
      </c>
      <c r="Q805" s="143">
        <f t="shared" si="492"/>
        <v>65</v>
      </c>
      <c r="R805" s="21" t="s">
        <v>115</v>
      </c>
      <c r="S805" s="8"/>
    </row>
    <row r="806" spans="1:20" ht="28">
      <c r="A806" s="101"/>
      <c r="B806" s="155" t="s">
        <v>2092</v>
      </c>
      <c r="C806" s="5"/>
      <c r="D806" s="5" t="s">
        <v>2076</v>
      </c>
      <c r="E806" s="132">
        <f t="shared" si="487"/>
        <v>290.51</v>
      </c>
      <c r="F806" s="139">
        <f t="shared" si="488"/>
        <v>287.98649999999998</v>
      </c>
      <c r="G806" s="149" t="s">
        <v>2093</v>
      </c>
      <c r="H806" s="82" t="str">
        <f t="shared" si="489"/>
        <v>0 percent up in Artinskian international stage</v>
      </c>
      <c r="I806" s="142" t="str">
        <f t="shared" si="490"/>
        <v>35 percent up in Artinskian international stage</v>
      </c>
      <c r="J806" s="7">
        <v>0</v>
      </c>
      <c r="K806" s="129">
        <f t="shared" si="491"/>
        <v>0</v>
      </c>
      <c r="L806" s="8" t="s">
        <v>115</v>
      </c>
      <c r="M806" s="5" t="s">
        <v>82</v>
      </c>
      <c r="N806" s="5" t="s">
        <v>82</v>
      </c>
      <c r="O806" s="83"/>
      <c r="P806" s="20">
        <v>0.35</v>
      </c>
      <c r="Q806" s="143">
        <f t="shared" si="492"/>
        <v>35</v>
      </c>
      <c r="R806" s="21" t="s">
        <v>115</v>
      </c>
      <c r="S806" s="8"/>
    </row>
    <row r="807" spans="1:20" ht="28">
      <c r="A807" s="101" t="s">
        <v>881</v>
      </c>
      <c r="B807" s="154" t="s">
        <v>933</v>
      </c>
      <c r="C807" s="5"/>
      <c r="D807" s="5" t="s">
        <v>82</v>
      </c>
      <c r="E807" s="132">
        <f t="shared" si="487"/>
        <v>290.51</v>
      </c>
      <c r="F807" s="139">
        <f t="shared" si="488"/>
        <v>283.3</v>
      </c>
      <c r="G807" s="149"/>
      <c r="H807" s="82" t="str">
        <f t="shared" si="411"/>
        <v>0 percent up in Artinskian international stage</v>
      </c>
      <c r="I807" s="142" t="str">
        <f t="shared" si="412"/>
        <v>100 percent up in Artinskian international stage</v>
      </c>
      <c r="J807" s="7">
        <v>0</v>
      </c>
      <c r="K807" s="129">
        <f t="shared" si="413"/>
        <v>0</v>
      </c>
      <c r="L807" s="8" t="s">
        <v>115</v>
      </c>
      <c r="M807" s="5" t="s">
        <v>82</v>
      </c>
      <c r="N807" s="5" t="s">
        <v>82</v>
      </c>
      <c r="O807" s="83"/>
      <c r="P807" s="20">
        <v>1</v>
      </c>
      <c r="Q807" s="143">
        <f t="shared" si="414"/>
        <v>100</v>
      </c>
      <c r="R807" s="21" t="s">
        <v>115</v>
      </c>
      <c r="S807" s="8" t="s">
        <v>232</v>
      </c>
      <c r="T807" s="7" t="s">
        <v>226</v>
      </c>
    </row>
    <row r="808" spans="1:20" ht="28">
      <c r="A808" s="101" t="s">
        <v>881</v>
      </c>
      <c r="B808" s="154" t="s">
        <v>2157</v>
      </c>
      <c r="C808" s="5"/>
      <c r="D808" s="5" t="s">
        <v>82</v>
      </c>
      <c r="E808" s="132">
        <f t="shared" ref="E808" si="493">$O$816-J808*($O$816-$O$799)</f>
        <v>290.51</v>
      </c>
      <c r="F808" s="139">
        <f t="shared" ref="F808" si="494">$O$816-P808*($O$816-$O$799)</f>
        <v>283.3</v>
      </c>
      <c r="G808" s="149" t="s">
        <v>2013</v>
      </c>
      <c r="H808" s="82" t="str">
        <f t="shared" ref="H808" si="495">CONCATENATE(K808," percent up in ",L808," international stage")</f>
        <v>0 percent up in Artinskian international stage</v>
      </c>
      <c r="I808" s="142" t="str">
        <f t="shared" ref="I808" si="496">CONCATENATE(Q808," percent up in ",R808," international stage")</f>
        <v>100 percent up in Artinskian international stage</v>
      </c>
      <c r="J808" s="7">
        <v>0</v>
      </c>
      <c r="K808" s="129">
        <f t="shared" ref="K808" si="497">ROUND(J808*100,1)</f>
        <v>0</v>
      </c>
      <c r="L808" s="8" t="s">
        <v>115</v>
      </c>
      <c r="M808" s="5" t="s">
        <v>82</v>
      </c>
      <c r="N808" s="5" t="s">
        <v>82</v>
      </c>
      <c r="O808" s="83"/>
      <c r="P808" s="20">
        <v>1</v>
      </c>
      <c r="Q808" s="143">
        <f t="shared" ref="Q808" si="498">ROUND(P808*100,1)</f>
        <v>100</v>
      </c>
      <c r="R808" s="21" t="s">
        <v>115</v>
      </c>
      <c r="S808" s="8" t="s">
        <v>232</v>
      </c>
      <c r="T808" s="7" t="s">
        <v>226</v>
      </c>
    </row>
    <row r="809" spans="1:20" ht="28">
      <c r="A809" s="101" t="s">
        <v>881</v>
      </c>
      <c r="B809" s="154" t="s">
        <v>934</v>
      </c>
      <c r="C809" s="5"/>
      <c r="D809" s="5" t="s">
        <v>82</v>
      </c>
      <c r="E809" s="132">
        <f t="shared" si="487"/>
        <v>290.51</v>
      </c>
      <c r="F809" s="139">
        <f t="shared" si="488"/>
        <v>283.3</v>
      </c>
      <c r="G809" s="149"/>
      <c r="H809" s="82" t="str">
        <f t="shared" si="411"/>
        <v>0 percent up in Artinskian international stage</v>
      </c>
      <c r="I809" s="142" t="str">
        <f t="shared" si="412"/>
        <v>100 percent up in Artinskian international stage</v>
      </c>
      <c r="J809" s="7">
        <v>0</v>
      </c>
      <c r="K809" s="129">
        <f t="shared" si="413"/>
        <v>0</v>
      </c>
      <c r="L809" s="8" t="s">
        <v>115</v>
      </c>
      <c r="M809" s="5" t="s">
        <v>82</v>
      </c>
      <c r="N809" s="5" t="s">
        <v>82</v>
      </c>
      <c r="O809" s="83"/>
      <c r="P809" s="20">
        <v>1</v>
      </c>
      <c r="Q809" s="143">
        <f t="shared" si="414"/>
        <v>100</v>
      </c>
      <c r="R809" s="21" t="s">
        <v>115</v>
      </c>
      <c r="S809" s="8" t="s">
        <v>232</v>
      </c>
      <c r="T809" s="7" t="s">
        <v>226</v>
      </c>
    </row>
    <row r="810" spans="1:20" ht="28">
      <c r="A810" s="101" t="s">
        <v>881</v>
      </c>
      <c r="B810" s="155" t="s">
        <v>935</v>
      </c>
      <c r="C810" s="5"/>
      <c r="D810" s="5" t="s">
        <v>244</v>
      </c>
      <c r="E810" s="132">
        <f t="shared" si="487"/>
        <v>285.82350000000002</v>
      </c>
      <c r="F810" s="139">
        <f>$O$799-P810*($O$799-$O$785)</f>
        <v>281.96050000000002</v>
      </c>
      <c r="G810" s="149" t="s">
        <v>2088</v>
      </c>
      <c r="H810" s="82" t="str">
        <f t="shared" si="411"/>
        <v>65 percent up in Artinskian international stage</v>
      </c>
      <c r="I810" s="142" t="str">
        <f t="shared" si="412"/>
        <v>15 percent up in Kungurian international stage</v>
      </c>
      <c r="J810" s="7">
        <v>0.65</v>
      </c>
      <c r="K810" s="129">
        <f t="shared" si="413"/>
        <v>65</v>
      </c>
      <c r="L810" s="8" t="s">
        <v>115</v>
      </c>
      <c r="M810" s="5" t="s">
        <v>82</v>
      </c>
      <c r="N810" s="5" t="s">
        <v>82</v>
      </c>
      <c r="O810" s="83"/>
      <c r="P810" s="20">
        <v>0.15</v>
      </c>
      <c r="Q810" s="143">
        <f t="shared" si="414"/>
        <v>15</v>
      </c>
      <c r="R810" s="21" t="s">
        <v>114</v>
      </c>
      <c r="S810" s="8" t="s">
        <v>246</v>
      </c>
      <c r="T810" s="7" t="s">
        <v>226</v>
      </c>
    </row>
    <row r="811" spans="1:20" ht="28">
      <c r="A811" s="101" t="s">
        <v>881</v>
      </c>
      <c r="B811" s="155" t="s">
        <v>936</v>
      </c>
      <c r="C811" s="5"/>
      <c r="D811" s="5" t="s">
        <v>248</v>
      </c>
      <c r="E811" s="132">
        <f t="shared" si="487"/>
        <v>290.51</v>
      </c>
      <c r="F811" s="139">
        <f>$O$816-P811*($O$816-$O$799)</f>
        <v>283.3</v>
      </c>
      <c r="G811" s="149"/>
      <c r="H811" s="82" t="str">
        <f t="shared" si="411"/>
        <v>0 percent up in Artinskian international stage</v>
      </c>
      <c r="I811" s="142" t="str">
        <f t="shared" si="412"/>
        <v>100 percent up in Artinskian international stage</v>
      </c>
      <c r="J811" s="7">
        <v>0</v>
      </c>
      <c r="K811" s="129">
        <f t="shared" si="413"/>
        <v>0</v>
      </c>
      <c r="L811" s="8" t="s">
        <v>115</v>
      </c>
      <c r="M811" s="5" t="s">
        <v>82</v>
      </c>
      <c r="N811" s="5" t="s">
        <v>82</v>
      </c>
      <c r="O811" s="83"/>
      <c r="P811" s="20">
        <v>1</v>
      </c>
      <c r="Q811" s="143">
        <f t="shared" si="414"/>
        <v>100</v>
      </c>
      <c r="R811" s="21" t="s">
        <v>115</v>
      </c>
      <c r="S811" s="8" t="s">
        <v>232</v>
      </c>
      <c r="T811" s="7" t="s">
        <v>226</v>
      </c>
    </row>
    <row r="812" spans="1:20" ht="56">
      <c r="A812" s="101"/>
      <c r="B812" s="155" t="s">
        <v>1658</v>
      </c>
      <c r="C812" s="5"/>
      <c r="D812" s="5"/>
      <c r="E812" s="132">
        <f t="shared" ref="E812:E815" si="499">$O$816-J812*($O$816-$O$799)</f>
        <v>290.51</v>
      </c>
      <c r="F812" s="139">
        <f>$O$799-P812*($O$799-$O$785)</f>
        <v>274.37</v>
      </c>
      <c r="G812" s="149" t="s">
        <v>1661</v>
      </c>
      <c r="H812" s="82" t="str">
        <f t="shared" ref="H812:H815" si="500">CONCATENATE(K812," percent up in ",L812," international stage")</f>
        <v>0 percent up in Artinskian international stage</v>
      </c>
      <c r="I812" s="142" t="str">
        <f t="shared" ref="I812:I815" si="501">CONCATENATE(Q812," percent up in ",R812," international stage")</f>
        <v>100 percent up in Kungurian international stage</v>
      </c>
      <c r="J812" s="7">
        <v>0</v>
      </c>
      <c r="K812" s="129">
        <f t="shared" ref="K812:K815" si="502">ROUND(J812*100,1)</f>
        <v>0</v>
      </c>
      <c r="L812" s="8" t="s">
        <v>115</v>
      </c>
      <c r="M812" s="5" t="s">
        <v>82</v>
      </c>
      <c r="N812" s="5" t="s">
        <v>82</v>
      </c>
      <c r="O812" s="83"/>
      <c r="P812" s="20">
        <v>1</v>
      </c>
      <c r="Q812" s="143">
        <f t="shared" ref="Q812:Q815" si="503">ROUND(P812*100,1)</f>
        <v>100</v>
      </c>
      <c r="R812" s="21" t="s">
        <v>114</v>
      </c>
      <c r="S812" s="151" t="s">
        <v>1661</v>
      </c>
    </row>
    <row r="813" spans="1:20" ht="28">
      <c r="A813" s="101"/>
      <c r="B813" s="155" t="s">
        <v>1864</v>
      </c>
      <c r="C813" s="5"/>
      <c r="D813" s="5"/>
      <c r="E813" s="132">
        <f t="shared" si="499"/>
        <v>285.75139999999999</v>
      </c>
      <c r="F813" s="139">
        <f>$O$816-P813*($O$816-$O$799)</f>
        <v>283.3</v>
      </c>
      <c r="G813" s="149" t="s">
        <v>1667</v>
      </c>
      <c r="H813" s="82" t="str">
        <f t="shared" si="500"/>
        <v>66 percent up in Artinskian international stage</v>
      </c>
      <c r="I813" s="142" t="str">
        <f t="shared" si="501"/>
        <v>100 percent up in Artinskian international stage</v>
      </c>
      <c r="J813" s="7">
        <v>0.66</v>
      </c>
      <c r="K813" s="129">
        <f t="shared" si="502"/>
        <v>66</v>
      </c>
      <c r="L813" s="8" t="s">
        <v>115</v>
      </c>
      <c r="M813" s="5" t="s">
        <v>82</v>
      </c>
      <c r="N813" s="5" t="s">
        <v>82</v>
      </c>
      <c r="O813" s="83"/>
      <c r="P813" s="20">
        <v>1</v>
      </c>
      <c r="Q813" s="143">
        <f t="shared" si="503"/>
        <v>100</v>
      </c>
      <c r="R813" s="21" t="s">
        <v>115</v>
      </c>
      <c r="S813" s="151" t="s">
        <v>1667</v>
      </c>
    </row>
    <row r="814" spans="1:20" ht="28">
      <c r="A814" s="101"/>
      <c r="B814" s="155" t="s">
        <v>1865</v>
      </c>
      <c r="C814" s="5"/>
      <c r="D814" s="5"/>
      <c r="E814" s="132">
        <f t="shared" si="499"/>
        <v>288.13069999999999</v>
      </c>
      <c r="F814" s="139">
        <f>$O$816-P814*($O$816-$O$799)</f>
        <v>285.75139999999999</v>
      </c>
      <c r="G814" s="149" t="s">
        <v>1668</v>
      </c>
      <c r="H814" s="82" t="str">
        <f t="shared" si="500"/>
        <v>33 percent up in Artinskian international stage</v>
      </c>
      <c r="I814" s="142" t="str">
        <f t="shared" si="501"/>
        <v>66 percent up in Artinskian international stage</v>
      </c>
      <c r="J814" s="7">
        <v>0.33</v>
      </c>
      <c r="K814" s="129">
        <f t="shared" si="502"/>
        <v>33</v>
      </c>
      <c r="L814" s="8" t="s">
        <v>115</v>
      </c>
      <c r="M814" s="5" t="s">
        <v>82</v>
      </c>
      <c r="N814" s="5" t="s">
        <v>82</v>
      </c>
      <c r="O814" s="83"/>
      <c r="P814" s="20">
        <v>0.66</v>
      </c>
      <c r="Q814" s="143">
        <f t="shared" si="503"/>
        <v>66</v>
      </c>
      <c r="R814" s="21" t="s">
        <v>115</v>
      </c>
      <c r="S814" s="151" t="s">
        <v>1668</v>
      </c>
    </row>
    <row r="815" spans="1:20" ht="28">
      <c r="A815" s="101"/>
      <c r="B815" s="155" t="s">
        <v>1666</v>
      </c>
      <c r="C815" s="5"/>
      <c r="D815" s="5"/>
      <c r="E815" s="132">
        <f t="shared" si="499"/>
        <v>290.51</v>
      </c>
      <c r="F815" s="139">
        <f>$O$816-P815*($O$816-$O$799)</f>
        <v>288.13069999999999</v>
      </c>
      <c r="G815" s="149" t="s">
        <v>1669</v>
      </c>
      <c r="H815" s="82" t="str">
        <f t="shared" si="500"/>
        <v>0 percent up in Artinskian international stage</v>
      </c>
      <c r="I815" s="142" t="str">
        <f t="shared" si="501"/>
        <v>33 percent up in Artinskian international stage</v>
      </c>
      <c r="J815" s="7">
        <v>0</v>
      </c>
      <c r="K815" s="129">
        <f t="shared" si="502"/>
        <v>0</v>
      </c>
      <c r="L815" s="8" t="s">
        <v>115</v>
      </c>
      <c r="M815" s="5" t="s">
        <v>82</v>
      </c>
      <c r="N815" s="5" t="s">
        <v>82</v>
      </c>
      <c r="O815" s="83"/>
      <c r="P815" s="20">
        <v>0.33</v>
      </c>
      <c r="Q815" s="143">
        <f t="shared" si="503"/>
        <v>33</v>
      </c>
      <c r="R815" s="21" t="s">
        <v>115</v>
      </c>
      <c r="S815" s="151" t="s">
        <v>1669</v>
      </c>
    </row>
    <row r="816" spans="1:20" ht="28">
      <c r="A816" s="101" t="s">
        <v>881</v>
      </c>
      <c r="B816" s="154" t="s">
        <v>115</v>
      </c>
      <c r="C816" s="135"/>
      <c r="D816" s="135" t="s">
        <v>222</v>
      </c>
      <c r="E816" s="132">
        <f>$O$816-J816*($O$816-$O$799)</f>
        <v>290.51</v>
      </c>
      <c r="F816" s="139">
        <f>$O$816-P816*($O$816-$O$799)</f>
        <v>283.3</v>
      </c>
      <c r="G816" s="149"/>
      <c r="H816" s="82" t="str">
        <f t="shared" si="411"/>
        <v>0 percent up in Artinskian international stage</v>
      </c>
      <c r="I816" s="142" t="str">
        <f t="shared" si="412"/>
        <v>100 percent up in Artinskian international stage</v>
      </c>
      <c r="J816" s="7">
        <v>0</v>
      </c>
      <c r="K816" s="129">
        <f t="shared" si="413"/>
        <v>0</v>
      </c>
      <c r="L816" s="8" t="s">
        <v>115</v>
      </c>
      <c r="M816" s="5" t="s">
        <v>224</v>
      </c>
      <c r="N816" s="5" t="s">
        <v>937</v>
      </c>
      <c r="O816" s="84">
        <f>Master_Chronostrat!I109</f>
        <v>290.51</v>
      </c>
      <c r="P816" s="20">
        <v>1</v>
      </c>
      <c r="Q816" s="143">
        <f t="shared" si="414"/>
        <v>100</v>
      </c>
      <c r="R816" s="21" t="s">
        <v>115</v>
      </c>
      <c r="S816" s="8" t="s">
        <v>224</v>
      </c>
      <c r="T816" s="7" t="s">
        <v>226</v>
      </c>
    </row>
    <row r="817" spans="1:20" ht="28">
      <c r="A817" s="101" t="s">
        <v>881</v>
      </c>
      <c r="B817" s="154" t="s">
        <v>938</v>
      </c>
      <c r="C817" s="5"/>
      <c r="D817" s="5" t="s">
        <v>236</v>
      </c>
      <c r="E817" s="132">
        <f t="shared" ref="E817:E824" si="504">$O$824-J817*($O$824-$O$816)</f>
        <v>291.86745098039216</v>
      </c>
      <c r="F817" s="139">
        <f>$O$816-P817*($O$816-$O$799)</f>
        <v>285.26636363636362</v>
      </c>
      <c r="G817" s="149"/>
      <c r="H817" s="82" t="str">
        <f t="shared" si="411"/>
        <v>54.9 percent up in Sakmarian international stage</v>
      </c>
      <c r="I817" s="142" t="str">
        <f t="shared" si="412"/>
        <v>72.7 percent up in Artinskian international stage</v>
      </c>
      <c r="J817" s="7">
        <v>0.54901960784313708</v>
      </c>
      <c r="K817" s="129">
        <f t="shared" si="413"/>
        <v>54.9</v>
      </c>
      <c r="L817" s="8" t="s">
        <v>116</v>
      </c>
      <c r="M817" s="5" t="s">
        <v>82</v>
      </c>
      <c r="N817" s="5" t="s">
        <v>82</v>
      </c>
      <c r="O817" s="83"/>
      <c r="P817" s="20">
        <v>0.7272727272727284</v>
      </c>
      <c r="Q817" s="143">
        <f t="shared" si="414"/>
        <v>72.7</v>
      </c>
      <c r="R817" s="21" t="s">
        <v>115</v>
      </c>
      <c r="S817" s="8" t="s">
        <v>246</v>
      </c>
      <c r="T817" s="7" t="s">
        <v>226</v>
      </c>
    </row>
    <row r="818" spans="1:20" ht="28">
      <c r="A818" s="101" t="s">
        <v>881</v>
      </c>
      <c r="B818" s="155" t="s">
        <v>939</v>
      </c>
      <c r="C818" s="5"/>
      <c r="D818" s="5" t="s">
        <v>244</v>
      </c>
      <c r="E818" s="132">
        <f t="shared" si="504"/>
        <v>293.52</v>
      </c>
      <c r="F818" s="139">
        <f>$O$799-P818*($O$799-$O$785)</f>
        <v>277.49549999999999</v>
      </c>
      <c r="G818" s="149" t="s">
        <v>2087</v>
      </c>
      <c r="H818" s="82" t="str">
        <f t="shared" si="411"/>
        <v>0 percent up in Sakmarian international stage</v>
      </c>
      <c r="I818" s="142" t="str">
        <f t="shared" si="412"/>
        <v>65 percent up in Kungurian international stage</v>
      </c>
      <c r="J818" s="7">
        <v>0</v>
      </c>
      <c r="K818" s="129">
        <f t="shared" si="413"/>
        <v>0</v>
      </c>
      <c r="L818" s="8" t="s">
        <v>116</v>
      </c>
      <c r="M818" s="5" t="s">
        <v>82</v>
      </c>
      <c r="N818" s="5" t="s">
        <v>82</v>
      </c>
      <c r="O818" s="83"/>
      <c r="P818" s="20">
        <v>0.65</v>
      </c>
      <c r="Q818" s="143">
        <f t="shared" si="414"/>
        <v>65</v>
      </c>
      <c r="R818" s="21" t="s">
        <v>114</v>
      </c>
      <c r="S818" s="8" t="s">
        <v>232</v>
      </c>
      <c r="T818" s="7" t="s">
        <v>226</v>
      </c>
    </row>
    <row r="819" spans="1:20" ht="28">
      <c r="A819" s="101" t="s">
        <v>881</v>
      </c>
      <c r="B819" s="157" t="s">
        <v>940</v>
      </c>
      <c r="C819" s="5"/>
      <c r="D819" s="5" t="s">
        <v>82</v>
      </c>
      <c r="E819" s="132">
        <f t="shared" si="504"/>
        <v>293.52</v>
      </c>
      <c r="F819" s="139">
        <f>$O$799-P819*($O$799-$O$785)</f>
        <v>274.37</v>
      </c>
      <c r="G819" s="149"/>
      <c r="H819" s="82" t="str">
        <f t="shared" si="411"/>
        <v>0 percent up in Sakmarian international stage</v>
      </c>
      <c r="I819" s="142" t="str">
        <f t="shared" si="412"/>
        <v>100 percent up in Kungurian international stage</v>
      </c>
      <c r="J819" s="7">
        <v>0</v>
      </c>
      <c r="K819" s="129">
        <f t="shared" si="413"/>
        <v>0</v>
      </c>
      <c r="L819" s="8" t="s">
        <v>116</v>
      </c>
      <c r="M819" s="5" t="s">
        <v>82</v>
      </c>
      <c r="N819" s="5" t="s">
        <v>82</v>
      </c>
      <c r="O819" s="83"/>
      <c r="P819" s="20">
        <v>1</v>
      </c>
      <c r="Q819" s="143">
        <f t="shared" si="414"/>
        <v>100</v>
      </c>
      <c r="R819" s="21" t="s">
        <v>114</v>
      </c>
      <c r="S819" s="8" t="s">
        <v>232</v>
      </c>
      <c r="T819" s="7" t="s">
        <v>226</v>
      </c>
    </row>
    <row r="820" spans="1:20" ht="28">
      <c r="A820" s="101" t="s">
        <v>881</v>
      </c>
      <c r="B820" s="154" t="s">
        <v>941</v>
      </c>
      <c r="C820" s="5"/>
      <c r="D820" s="5" t="s">
        <v>2076</v>
      </c>
      <c r="E820" s="132">
        <f t="shared" si="504"/>
        <v>291.714</v>
      </c>
      <c r="F820" s="139">
        <f>$O$824-P820*($O$824-$O$816)</f>
        <v>290.51</v>
      </c>
      <c r="G820" s="149" t="s">
        <v>2083</v>
      </c>
      <c r="H820" s="82" t="str">
        <f t="shared" si="411"/>
        <v>60 percent up in Sakmarian international stage</v>
      </c>
      <c r="I820" s="142" t="str">
        <f t="shared" si="412"/>
        <v>100 percent up in Sakmarian international stage</v>
      </c>
      <c r="J820" s="7">
        <v>0.6</v>
      </c>
      <c r="K820" s="129">
        <f t="shared" si="413"/>
        <v>60</v>
      </c>
      <c r="L820" s="8" t="s">
        <v>116</v>
      </c>
      <c r="M820" s="5" t="s">
        <v>82</v>
      </c>
      <c r="N820" s="5" t="s">
        <v>82</v>
      </c>
      <c r="O820" s="83"/>
      <c r="P820" s="20">
        <v>1</v>
      </c>
      <c r="Q820" s="143">
        <f t="shared" si="414"/>
        <v>100</v>
      </c>
      <c r="R820" s="21" t="s">
        <v>116</v>
      </c>
      <c r="S820" s="8" t="s">
        <v>232</v>
      </c>
      <c r="T820" s="7" t="s">
        <v>226</v>
      </c>
    </row>
    <row r="821" spans="1:20" ht="28">
      <c r="A821" s="101" t="s">
        <v>881</v>
      </c>
      <c r="B821" s="154" t="s">
        <v>942</v>
      </c>
      <c r="C821" s="5"/>
      <c r="D821" s="5" t="s">
        <v>2076</v>
      </c>
      <c r="E821" s="132">
        <f t="shared" si="504"/>
        <v>293.52</v>
      </c>
      <c r="F821" s="139">
        <f>$O$824-P821*($O$824-$O$816)</f>
        <v>291.714</v>
      </c>
      <c r="G821" s="149" t="s">
        <v>2084</v>
      </c>
      <c r="H821" s="82" t="str">
        <f t="shared" si="411"/>
        <v>0 percent up in Sakmarian international stage</v>
      </c>
      <c r="I821" s="142" t="str">
        <f t="shared" si="412"/>
        <v>60 percent up in Sakmarian international stage</v>
      </c>
      <c r="J821" s="7">
        <v>0</v>
      </c>
      <c r="K821" s="129">
        <f t="shared" si="413"/>
        <v>0</v>
      </c>
      <c r="L821" s="8" t="s">
        <v>116</v>
      </c>
      <c r="M821" s="5" t="s">
        <v>82</v>
      </c>
      <c r="N821" s="5" t="s">
        <v>82</v>
      </c>
      <c r="O821" s="83"/>
      <c r="P821" s="20">
        <v>0.6</v>
      </c>
      <c r="Q821" s="143">
        <f t="shared" si="414"/>
        <v>60</v>
      </c>
      <c r="R821" s="21" t="s">
        <v>116</v>
      </c>
      <c r="S821" s="8" t="s">
        <v>232</v>
      </c>
      <c r="T821" s="7" t="s">
        <v>226</v>
      </c>
    </row>
    <row r="822" spans="1:20" ht="28">
      <c r="A822" s="101"/>
      <c r="B822" s="154" t="s">
        <v>1664</v>
      </c>
      <c r="C822" s="5"/>
      <c r="D822" s="5"/>
      <c r="E822" s="132">
        <f t="shared" ref="E822:E823" si="505">$O$824-J822*($O$824-$O$816)</f>
        <v>292.01499999999999</v>
      </c>
      <c r="F822" s="139">
        <f>$O$824-P822*($O$824-$O$816)</f>
        <v>290.51</v>
      </c>
      <c r="G822" s="149" t="s">
        <v>1601</v>
      </c>
      <c r="H822" s="82" t="str">
        <f t="shared" ref="H822:H823" si="506">CONCATENATE(K822," percent up in ",L822," international stage")</f>
        <v>50 percent up in Sakmarian international stage</v>
      </c>
      <c r="I822" s="142" t="str">
        <f t="shared" ref="I822:I823" si="507">CONCATENATE(Q822," percent up in ",R822," international stage")</f>
        <v>100 percent up in Sakmarian international stage</v>
      </c>
      <c r="J822" s="7">
        <v>0.5</v>
      </c>
      <c r="K822" s="129">
        <f t="shared" ref="K822:K823" si="508">ROUND(J822*100,1)</f>
        <v>50</v>
      </c>
      <c r="L822" s="8" t="s">
        <v>116</v>
      </c>
      <c r="M822" s="5" t="s">
        <v>82</v>
      </c>
      <c r="N822" s="5" t="s">
        <v>82</v>
      </c>
      <c r="O822" s="83"/>
      <c r="P822" s="20">
        <v>1</v>
      </c>
      <c r="Q822" s="143">
        <f t="shared" ref="Q822:Q823" si="509">ROUND(P822*100,1)</f>
        <v>100</v>
      </c>
      <c r="R822" s="21" t="s">
        <v>116</v>
      </c>
      <c r="S822" s="151" t="s">
        <v>1601</v>
      </c>
    </row>
    <row r="823" spans="1:20" ht="28">
      <c r="A823" s="101"/>
      <c r="B823" s="154" t="s">
        <v>1665</v>
      </c>
      <c r="C823" s="5"/>
      <c r="D823" s="5"/>
      <c r="E823" s="132">
        <f t="shared" si="505"/>
        <v>293.52</v>
      </c>
      <c r="F823" s="139">
        <f>$O$824-P823*($O$824-$O$816)</f>
        <v>292.01499999999999</v>
      </c>
      <c r="G823" s="149" t="s">
        <v>2081</v>
      </c>
      <c r="H823" s="82" t="str">
        <f t="shared" si="506"/>
        <v>0 percent up in Sakmarian international stage</v>
      </c>
      <c r="I823" s="142" t="str">
        <f t="shared" si="507"/>
        <v>50 percent up in Sakmarian international stage</v>
      </c>
      <c r="J823" s="7">
        <v>0</v>
      </c>
      <c r="K823" s="129">
        <f t="shared" si="508"/>
        <v>0</v>
      </c>
      <c r="L823" s="8" t="s">
        <v>116</v>
      </c>
      <c r="M823" s="5" t="s">
        <v>82</v>
      </c>
      <c r="N823" s="5" t="s">
        <v>82</v>
      </c>
      <c r="O823" s="83"/>
      <c r="P823" s="20">
        <v>0.5</v>
      </c>
      <c r="Q823" s="143">
        <f t="shared" si="509"/>
        <v>50</v>
      </c>
      <c r="R823" s="21" t="s">
        <v>116</v>
      </c>
      <c r="S823" s="151" t="s">
        <v>1602</v>
      </c>
    </row>
    <row r="824" spans="1:20" ht="28">
      <c r="A824" s="101" t="s">
        <v>881</v>
      </c>
      <c r="B824" s="154" t="s">
        <v>116</v>
      </c>
      <c r="C824" s="135"/>
      <c r="D824" s="135" t="s">
        <v>222</v>
      </c>
      <c r="E824" s="132">
        <f t="shared" si="504"/>
        <v>293.52</v>
      </c>
      <c r="F824" s="139">
        <f>$O$824-P824*($O$824-$O$816)</f>
        <v>290.51</v>
      </c>
      <c r="G824" s="149"/>
      <c r="H824" s="82" t="str">
        <f t="shared" si="411"/>
        <v>0 percent up in Sakmarian international stage</v>
      </c>
      <c r="I824" s="142" t="str">
        <f t="shared" si="412"/>
        <v>100 percent up in Sakmarian international stage</v>
      </c>
      <c r="J824" s="7">
        <v>0</v>
      </c>
      <c r="K824" s="129">
        <f t="shared" si="413"/>
        <v>0</v>
      </c>
      <c r="L824" s="8" t="s">
        <v>116</v>
      </c>
      <c r="M824" s="5" t="s">
        <v>224</v>
      </c>
      <c r="N824" s="5" t="s">
        <v>943</v>
      </c>
      <c r="O824" s="84">
        <f>Master_Chronostrat!I110</f>
        <v>293.52</v>
      </c>
      <c r="P824" s="20">
        <v>1</v>
      </c>
      <c r="Q824" s="143">
        <f t="shared" si="414"/>
        <v>100</v>
      </c>
      <c r="R824" s="21" t="s">
        <v>116</v>
      </c>
      <c r="S824" s="8" t="s">
        <v>224</v>
      </c>
      <c r="T824" s="7" t="s">
        <v>226</v>
      </c>
    </row>
    <row r="825" spans="1:20" ht="28">
      <c r="A825" s="101" t="s">
        <v>881</v>
      </c>
      <c r="B825" s="155" t="s">
        <v>944</v>
      </c>
      <c r="C825" s="5"/>
      <c r="D825" s="5" t="s">
        <v>244</v>
      </c>
      <c r="E825" s="132">
        <f t="shared" ref="E825:E843" si="510">$O$843-J825*($O$843-$O$824)</f>
        <v>298.2797727272727</v>
      </c>
      <c r="F825" s="139">
        <f>$O$843-P825*($O$843-$O$824)</f>
        <v>293.52</v>
      </c>
      <c r="G825" s="149"/>
      <c r="H825" s="82" t="str">
        <f t="shared" si="411"/>
        <v>11.4 percent up in Asselian international stage</v>
      </c>
      <c r="I825" s="142" t="str">
        <f t="shared" si="412"/>
        <v>100 percent up in Asselian international stage</v>
      </c>
      <c r="J825" s="7">
        <v>0.1136363636363642</v>
      </c>
      <c r="K825" s="129">
        <f t="shared" si="413"/>
        <v>11.4</v>
      </c>
      <c r="L825" s="8" t="s">
        <v>119</v>
      </c>
      <c r="M825" s="5" t="s">
        <v>82</v>
      </c>
      <c r="N825" s="5" t="s">
        <v>82</v>
      </c>
      <c r="O825" s="83"/>
      <c r="P825" s="20">
        <v>1</v>
      </c>
      <c r="Q825" s="143">
        <f t="shared" si="414"/>
        <v>100</v>
      </c>
      <c r="R825" s="21" t="s">
        <v>119</v>
      </c>
      <c r="S825" s="8" t="s">
        <v>272</v>
      </c>
      <c r="T825" s="7" t="s">
        <v>226</v>
      </c>
    </row>
    <row r="826" spans="1:20" ht="28">
      <c r="A826" s="101" t="s">
        <v>881</v>
      </c>
      <c r="B826" s="154" t="s">
        <v>945</v>
      </c>
      <c r="C826" s="5"/>
      <c r="D826" s="5" t="s">
        <v>82</v>
      </c>
      <c r="E826" s="132">
        <f t="shared" si="510"/>
        <v>298.89</v>
      </c>
      <c r="F826" s="139">
        <f>$O$843-P826*($O$843-$O$824)</f>
        <v>293.52</v>
      </c>
      <c r="G826" s="149"/>
      <c r="H826" s="82" t="str">
        <f t="shared" si="411"/>
        <v>0 percent up in Asselian international stage</v>
      </c>
      <c r="I826" s="142" t="str">
        <f t="shared" si="412"/>
        <v>100 percent up in Asselian international stage</v>
      </c>
      <c r="J826" s="7">
        <v>0</v>
      </c>
      <c r="K826" s="129">
        <f t="shared" si="413"/>
        <v>0</v>
      </c>
      <c r="L826" s="8" t="s">
        <v>119</v>
      </c>
      <c r="M826" s="5" t="s">
        <v>82</v>
      </c>
      <c r="N826" s="5" t="s">
        <v>82</v>
      </c>
      <c r="O826" s="83"/>
      <c r="P826" s="20">
        <v>1</v>
      </c>
      <c r="Q826" s="143">
        <f t="shared" si="414"/>
        <v>100</v>
      </c>
      <c r="R826" s="21" t="s">
        <v>119</v>
      </c>
      <c r="S826" s="8" t="s">
        <v>232</v>
      </c>
      <c r="T826" s="7" t="s">
        <v>226</v>
      </c>
    </row>
    <row r="827" spans="1:20" ht="28">
      <c r="A827" s="101" t="s">
        <v>881</v>
      </c>
      <c r="B827" s="155" t="s">
        <v>946</v>
      </c>
      <c r="C827" s="5"/>
      <c r="D827" s="5" t="s">
        <v>248</v>
      </c>
      <c r="E827" s="132">
        <f t="shared" si="510"/>
        <v>298.89</v>
      </c>
      <c r="F827" s="139">
        <f>$O$816-P827*($O$816-$O$799)</f>
        <v>283.3</v>
      </c>
      <c r="G827" s="149"/>
      <c r="H827" s="82" t="str">
        <f t="shared" si="411"/>
        <v>0 percent up in Asselian international stage</v>
      </c>
      <c r="I827" s="142" t="str">
        <f t="shared" si="412"/>
        <v>100 percent up in Artinskian international stage</v>
      </c>
      <c r="J827" s="7">
        <v>0</v>
      </c>
      <c r="K827" s="129">
        <f t="shared" si="413"/>
        <v>0</v>
      </c>
      <c r="L827" s="8" t="s">
        <v>119</v>
      </c>
      <c r="M827" s="5" t="s">
        <v>82</v>
      </c>
      <c r="N827" s="5" t="s">
        <v>82</v>
      </c>
      <c r="O827" s="83"/>
      <c r="P827" s="20">
        <v>1</v>
      </c>
      <c r="Q827" s="143">
        <f t="shared" si="414"/>
        <v>100</v>
      </c>
      <c r="R827" s="21" t="s">
        <v>115</v>
      </c>
      <c r="S827" s="8" t="s">
        <v>232</v>
      </c>
      <c r="T827" s="7" t="s">
        <v>226</v>
      </c>
    </row>
    <row r="828" spans="1:20" ht="28">
      <c r="A828" s="101" t="s">
        <v>881</v>
      </c>
      <c r="B828" s="155" t="s">
        <v>947</v>
      </c>
      <c r="C828" s="5"/>
      <c r="D828" s="5" t="s">
        <v>248</v>
      </c>
      <c r="E828" s="132">
        <f t="shared" si="510"/>
        <v>298.89</v>
      </c>
      <c r="F828" s="139">
        <f>$O$824-P828*($O$824-$O$816)</f>
        <v>290.51</v>
      </c>
      <c r="G828" s="149"/>
      <c r="H828" s="82" t="str">
        <f t="shared" si="411"/>
        <v>0 percent up in Asselian international stage</v>
      </c>
      <c r="I828" s="142" t="str">
        <f t="shared" si="412"/>
        <v>100 percent up in Sakmarian international stage</v>
      </c>
      <c r="J828" s="7">
        <v>0</v>
      </c>
      <c r="K828" s="129">
        <f t="shared" si="413"/>
        <v>0</v>
      </c>
      <c r="L828" s="8" t="s">
        <v>119</v>
      </c>
      <c r="M828" s="5" t="s">
        <v>82</v>
      </c>
      <c r="N828" s="5" t="s">
        <v>82</v>
      </c>
      <c r="O828" s="83"/>
      <c r="P828" s="20">
        <v>1</v>
      </c>
      <c r="Q828" s="143">
        <f t="shared" si="414"/>
        <v>100</v>
      </c>
      <c r="R828" s="21" t="s">
        <v>116</v>
      </c>
      <c r="S828" s="8" t="s">
        <v>232</v>
      </c>
      <c r="T828" s="7" t="s">
        <v>226</v>
      </c>
    </row>
    <row r="829" spans="1:20" ht="28">
      <c r="A829" s="101" t="s">
        <v>881</v>
      </c>
      <c r="B829" s="154" t="s">
        <v>948</v>
      </c>
      <c r="C829" s="5"/>
      <c r="D829" s="5" t="s">
        <v>82</v>
      </c>
      <c r="E829" s="132">
        <f t="shared" si="510"/>
        <v>298.89</v>
      </c>
      <c r="F829" s="139">
        <f>$O$843-P829*($O$843-$O$824)</f>
        <v>293.52</v>
      </c>
      <c r="G829" s="149"/>
      <c r="H829" s="82" t="str">
        <f t="shared" si="411"/>
        <v>0 percent up in Asselian international stage</v>
      </c>
      <c r="I829" s="142" t="str">
        <f t="shared" si="412"/>
        <v>100 percent up in Asselian international stage</v>
      </c>
      <c r="J829" s="7">
        <v>0</v>
      </c>
      <c r="K829" s="129">
        <f t="shared" si="413"/>
        <v>0</v>
      </c>
      <c r="L829" s="8" t="s">
        <v>119</v>
      </c>
      <c r="M829" s="5" t="s">
        <v>82</v>
      </c>
      <c r="N829" s="5" t="s">
        <v>82</v>
      </c>
      <c r="O829" s="83"/>
      <c r="P829" s="20">
        <v>1</v>
      </c>
      <c r="Q829" s="143">
        <f t="shared" si="414"/>
        <v>100</v>
      </c>
      <c r="R829" s="21" t="s">
        <v>119</v>
      </c>
      <c r="S829" s="8" t="s">
        <v>232</v>
      </c>
      <c r="T829" s="7" t="s">
        <v>226</v>
      </c>
    </row>
    <row r="830" spans="1:20" ht="56">
      <c r="A830" s="101"/>
      <c r="B830" s="154" t="s">
        <v>1662</v>
      </c>
      <c r="C830" s="5"/>
      <c r="D830" s="5"/>
      <c r="E830" s="132">
        <f t="shared" si="510"/>
        <v>298.89</v>
      </c>
      <c r="F830" s="139">
        <f>$O$824-P830*($O$824-$O$816)</f>
        <v>290.51</v>
      </c>
      <c r="G830" s="149" t="s">
        <v>1663</v>
      </c>
      <c r="H830" s="82" t="str">
        <f t="shared" ref="H830" si="511">CONCATENATE(K830," percent up in ",L830," international stage")</f>
        <v>0 percent up in Asselian international stage</v>
      </c>
      <c r="I830" s="142" t="str">
        <f t="shared" ref="I830" si="512">CONCATENATE(Q830," percent up in ",R830," international stage")</f>
        <v>100 percent up in Sakmarian international stage</v>
      </c>
      <c r="J830" s="7">
        <v>0</v>
      </c>
      <c r="K830" s="129">
        <f t="shared" ref="K830" si="513">ROUND(J830*100,1)</f>
        <v>0</v>
      </c>
      <c r="L830" s="8" t="s">
        <v>119</v>
      </c>
      <c r="M830" s="5" t="s">
        <v>82</v>
      </c>
      <c r="N830" s="5" t="s">
        <v>82</v>
      </c>
      <c r="O830" s="83"/>
      <c r="P830" s="20">
        <v>1</v>
      </c>
      <c r="Q830" s="143">
        <f t="shared" ref="Q830" si="514">ROUND(P830*100,1)</f>
        <v>100</v>
      </c>
      <c r="R830" s="21" t="s">
        <v>116</v>
      </c>
      <c r="S830" s="151" t="s">
        <v>1663</v>
      </c>
    </row>
    <row r="831" spans="1:20" ht="29" thickBot="1">
      <c r="A831" s="101" t="s">
        <v>881</v>
      </c>
      <c r="B831" s="154" t="s">
        <v>949</v>
      </c>
      <c r="C831" s="5"/>
      <c r="D831" s="5" t="s">
        <v>82</v>
      </c>
      <c r="E831" s="132">
        <f t="shared" si="510"/>
        <v>298.89</v>
      </c>
      <c r="F831" s="139">
        <f>$O$799-P831*($O$799-$O$785)</f>
        <v>274.37</v>
      </c>
      <c r="G831" s="149"/>
      <c r="H831" s="82" t="str">
        <f t="shared" si="411"/>
        <v>0 percent up in Asselian international stage</v>
      </c>
      <c r="I831" s="142" t="str">
        <f t="shared" si="412"/>
        <v>100 percent up in Kungurian international stage</v>
      </c>
      <c r="J831" s="7">
        <v>0</v>
      </c>
      <c r="K831" s="129">
        <f t="shared" si="413"/>
        <v>0</v>
      </c>
      <c r="L831" s="8" t="s">
        <v>119</v>
      </c>
      <c r="M831" s="5" t="s">
        <v>82</v>
      </c>
      <c r="N831" s="5" t="s">
        <v>82</v>
      </c>
      <c r="O831" s="83"/>
      <c r="P831" s="20">
        <v>1</v>
      </c>
      <c r="Q831" s="143">
        <f t="shared" si="414"/>
        <v>100</v>
      </c>
      <c r="R831" s="21" t="s">
        <v>114</v>
      </c>
      <c r="S831" s="8" t="s">
        <v>232</v>
      </c>
      <c r="T831" s="7" t="s">
        <v>226</v>
      </c>
    </row>
    <row r="832" spans="1:20" ht="28">
      <c r="A832" s="101"/>
      <c r="B832" s="182" t="s">
        <v>2110</v>
      </c>
      <c r="C832" s="5"/>
      <c r="D832" s="5" t="s">
        <v>264</v>
      </c>
      <c r="E832" s="132">
        <f t="shared" ref="E832" si="515">$O$843-J832*($O$843-$O$824)</f>
        <v>298.89</v>
      </c>
      <c r="F832" s="139">
        <f>$O$760-P832*($O$760-$O$752)</f>
        <v>259.54700000000003</v>
      </c>
      <c r="G832" s="149"/>
      <c r="H832" s="82" t="str">
        <f t="shared" ref="H832" si="516">CONCATENATE(K832," percent up in ",L832," international stage")</f>
        <v>0 percent up in Asselian international stage</v>
      </c>
      <c r="I832" s="142" t="str">
        <f t="shared" ref="I832" si="517">CONCATENATE(Q832," percent up in ",R832," international stage")</f>
        <v>100 percent up in Capitanian international stage</v>
      </c>
      <c r="J832" s="7">
        <v>0</v>
      </c>
      <c r="K832" s="129">
        <f t="shared" ref="K832" si="518">ROUND(J832*100,1)</f>
        <v>0</v>
      </c>
      <c r="L832" s="8" t="s">
        <v>119</v>
      </c>
      <c r="M832" s="5" t="s">
        <v>82</v>
      </c>
      <c r="N832" s="5" t="s">
        <v>82</v>
      </c>
      <c r="O832" s="83"/>
      <c r="P832" s="20">
        <v>1</v>
      </c>
      <c r="Q832" s="143">
        <f t="shared" ref="Q832" si="519">ROUND(P832*100,1)</f>
        <v>100</v>
      </c>
      <c r="R832" s="21" t="s">
        <v>110</v>
      </c>
      <c r="S832" s="8" t="s">
        <v>232</v>
      </c>
    </row>
    <row r="833" spans="1:20" ht="39">
      <c r="A833" s="101" t="s">
        <v>881</v>
      </c>
      <c r="B833" s="183" t="s">
        <v>950</v>
      </c>
      <c r="C833" s="5"/>
      <c r="D833" s="185" t="s">
        <v>2111</v>
      </c>
      <c r="E833" s="132">
        <f t="shared" si="510"/>
        <v>298.89</v>
      </c>
      <c r="F833" s="139">
        <f>$O$760-P833*($O$760-$O$752)</f>
        <v>259.54700000000003</v>
      </c>
      <c r="G833" s="149"/>
      <c r="H833" s="82" t="str">
        <f t="shared" si="411"/>
        <v>0 percent up in Asselian international stage</v>
      </c>
      <c r="I833" s="142" t="str">
        <f t="shared" si="412"/>
        <v>100 percent up in Capitanian international stage</v>
      </c>
      <c r="J833" s="7">
        <v>0</v>
      </c>
      <c r="K833" s="129">
        <f t="shared" si="413"/>
        <v>0</v>
      </c>
      <c r="L833" s="8" t="s">
        <v>119</v>
      </c>
      <c r="M833" s="5" t="s">
        <v>82</v>
      </c>
      <c r="N833" s="5" t="s">
        <v>82</v>
      </c>
      <c r="O833" s="83"/>
      <c r="P833" s="20">
        <v>1</v>
      </c>
      <c r="Q833" s="143">
        <f t="shared" si="414"/>
        <v>100</v>
      </c>
      <c r="R833" s="21" t="s">
        <v>110</v>
      </c>
      <c r="S833" s="8" t="s">
        <v>232</v>
      </c>
      <c r="T833" s="7" t="s">
        <v>226</v>
      </c>
    </row>
    <row r="834" spans="1:20" ht="29" thickBot="1">
      <c r="A834" s="101"/>
      <c r="B834" s="184" t="s">
        <v>2109</v>
      </c>
      <c r="C834" s="5"/>
      <c r="D834" s="5"/>
      <c r="E834" s="132">
        <f t="shared" ref="E834" si="520">$O$843-J834*($O$843-$O$824)</f>
        <v>298.89</v>
      </c>
      <c r="F834" s="139">
        <f>$O$760-P834*($O$760-$O$752)</f>
        <v>259.54700000000003</v>
      </c>
      <c r="G834" s="149"/>
      <c r="H834" s="82" t="str">
        <f t="shared" ref="H834" si="521">CONCATENATE(K834," percent up in ",L834," international stage")</f>
        <v>0 percent up in Asselian international stage</v>
      </c>
      <c r="I834" s="142" t="str">
        <f t="shared" ref="I834" si="522">CONCATENATE(Q834," percent up in ",R834," international stage")</f>
        <v>100 percent up in Capitanian international stage</v>
      </c>
      <c r="J834" s="7">
        <v>0</v>
      </c>
      <c r="K834" s="129">
        <f t="shared" ref="K834" si="523">ROUND(J834*100,1)</f>
        <v>0</v>
      </c>
      <c r="L834" s="8" t="s">
        <v>119</v>
      </c>
      <c r="M834" s="5" t="s">
        <v>82</v>
      </c>
      <c r="N834" s="5" t="s">
        <v>82</v>
      </c>
      <c r="O834" s="83"/>
      <c r="P834" s="20">
        <v>1</v>
      </c>
      <c r="Q834" s="143">
        <f t="shared" ref="Q834" si="524">ROUND(P834*100,1)</f>
        <v>100</v>
      </c>
      <c r="R834" s="21" t="s">
        <v>110</v>
      </c>
      <c r="S834" s="8" t="s">
        <v>232</v>
      </c>
    </row>
    <row r="835" spans="1:20" ht="28">
      <c r="A835" s="101" t="s">
        <v>881</v>
      </c>
      <c r="B835" s="154" t="s">
        <v>951</v>
      </c>
      <c r="C835" s="5"/>
      <c r="D835" s="5" t="s">
        <v>82</v>
      </c>
      <c r="E835" s="132">
        <f t="shared" si="510"/>
        <v>298.89</v>
      </c>
      <c r="F835" s="139">
        <f>$O$843-P835*($O$843-$O$824)</f>
        <v>293.52</v>
      </c>
      <c r="G835" s="149"/>
      <c r="H835" s="82" t="str">
        <f t="shared" si="411"/>
        <v>0 percent up in Asselian international stage</v>
      </c>
      <c r="I835" s="142" t="str">
        <f t="shared" si="412"/>
        <v>100 percent up in Asselian international stage</v>
      </c>
      <c r="J835" s="7">
        <v>0</v>
      </c>
      <c r="K835" s="129">
        <f t="shared" si="413"/>
        <v>0</v>
      </c>
      <c r="L835" s="8" t="s">
        <v>119</v>
      </c>
      <c r="M835" s="5" t="s">
        <v>82</v>
      </c>
      <c r="N835" s="5" t="s">
        <v>82</v>
      </c>
      <c r="O835" s="83"/>
      <c r="P835" s="20">
        <v>1</v>
      </c>
      <c r="Q835" s="143">
        <f t="shared" si="414"/>
        <v>100</v>
      </c>
      <c r="R835" s="21" t="s">
        <v>119</v>
      </c>
      <c r="S835" s="8" t="s">
        <v>232</v>
      </c>
      <c r="T835" s="7" t="s">
        <v>226</v>
      </c>
    </row>
    <row r="836" spans="1:20" ht="28">
      <c r="A836" s="101"/>
      <c r="B836" s="154" t="s">
        <v>2078</v>
      </c>
      <c r="C836" s="5"/>
      <c r="D836" s="5" t="s">
        <v>2076</v>
      </c>
      <c r="E836" s="132">
        <f t="shared" si="510"/>
        <v>294.59399999999999</v>
      </c>
      <c r="F836" s="139">
        <f>$O$843-P836*($O$843-$O$824)</f>
        <v>293.52</v>
      </c>
      <c r="G836" s="149" t="s">
        <v>2082</v>
      </c>
      <c r="H836" s="82" t="str">
        <f t="shared" ref="H836:H837" si="525">CONCATENATE(K836," percent up in ",L836," international stage")</f>
        <v>80 percent up in Asselian international stage</v>
      </c>
      <c r="I836" s="142" t="str">
        <f t="shared" ref="I836:I837" si="526">CONCATENATE(Q836," percent up in ",R836," international stage")</f>
        <v>100 percent up in Asselian international stage</v>
      </c>
      <c r="J836" s="7">
        <v>0.8</v>
      </c>
      <c r="K836" s="129">
        <f t="shared" ref="K836:K837" si="527">ROUND(J836*100,1)</f>
        <v>80</v>
      </c>
      <c r="L836" s="8" t="s">
        <v>119</v>
      </c>
      <c r="M836" s="5" t="s">
        <v>82</v>
      </c>
      <c r="N836" s="5" t="s">
        <v>82</v>
      </c>
      <c r="O836" s="83"/>
      <c r="P836" s="20">
        <v>1</v>
      </c>
      <c r="Q836" s="143">
        <f t="shared" ref="Q836:Q837" si="528">ROUND(P836*100,1)</f>
        <v>100</v>
      </c>
      <c r="R836" s="21" t="s">
        <v>119</v>
      </c>
      <c r="S836" s="8"/>
    </row>
    <row r="837" spans="1:20" ht="28">
      <c r="A837" s="101"/>
      <c r="B837" s="154" t="s">
        <v>952</v>
      </c>
      <c r="C837" s="5"/>
      <c r="D837" s="5" t="s">
        <v>2076</v>
      </c>
      <c r="E837" s="132">
        <f t="shared" si="510"/>
        <v>297.54750000000001</v>
      </c>
      <c r="F837" s="139">
        <f>$O$843-P837*($O$843-$O$824)</f>
        <v>294.59399999999999</v>
      </c>
      <c r="G837" s="149" t="s">
        <v>2080</v>
      </c>
      <c r="H837" s="82" t="str">
        <f t="shared" si="525"/>
        <v>25 percent up in Asselian international stage</v>
      </c>
      <c r="I837" s="142" t="str">
        <f t="shared" si="526"/>
        <v>80 percent up in Asselian international stage</v>
      </c>
      <c r="J837" s="7">
        <v>0.25</v>
      </c>
      <c r="K837" s="129">
        <f t="shared" si="527"/>
        <v>25</v>
      </c>
      <c r="L837" s="8" t="s">
        <v>119</v>
      </c>
      <c r="M837" s="5" t="s">
        <v>82</v>
      </c>
      <c r="N837" s="5" t="s">
        <v>82</v>
      </c>
      <c r="O837" s="83"/>
      <c r="P837" s="20">
        <v>0.8</v>
      </c>
      <c r="Q837" s="143">
        <f t="shared" si="528"/>
        <v>80</v>
      </c>
      <c r="R837" s="21" t="s">
        <v>119</v>
      </c>
      <c r="S837" s="8"/>
    </row>
    <row r="838" spans="1:20" ht="28">
      <c r="A838" s="101" t="s">
        <v>881</v>
      </c>
      <c r="B838" s="154" t="s">
        <v>2077</v>
      </c>
      <c r="C838" s="5"/>
      <c r="D838" s="5" t="s">
        <v>2076</v>
      </c>
      <c r="E838" s="132">
        <f t="shared" si="510"/>
        <v>298.89</v>
      </c>
      <c r="F838" s="139">
        <f>$O$843-P838*($O$843-$O$824)</f>
        <v>297.54750000000001</v>
      </c>
      <c r="G838" s="149" t="s">
        <v>2079</v>
      </c>
      <c r="H838" s="82" t="str">
        <f t="shared" si="411"/>
        <v>0 percent up in Asselian international stage</v>
      </c>
      <c r="I838" s="142" t="str">
        <f t="shared" si="412"/>
        <v>25 percent up in Asselian international stage</v>
      </c>
      <c r="J838" s="7">
        <v>0</v>
      </c>
      <c r="K838" s="129">
        <f t="shared" si="413"/>
        <v>0</v>
      </c>
      <c r="L838" s="8" t="s">
        <v>119</v>
      </c>
      <c r="M838" s="5" t="s">
        <v>82</v>
      </c>
      <c r="N838" s="5" t="s">
        <v>82</v>
      </c>
      <c r="O838" s="83"/>
      <c r="P838" s="20">
        <v>0.25</v>
      </c>
      <c r="Q838" s="143">
        <f t="shared" si="414"/>
        <v>25</v>
      </c>
      <c r="R838" s="21" t="s">
        <v>119</v>
      </c>
      <c r="S838" s="8"/>
      <c r="T838" s="7" t="s">
        <v>226</v>
      </c>
    </row>
    <row r="839" spans="1:20" ht="28">
      <c r="A839" s="101" t="s">
        <v>881</v>
      </c>
      <c r="B839" s="154" t="s">
        <v>953</v>
      </c>
      <c r="C839" s="5"/>
      <c r="D839" s="5" t="s">
        <v>244</v>
      </c>
      <c r="E839" s="132">
        <f t="shared" si="510"/>
        <v>298.89</v>
      </c>
      <c r="F839" s="139">
        <f>$O$816-P839*($O$816-$O$799)</f>
        <v>286.90499999999997</v>
      </c>
      <c r="G839" s="149"/>
      <c r="H839" s="82" t="str">
        <f t="shared" si="411"/>
        <v>0 percent up in Asselian international stage</v>
      </c>
      <c r="I839" s="142" t="str">
        <f t="shared" si="412"/>
        <v>50 percent up in Artinskian international stage</v>
      </c>
      <c r="J839" s="7">
        <v>0</v>
      </c>
      <c r="K839" s="129">
        <f t="shared" si="413"/>
        <v>0</v>
      </c>
      <c r="L839" s="8" t="s">
        <v>119</v>
      </c>
      <c r="M839" s="5" t="s">
        <v>82</v>
      </c>
      <c r="N839" s="5" t="s">
        <v>82</v>
      </c>
      <c r="O839" s="83"/>
      <c r="P839" s="20">
        <v>0.5</v>
      </c>
      <c r="Q839" s="143">
        <f t="shared" si="414"/>
        <v>50</v>
      </c>
      <c r="R839" s="21" t="s">
        <v>115</v>
      </c>
      <c r="S839" s="8" t="s">
        <v>246</v>
      </c>
      <c r="T839" s="7" t="s">
        <v>226</v>
      </c>
    </row>
    <row r="840" spans="1:20" ht="28">
      <c r="A840" s="101" t="s">
        <v>881</v>
      </c>
      <c r="B840" s="154" t="s">
        <v>954</v>
      </c>
      <c r="C840" s="5"/>
      <c r="D840" s="5" t="s">
        <v>248</v>
      </c>
      <c r="E840" s="132">
        <f t="shared" si="510"/>
        <v>298.89</v>
      </c>
      <c r="F840" s="139">
        <f>$O$799-P840*($O$799-$O$785)</f>
        <v>274.37</v>
      </c>
      <c r="G840" s="149"/>
      <c r="H840" s="82" t="str">
        <f t="shared" si="411"/>
        <v>0 percent up in Asselian international stage</v>
      </c>
      <c r="I840" s="142" t="str">
        <f t="shared" si="412"/>
        <v>100 percent up in Kungurian international stage</v>
      </c>
      <c r="J840" s="7">
        <v>0</v>
      </c>
      <c r="K840" s="129">
        <f t="shared" si="413"/>
        <v>0</v>
      </c>
      <c r="L840" s="8" t="s">
        <v>119</v>
      </c>
      <c r="M840" s="5" t="s">
        <v>82</v>
      </c>
      <c r="N840" s="5" t="s">
        <v>82</v>
      </c>
      <c r="O840" s="83"/>
      <c r="P840" s="20">
        <v>1</v>
      </c>
      <c r="Q840" s="143">
        <f t="shared" si="414"/>
        <v>100</v>
      </c>
      <c r="R840" s="21" t="s">
        <v>114</v>
      </c>
      <c r="S840" s="8" t="s">
        <v>232</v>
      </c>
      <c r="T840" s="7" t="s">
        <v>226</v>
      </c>
    </row>
    <row r="841" spans="1:20" ht="28">
      <c r="A841" s="101" t="s">
        <v>881</v>
      </c>
      <c r="B841" s="154" t="s">
        <v>119</v>
      </c>
      <c r="C841" s="135"/>
      <c r="D841" s="135" t="s">
        <v>222</v>
      </c>
      <c r="E841" s="132">
        <f t="shared" si="510"/>
        <v>298.89</v>
      </c>
      <c r="F841" s="139">
        <f>$O$843-P841*($O$843-$O$824)</f>
        <v>293.52</v>
      </c>
      <c r="G841" s="149"/>
      <c r="H841" s="82" t="str">
        <f t="shared" si="411"/>
        <v>0 percent up in Asselian international stage</v>
      </c>
      <c r="I841" s="142" t="str">
        <f t="shared" si="412"/>
        <v>100 percent up in Asselian international stage</v>
      </c>
      <c r="J841" s="7">
        <v>0</v>
      </c>
      <c r="K841" s="129">
        <f t="shared" si="413"/>
        <v>0</v>
      </c>
      <c r="L841" s="8" t="s">
        <v>119</v>
      </c>
      <c r="M841" s="5" t="s">
        <v>224</v>
      </c>
      <c r="N841" s="5" t="s">
        <v>955</v>
      </c>
      <c r="O841" s="84">
        <f>Master_Chronostrat!I111</f>
        <v>298.89</v>
      </c>
      <c r="P841" s="20">
        <v>1</v>
      </c>
      <c r="Q841" s="143">
        <f t="shared" si="414"/>
        <v>100</v>
      </c>
      <c r="R841" s="21" t="s">
        <v>119</v>
      </c>
      <c r="S841" s="8" t="s">
        <v>224</v>
      </c>
      <c r="T841" s="7" t="s">
        <v>226</v>
      </c>
    </row>
    <row r="842" spans="1:20" ht="28">
      <c r="A842" s="101" t="s">
        <v>881</v>
      </c>
      <c r="B842" s="154" t="s">
        <v>118</v>
      </c>
      <c r="C842" s="135"/>
      <c r="D842" s="135" t="s">
        <v>222</v>
      </c>
      <c r="E842" s="132">
        <f t="shared" si="510"/>
        <v>298.89</v>
      </c>
      <c r="F842" s="139">
        <f>$O$799-P842*($O$799-$O$785)</f>
        <v>274.37</v>
      </c>
      <c r="G842" s="149"/>
      <c r="H842" s="82" t="str">
        <f t="shared" si="411"/>
        <v>0 percent up in Asselian international stage</v>
      </c>
      <c r="I842" s="142" t="str">
        <f t="shared" si="412"/>
        <v>100 percent up in Kungurian international stage</v>
      </c>
      <c r="J842" s="7">
        <v>0</v>
      </c>
      <c r="K842" s="129">
        <f t="shared" si="413"/>
        <v>0</v>
      </c>
      <c r="L842" s="8" t="s">
        <v>119</v>
      </c>
      <c r="M842" s="5" t="s">
        <v>224</v>
      </c>
      <c r="N842" s="5" t="s">
        <v>956</v>
      </c>
      <c r="O842" s="84">
        <f>Master_Chronostrat!I111</f>
        <v>298.89</v>
      </c>
      <c r="P842" s="20">
        <v>1</v>
      </c>
      <c r="Q842" s="143">
        <f t="shared" si="414"/>
        <v>100</v>
      </c>
      <c r="R842" s="21" t="s">
        <v>114</v>
      </c>
      <c r="S842" s="8" t="s">
        <v>239</v>
      </c>
      <c r="T842" s="7" t="s">
        <v>226</v>
      </c>
    </row>
    <row r="843" spans="1:20" ht="42">
      <c r="A843" s="101" t="s">
        <v>881</v>
      </c>
      <c r="B843" s="154" t="s">
        <v>117</v>
      </c>
      <c r="C843" s="135"/>
      <c r="D843" s="135" t="s">
        <v>222</v>
      </c>
      <c r="E843" s="132">
        <f t="shared" si="510"/>
        <v>298.89</v>
      </c>
      <c r="F843" s="139">
        <f>$O$733-P843*($O$733-$O$724)</f>
        <v>251.9</v>
      </c>
      <c r="G843" s="149"/>
      <c r="H843" s="82" t="str">
        <f t="shared" si="411"/>
        <v>0 percent up in Asselian international stage</v>
      </c>
      <c r="I843" s="142" t="str">
        <f t="shared" si="412"/>
        <v>100 percent up in Changhsingian international stage</v>
      </c>
      <c r="J843" s="7">
        <v>0</v>
      </c>
      <c r="K843" s="129">
        <f t="shared" si="413"/>
        <v>0</v>
      </c>
      <c r="L843" s="8" t="s">
        <v>119</v>
      </c>
      <c r="M843" s="5" t="s">
        <v>224</v>
      </c>
      <c r="N843" s="5" t="s">
        <v>957</v>
      </c>
      <c r="O843" s="84">
        <f>Master_Chronostrat!I111</f>
        <v>298.89</v>
      </c>
      <c r="P843" s="20">
        <v>1</v>
      </c>
      <c r="Q843" s="143">
        <f t="shared" si="414"/>
        <v>100</v>
      </c>
      <c r="R843" s="21" t="s">
        <v>107</v>
      </c>
      <c r="S843" s="8" t="s">
        <v>239</v>
      </c>
      <c r="T843" s="7" t="s">
        <v>226</v>
      </c>
    </row>
    <row r="844" spans="1:20" ht="28">
      <c r="A844" s="106" t="s">
        <v>958</v>
      </c>
      <c r="B844" s="102" t="s">
        <v>959</v>
      </c>
      <c r="C844" s="5"/>
      <c r="D844" s="5" t="s">
        <v>888</v>
      </c>
      <c r="E844" s="132">
        <f t="shared" ref="E844:E855" si="529">$O$855-J844*($O$855-$O$843)</f>
        <v>299.76050909090907</v>
      </c>
      <c r="F844" s="139">
        <f t="shared" ref="F844:F855" si="530">$O$855-P844*($O$855-$O$843)</f>
        <v>298.89</v>
      </c>
      <c r="G844" s="149"/>
      <c r="H844" s="82" t="str">
        <f t="shared" si="411"/>
        <v>81.8 percent up in Gzhelian international stage</v>
      </c>
      <c r="I844" s="142" t="str">
        <f t="shared" si="412"/>
        <v>100 percent up in Gzhelian international stage</v>
      </c>
      <c r="J844" s="7">
        <v>0.81818181818182034</v>
      </c>
      <c r="K844" s="129">
        <f t="shared" si="413"/>
        <v>81.8</v>
      </c>
      <c r="L844" s="8" t="s">
        <v>120</v>
      </c>
      <c r="M844" s="5" t="s">
        <v>82</v>
      </c>
      <c r="N844" s="5" t="s">
        <v>82</v>
      </c>
      <c r="O844" s="83"/>
      <c r="P844" s="20">
        <v>1</v>
      </c>
      <c r="Q844" s="143">
        <f t="shared" si="414"/>
        <v>100</v>
      </c>
      <c r="R844" s="21" t="s">
        <v>120</v>
      </c>
      <c r="S844" s="8" t="s">
        <v>272</v>
      </c>
      <c r="T844" s="7" t="s">
        <v>226</v>
      </c>
    </row>
    <row r="845" spans="1:20" ht="28">
      <c r="A845" s="106" t="s">
        <v>958</v>
      </c>
      <c r="B845" s="102" t="s">
        <v>960</v>
      </c>
      <c r="C845" s="5"/>
      <c r="D845" s="5" t="s">
        <v>961</v>
      </c>
      <c r="E845" s="132">
        <f t="shared" si="529"/>
        <v>300.35565306122447</v>
      </c>
      <c r="F845" s="139">
        <f t="shared" si="530"/>
        <v>298.89</v>
      </c>
      <c r="G845" s="149"/>
      <c r="H845" s="82" t="str">
        <f t="shared" si="411"/>
        <v>69.4 percent up in Gzhelian international stage</v>
      </c>
      <c r="I845" s="142" t="str">
        <f t="shared" si="412"/>
        <v>100 percent up in Gzhelian international stage</v>
      </c>
      <c r="J845" s="7">
        <v>0.69387755102040671</v>
      </c>
      <c r="K845" s="129">
        <f t="shared" si="413"/>
        <v>69.400000000000006</v>
      </c>
      <c r="L845" s="8" t="s">
        <v>120</v>
      </c>
      <c r="M845" s="5" t="s">
        <v>82</v>
      </c>
      <c r="N845" s="5" t="s">
        <v>82</v>
      </c>
      <c r="O845" s="83"/>
      <c r="P845" s="20">
        <v>1</v>
      </c>
      <c r="Q845" s="143">
        <f t="shared" si="414"/>
        <v>100</v>
      </c>
      <c r="R845" s="21" t="s">
        <v>120</v>
      </c>
      <c r="S845" s="8" t="s">
        <v>272</v>
      </c>
      <c r="T845" s="7" t="s">
        <v>226</v>
      </c>
    </row>
    <row r="846" spans="1:20" ht="28">
      <c r="A846" s="106" t="s">
        <v>958</v>
      </c>
      <c r="B846" s="103" t="s">
        <v>962</v>
      </c>
      <c r="C846" s="5"/>
      <c r="D846" s="5" t="s">
        <v>82</v>
      </c>
      <c r="E846" s="132">
        <f t="shared" si="529"/>
        <v>301.28390000000002</v>
      </c>
      <c r="F846" s="139">
        <f t="shared" si="530"/>
        <v>298.89</v>
      </c>
      <c r="G846" s="149"/>
      <c r="H846" s="82" t="str">
        <f t="shared" si="411"/>
        <v>50 percent up in Gzhelian international stage</v>
      </c>
      <c r="I846" s="142" t="str">
        <f t="shared" si="412"/>
        <v>100 percent up in Gzhelian international stage</v>
      </c>
      <c r="J846" s="7">
        <v>0.5</v>
      </c>
      <c r="K846" s="129">
        <f t="shared" si="413"/>
        <v>50</v>
      </c>
      <c r="L846" s="8" t="s">
        <v>120</v>
      </c>
      <c r="M846" s="5" t="s">
        <v>82</v>
      </c>
      <c r="N846" s="5" t="s">
        <v>82</v>
      </c>
      <c r="O846" s="83"/>
      <c r="P846" s="20">
        <v>1</v>
      </c>
      <c r="Q846" s="143">
        <f t="shared" si="414"/>
        <v>100</v>
      </c>
      <c r="R846" s="21" t="s">
        <v>120</v>
      </c>
      <c r="S846" s="8" t="s">
        <v>272</v>
      </c>
      <c r="T846" s="7" t="s">
        <v>226</v>
      </c>
    </row>
    <row r="847" spans="1:20" ht="28">
      <c r="A847" s="106" t="s">
        <v>958</v>
      </c>
      <c r="B847" s="102" t="s">
        <v>963</v>
      </c>
      <c r="C847" s="5"/>
      <c r="D847" s="5" t="s">
        <v>888</v>
      </c>
      <c r="E847" s="132">
        <f t="shared" si="529"/>
        <v>301.61034090909095</v>
      </c>
      <c r="F847" s="139">
        <f t="shared" si="530"/>
        <v>298.89</v>
      </c>
      <c r="G847" s="149"/>
      <c r="H847" s="82" t="str">
        <f t="shared" si="411"/>
        <v>43.2 percent up in Gzhelian international stage</v>
      </c>
      <c r="I847" s="142" t="str">
        <f t="shared" si="412"/>
        <v>100 percent up in Gzhelian international stage</v>
      </c>
      <c r="J847" s="7">
        <v>0.43181818181817389</v>
      </c>
      <c r="K847" s="129">
        <f t="shared" si="413"/>
        <v>43.2</v>
      </c>
      <c r="L847" s="8" t="s">
        <v>120</v>
      </c>
      <c r="M847" s="5" t="s">
        <v>82</v>
      </c>
      <c r="N847" s="5" t="s">
        <v>82</v>
      </c>
      <c r="O847" s="83"/>
      <c r="P847" s="20">
        <v>1</v>
      </c>
      <c r="Q847" s="143">
        <f t="shared" si="414"/>
        <v>100</v>
      </c>
      <c r="R847" s="21" t="s">
        <v>120</v>
      </c>
      <c r="S847" s="8" t="s">
        <v>272</v>
      </c>
      <c r="T847" s="7" t="s">
        <v>226</v>
      </c>
    </row>
    <row r="848" spans="1:20" ht="28">
      <c r="A848" s="106" t="s">
        <v>958</v>
      </c>
      <c r="B848" s="103" t="s">
        <v>964</v>
      </c>
      <c r="C848" s="5"/>
      <c r="D848" s="5" t="s">
        <v>888</v>
      </c>
      <c r="E848" s="132">
        <f t="shared" si="529"/>
        <v>302.91610454545457</v>
      </c>
      <c r="F848" s="139">
        <f t="shared" si="530"/>
        <v>301.61034090909095</v>
      </c>
      <c r="G848" s="149"/>
      <c r="H848" s="82" t="str">
        <f t="shared" si="411"/>
        <v>15.9 percent up in Gzhelian international stage</v>
      </c>
      <c r="I848" s="142" t="str">
        <f t="shared" si="412"/>
        <v>43.2 percent up in Gzhelian international stage</v>
      </c>
      <c r="J848" s="7">
        <v>0.1590909090909044</v>
      </c>
      <c r="K848" s="129">
        <f t="shared" si="413"/>
        <v>15.9</v>
      </c>
      <c r="L848" s="8" t="s">
        <v>120</v>
      </c>
      <c r="M848" s="5" t="s">
        <v>82</v>
      </c>
      <c r="N848" s="5" t="s">
        <v>82</v>
      </c>
      <c r="O848" s="83"/>
      <c r="P848" s="20">
        <v>0.43181818181817389</v>
      </c>
      <c r="Q848" s="143">
        <f t="shared" si="414"/>
        <v>43.2</v>
      </c>
      <c r="R848" s="21" t="s">
        <v>120</v>
      </c>
      <c r="S848" s="8" t="s">
        <v>259</v>
      </c>
      <c r="T848" s="7">
        <v>0.27272727272727271</v>
      </c>
    </row>
    <row r="849" spans="1:20" ht="28">
      <c r="A849" s="106" t="s">
        <v>958</v>
      </c>
      <c r="B849" s="102" t="s">
        <v>965</v>
      </c>
      <c r="C849" s="5"/>
      <c r="D849" s="5" t="s">
        <v>82</v>
      </c>
      <c r="E849" s="132">
        <f t="shared" si="529"/>
        <v>303.67779999999999</v>
      </c>
      <c r="F849" s="139">
        <f t="shared" si="530"/>
        <v>298.89</v>
      </c>
      <c r="G849" s="149" t="s">
        <v>1645</v>
      </c>
      <c r="H849" s="82" t="str">
        <f t="shared" si="411"/>
        <v>0 percent up in Gzhelian international stage</v>
      </c>
      <c r="I849" s="142" t="str">
        <f t="shared" si="412"/>
        <v>100 percent up in Gzhelian international stage</v>
      </c>
      <c r="J849" s="7">
        <v>0</v>
      </c>
      <c r="K849" s="129">
        <f t="shared" si="413"/>
        <v>0</v>
      </c>
      <c r="L849" s="8" t="s">
        <v>120</v>
      </c>
      <c r="M849" s="5" t="s">
        <v>82</v>
      </c>
      <c r="N849" s="5" t="s">
        <v>82</v>
      </c>
      <c r="O849" s="83"/>
      <c r="P849" s="20">
        <v>1</v>
      </c>
      <c r="Q849" s="143">
        <f t="shared" si="414"/>
        <v>100</v>
      </c>
      <c r="R849" s="21" t="s">
        <v>120</v>
      </c>
      <c r="S849" s="8" t="s">
        <v>232</v>
      </c>
      <c r="T849" s="7" t="s">
        <v>226</v>
      </c>
    </row>
    <row r="850" spans="1:20" ht="28">
      <c r="A850" s="106" t="s">
        <v>958</v>
      </c>
      <c r="B850" s="102" t="s">
        <v>966</v>
      </c>
      <c r="C850" s="5"/>
      <c r="D850" s="5" t="s">
        <v>961</v>
      </c>
      <c r="E850" s="132">
        <f t="shared" si="529"/>
        <v>303.67779999999999</v>
      </c>
      <c r="F850" s="139">
        <f t="shared" si="530"/>
        <v>300.35565306122447</v>
      </c>
      <c r="G850" s="149"/>
      <c r="H850" s="82" t="str">
        <f t="shared" ref="H850:H929" si="531">CONCATENATE(K850," percent up in ",L850," international stage")</f>
        <v>0 percent up in Gzhelian international stage</v>
      </c>
      <c r="I850" s="142" t="str">
        <f t="shared" ref="I850:I929" si="532">CONCATENATE(Q850," percent up in ",R850," international stage")</f>
        <v>69.4 percent up in Gzhelian international stage</v>
      </c>
      <c r="J850" s="7">
        <v>0</v>
      </c>
      <c r="K850" s="129">
        <f t="shared" ref="K850:K929" si="533">ROUND(J850*100,1)</f>
        <v>0</v>
      </c>
      <c r="L850" s="8" t="s">
        <v>120</v>
      </c>
      <c r="M850" s="5" t="s">
        <v>82</v>
      </c>
      <c r="N850" s="5" t="s">
        <v>82</v>
      </c>
      <c r="O850" s="83"/>
      <c r="P850" s="20">
        <v>0.69387755102040671</v>
      </c>
      <c r="Q850" s="143">
        <f t="shared" ref="Q850:Q929" si="534">ROUND(P850*100,1)</f>
        <v>69.400000000000006</v>
      </c>
      <c r="R850" s="21" t="s">
        <v>120</v>
      </c>
      <c r="S850" s="8" t="s">
        <v>230</v>
      </c>
      <c r="T850" s="7" t="s">
        <v>226</v>
      </c>
    </row>
    <row r="851" spans="1:20" ht="28">
      <c r="A851" s="106" t="s">
        <v>958</v>
      </c>
      <c r="B851" s="102" t="s">
        <v>967</v>
      </c>
      <c r="C851" s="5"/>
      <c r="D851" s="5" t="s">
        <v>888</v>
      </c>
      <c r="E851" s="132">
        <f t="shared" si="529"/>
        <v>303.67779999999999</v>
      </c>
      <c r="F851" s="139">
        <f t="shared" si="530"/>
        <v>302.91610454545457</v>
      </c>
      <c r="G851" s="149"/>
      <c r="H851" s="82" t="str">
        <f t="shared" si="531"/>
        <v>0 percent up in Gzhelian international stage</v>
      </c>
      <c r="I851" s="142" t="str">
        <f t="shared" si="532"/>
        <v>15.9 percent up in Gzhelian international stage</v>
      </c>
      <c r="J851" s="7">
        <v>0</v>
      </c>
      <c r="K851" s="129">
        <f t="shared" si="533"/>
        <v>0</v>
      </c>
      <c r="L851" s="8" t="s">
        <v>120</v>
      </c>
      <c r="M851" s="5" t="s">
        <v>82</v>
      </c>
      <c r="N851" s="5" t="s">
        <v>82</v>
      </c>
      <c r="O851" s="83"/>
      <c r="P851" s="20">
        <v>0.15909090909090434</v>
      </c>
      <c r="Q851" s="143">
        <f t="shared" si="534"/>
        <v>15.9</v>
      </c>
      <c r="R851" s="21" t="s">
        <v>120</v>
      </c>
      <c r="S851" s="8" t="s">
        <v>230</v>
      </c>
      <c r="T851" s="7" t="s">
        <v>226</v>
      </c>
    </row>
    <row r="852" spans="1:20" ht="28">
      <c r="A852" s="106" t="s">
        <v>958</v>
      </c>
      <c r="B852" s="103" t="s">
        <v>968</v>
      </c>
      <c r="C852" s="5"/>
      <c r="D852" s="5" t="s">
        <v>82</v>
      </c>
      <c r="E852" s="132">
        <f t="shared" si="529"/>
        <v>303.67779999999999</v>
      </c>
      <c r="F852" s="139">
        <f t="shared" si="530"/>
        <v>301.28390000000002</v>
      </c>
      <c r="G852" s="149"/>
      <c r="H852" s="82" t="str">
        <f t="shared" si="531"/>
        <v>0 percent up in Gzhelian international stage</v>
      </c>
      <c r="I852" s="142" t="str">
        <f t="shared" si="532"/>
        <v>50 percent up in Gzhelian international stage</v>
      </c>
      <c r="J852" s="7">
        <v>0</v>
      </c>
      <c r="K852" s="129">
        <f t="shared" si="533"/>
        <v>0</v>
      </c>
      <c r="L852" s="8" t="s">
        <v>120</v>
      </c>
      <c r="M852" s="5" t="s">
        <v>82</v>
      </c>
      <c r="N852" s="5" t="s">
        <v>82</v>
      </c>
      <c r="O852" s="83"/>
      <c r="P852" s="20">
        <v>0.5</v>
      </c>
      <c r="Q852" s="143">
        <f t="shared" si="534"/>
        <v>50</v>
      </c>
      <c r="R852" s="21" t="s">
        <v>120</v>
      </c>
      <c r="S852" s="8" t="s">
        <v>230</v>
      </c>
      <c r="T852" s="7" t="s">
        <v>226</v>
      </c>
    </row>
    <row r="853" spans="1:20" ht="28">
      <c r="A853" s="106"/>
      <c r="B853" s="103" t="s">
        <v>1672</v>
      </c>
      <c r="C853" s="5"/>
      <c r="D853" s="5"/>
      <c r="E853" s="132">
        <f t="shared" ref="E853:E854" si="535">$O$855-J853*($O$855-$O$843)</f>
        <v>301.28390000000002</v>
      </c>
      <c r="F853" s="139">
        <f t="shared" ref="F853:F854" si="536">$O$855-P853*($O$855-$O$843)</f>
        <v>298.89</v>
      </c>
      <c r="G853" s="149" t="s">
        <v>1601</v>
      </c>
      <c r="H853" s="82" t="str">
        <f t="shared" ref="H853:H854" si="537">CONCATENATE(K853," percent up in ",L853," international stage")</f>
        <v>50 percent up in Gzhelian international stage</v>
      </c>
      <c r="I853" s="142" t="str">
        <f t="shared" ref="I853:I854" si="538">CONCATENATE(Q853," percent up in ",R853," international stage")</f>
        <v>100 percent up in Gzhelian international stage</v>
      </c>
      <c r="J853" s="7">
        <v>0.5</v>
      </c>
      <c r="K853" s="129">
        <f t="shared" ref="K853:K854" si="539">ROUND(J853*100,1)</f>
        <v>50</v>
      </c>
      <c r="L853" s="8" t="s">
        <v>120</v>
      </c>
      <c r="M853" s="5" t="s">
        <v>82</v>
      </c>
      <c r="N853" s="5" t="s">
        <v>82</v>
      </c>
      <c r="O853" s="83"/>
      <c r="P853" s="20">
        <v>1</v>
      </c>
      <c r="Q853" s="143">
        <f t="shared" ref="Q853:Q854" si="540">ROUND(P853*100,1)</f>
        <v>100</v>
      </c>
      <c r="R853" s="21" t="s">
        <v>120</v>
      </c>
      <c r="S853" s="151" t="s">
        <v>1601</v>
      </c>
    </row>
    <row r="854" spans="1:20" ht="28">
      <c r="A854" s="106"/>
      <c r="B854" s="103" t="s">
        <v>1673</v>
      </c>
      <c r="C854" s="5"/>
      <c r="D854" s="5"/>
      <c r="E854" s="132">
        <f t="shared" si="535"/>
        <v>303.67779999999999</v>
      </c>
      <c r="F854" s="139">
        <f t="shared" si="536"/>
        <v>301.28390000000002</v>
      </c>
      <c r="G854" s="149" t="s">
        <v>1602</v>
      </c>
      <c r="H854" s="82" t="str">
        <f t="shared" si="537"/>
        <v>0 percent up in Gzhelian international stage</v>
      </c>
      <c r="I854" s="142" t="str">
        <f t="shared" si="538"/>
        <v>50 percent up in Gzhelian international stage</v>
      </c>
      <c r="J854" s="7">
        <v>0</v>
      </c>
      <c r="K854" s="129">
        <f t="shared" si="539"/>
        <v>0</v>
      </c>
      <c r="L854" s="8" t="s">
        <v>120</v>
      </c>
      <c r="M854" s="5" t="s">
        <v>82</v>
      </c>
      <c r="N854" s="5" t="s">
        <v>82</v>
      </c>
      <c r="O854" s="83"/>
      <c r="P854" s="20">
        <v>0.5</v>
      </c>
      <c r="Q854" s="143">
        <f t="shared" si="540"/>
        <v>50</v>
      </c>
      <c r="R854" s="21" t="s">
        <v>120</v>
      </c>
      <c r="S854" s="151" t="s">
        <v>1602</v>
      </c>
    </row>
    <row r="855" spans="1:20" ht="28">
      <c r="A855" s="106" t="s">
        <v>958</v>
      </c>
      <c r="B855" s="102" t="s">
        <v>120</v>
      </c>
      <c r="C855" s="135"/>
      <c r="D855" s="135" t="s">
        <v>222</v>
      </c>
      <c r="E855" s="132">
        <f t="shared" si="529"/>
        <v>303.67779999999999</v>
      </c>
      <c r="F855" s="139">
        <f t="shared" si="530"/>
        <v>298.89</v>
      </c>
      <c r="G855" s="149"/>
      <c r="H855" s="82" t="str">
        <f t="shared" si="531"/>
        <v>0 percent up in Gzhelian international stage</v>
      </c>
      <c r="I855" s="142" t="str">
        <f t="shared" si="532"/>
        <v>100 percent up in Gzhelian international stage</v>
      </c>
      <c r="J855" s="7">
        <v>0</v>
      </c>
      <c r="K855" s="129">
        <f t="shared" si="533"/>
        <v>0</v>
      </c>
      <c r="L855" s="8" t="s">
        <v>120</v>
      </c>
      <c r="M855" s="5" t="s">
        <v>224</v>
      </c>
      <c r="N855" s="5" t="s">
        <v>969</v>
      </c>
      <c r="O855" s="84">
        <f>Master_Chronostrat!I112</f>
        <v>303.67779999999999</v>
      </c>
      <c r="P855" s="20">
        <v>1</v>
      </c>
      <c r="Q855" s="143">
        <f t="shared" si="534"/>
        <v>100</v>
      </c>
      <c r="R855" s="21" t="s">
        <v>120</v>
      </c>
      <c r="S855" s="8" t="s">
        <v>224</v>
      </c>
      <c r="T855" s="7" t="s">
        <v>226</v>
      </c>
    </row>
    <row r="856" spans="1:20" ht="28">
      <c r="A856" s="106" t="s">
        <v>958</v>
      </c>
      <c r="B856" s="102" t="s">
        <v>970</v>
      </c>
      <c r="C856" s="5"/>
      <c r="D856" s="5" t="s">
        <v>961</v>
      </c>
      <c r="E856" s="132">
        <f t="shared" ref="E856:E871" si="541">$O$871-J856*($O$871-$O$855)</f>
        <v>305.09180769230767</v>
      </c>
      <c r="F856" s="139">
        <f>$O$871-P856*($O$871-$O$855)</f>
        <v>303.67779999999999</v>
      </c>
      <c r="G856" s="149"/>
      <c r="H856" s="82" t="str">
        <f t="shared" si="531"/>
        <v>57.7 percent up in Kasimovian international stage</v>
      </c>
      <c r="I856" s="142" t="str">
        <f t="shared" si="532"/>
        <v>100 percent up in Kasimovian international stage</v>
      </c>
      <c r="J856" s="7">
        <v>0.57692307692307188</v>
      </c>
      <c r="K856" s="129">
        <f t="shared" si="533"/>
        <v>57.7</v>
      </c>
      <c r="L856" s="8" t="s">
        <v>122</v>
      </c>
      <c r="M856" s="5" t="s">
        <v>82</v>
      </c>
      <c r="N856" s="5" t="s">
        <v>82</v>
      </c>
      <c r="O856" s="83"/>
      <c r="P856" s="20">
        <v>1</v>
      </c>
      <c r="Q856" s="143">
        <f t="shared" si="534"/>
        <v>100</v>
      </c>
      <c r="R856" s="21" t="s">
        <v>122</v>
      </c>
      <c r="S856" s="8" t="s">
        <v>272</v>
      </c>
      <c r="T856" s="7" t="s">
        <v>226</v>
      </c>
    </row>
    <row r="857" spans="1:20" ht="28">
      <c r="A857" s="106" t="s">
        <v>958</v>
      </c>
      <c r="B857" s="102" t="s">
        <v>971</v>
      </c>
      <c r="C857" s="5"/>
      <c r="D857" s="5" t="s">
        <v>244</v>
      </c>
      <c r="E857" s="132">
        <f t="shared" si="541"/>
        <v>305.09180769230767</v>
      </c>
      <c r="F857" s="139">
        <f>$O$855-P857*($O$855-$O$843)</f>
        <v>298.89</v>
      </c>
      <c r="G857" s="149"/>
      <c r="H857" s="82" t="str">
        <f t="shared" si="531"/>
        <v>57.7 percent up in Kasimovian international stage</v>
      </c>
      <c r="I857" s="142" t="str">
        <f t="shared" si="532"/>
        <v>100 percent up in Gzhelian international stage</v>
      </c>
      <c r="J857" s="7">
        <v>0.57692307692307188</v>
      </c>
      <c r="K857" s="129">
        <f t="shared" si="533"/>
        <v>57.7</v>
      </c>
      <c r="L857" s="8" t="s">
        <v>122</v>
      </c>
      <c r="M857" s="5" t="s">
        <v>82</v>
      </c>
      <c r="N857" s="5" t="s">
        <v>82</v>
      </c>
      <c r="O857" s="83"/>
      <c r="P857" s="20">
        <v>1</v>
      </c>
      <c r="Q857" s="143">
        <f t="shared" si="534"/>
        <v>100</v>
      </c>
      <c r="R857" s="21" t="s">
        <v>120</v>
      </c>
      <c r="S857" s="8" t="s">
        <v>246</v>
      </c>
      <c r="T857" s="7" t="s">
        <v>226</v>
      </c>
    </row>
    <row r="858" spans="1:20" ht="28">
      <c r="A858" s="106" t="s">
        <v>958</v>
      </c>
      <c r="B858" s="102" t="s">
        <v>972</v>
      </c>
      <c r="C858" s="5"/>
      <c r="D858" s="5" t="s">
        <v>961</v>
      </c>
      <c r="E858" s="132">
        <f t="shared" si="541"/>
        <v>306.37726923076923</v>
      </c>
      <c r="F858" s="139">
        <f t="shared" ref="F858:F863" si="542">$O$871-P858*($O$871-$O$855)</f>
        <v>305.09180769230767</v>
      </c>
      <c r="G858" s="149"/>
      <c r="H858" s="82" t="str">
        <f t="shared" si="531"/>
        <v>19.2 percent up in Kasimovian international stage</v>
      </c>
      <c r="I858" s="142" t="str">
        <f t="shared" si="532"/>
        <v>57.7 percent up in Kasimovian international stage</v>
      </c>
      <c r="J858" s="7">
        <v>0.19230769230769063</v>
      </c>
      <c r="K858" s="129">
        <f t="shared" si="533"/>
        <v>19.2</v>
      </c>
      <c r="L858" s="8" t="s">
        <v>122</v>
      </c>
      <c r="M858" s="5" t="s">
        <v>82</v>
      </c>
      <c r="N858" s="5" t="s">
        <v>82</v>
      </c>
      <c r="O858" s="83"/>
      <c r="P858" s="20">
        <v>0.57692307692307188</v>
      </c>
      <c r="Q858" s="143">
        <f t="shared" si="534"/>
        <v>57.7</v>
      </c>
      <c r="R858" s="21" t="s">
        <v>122</v>
      </c>
      <c r="S858" s="8" t="s">
        <v>259</v>
      </c>
      <c r="T858" s="7">
        <v>0.38461538461538464</v>
      </c>
    </row>
    <row r="859" spans="1:20" ht="28">
      <c r="A859" s="106" t="s">
        <v>958</v>
      </c>
      <c r="B859" s="102" t="s">
        <v>973</v>
      </c>
      <c r="C859" s="5"/>
      <c r="D859" s="5" t="s">
        <v>82</v>
      </c>
      <c r="E859" s="132">
        <f t="shared" si="541"/>
        <v>306.40433157894734</v>
      </c>
      <c r="F859" s="139">
        <f t="shared" si="542"/>
        <v>305.26094736842106</v>
      </c>
      <c r="G859" s="149"/>
      <c r="H859" s="82" t="str">
        <f t="shared" si="531"/>
        <v>18.4 percent up in Kasimovian international stage</v>
      </c>
      <c r="I859" s="142" t="str">
        <f t="shared" si="532"/>
        <v>52.6 percent up in Kasimovian international stage</v>
      </c>
      <c r="J859" s="7">
        <v>0.18421052631579637</v>
      </c>
      <c r="K859" s="129">
        <f t="shared" si="533"/>
        <v>18.399999999999999</v>
      </c>
      <c r="L859" s="8" t="s">
        <v>122</v>
      </c>
      <c r="M859" s="5" t="s">
        <v>82</v>
      </c>
      <c r="N859" s="5" t="s">
        <v>82</v>
      </c>
      <c r="O859" s="83"/>
      <c r="P859" s="20">
        <v>0.52631578947367275</v>
      </c>
      <c r="Q859" s="143">
        <f t="shared" si="534"/>
        <v>52.6</v>
      </c>
      <c r="R859" s="21" t="s">
        <v>122</v>
      </c>
      <c r="S859" s="8" t="s">
        <v>259</v>
      </c>
      <c r="T859" s="7">
        <v>0.34210526315787615</v>
      </c>
    </row>
    <row r="860" spans="1:20" ht="28">
      <c r="A860" s="106" t="s">
        <v>958</v>
      </c>
      <c r="B860" s="102" t="s">
        <v>974</v>
      </c>
      <c r="C860" s="5"/>
      <c r="D860" s="5" t="s">
        <v>82</v>
      </c>
      <c r="E860" s="132">
        <f t="shared" si="541"/>
        <v>307.02</v>
      </c>
      <c r="F860" s="139">
        <f t="shared" si="542"/>
        <v>305.09180769230767</v>
      </c>
      <c r="G860" s="149"/>
      <c r="H860" s="82" t="str">
        <f t="shared" si="531"/>
        <v>0 percent up in Kasimovian international stage</v>
      </c>
      <c r="I860" s="142" t="str">
        <f t="shared" si="532"/>
        <v>57.7 percent up in Kasimovian international stage</v>
      </c>
      <c r="J860" s="7">
        <v>0</v>
      </c>
      <c r="K860" s="129">
        <f t="shared" si="533"/>
        <v>0</v>
      </c>
      <c r="L860" s="8" t="s">
        <v>122</v>
      </c>
      <c r="M860" s="5" t="s">
        <v>82</v>
      </c>
      <c r="N860" s="5" t="s">
        <v>82</v>
      </c>
      <c r="O860" s="83"/>
      <c r="P860" s="20">
        <v>0.57692307692307188</v>
      </c>
      <c r="Q860" s="143">
        <f t="shared" si="534"/>
        <v>57.7</v>
      </c>
      <c r="R860" s="21" t="s">
        <v>122</v>
      </c>
      <c r="S860" s="8" t="s">
        <v>230</v>
      </c>
      <c r="T860" s="7" t="s">
        <v>226</v>
      </c>
    </row>
    <row r="861" spans="1:20" ht="28">
      <c r="A861" s="106" t="s">
        <v>958</v>
      </c>
      <c r="B861" s="102" t="s">
        <v>975</v>
      </c>
      <c r="C861" s="5"/>
      <c r="D861" s="5" t="s">
        <v>888</v>
      </c>
      <c r="E861" s="132">
        <f t="shared" si="541"/>
        <v>307.02</v>
      </c>
      <c r="F861" s="139">
        <f t="shared" si="542"/>
        <v>306.40433157894734</v>
      </c>
      <c r="G861" s="149"/>
      <c r="H861" s="82" t="str">
        <f t="shared" si="531"/>
        <v>0 percent up in Kasimovian international stage</v>
      </c>
      <c r="I861" s="142" t="str">
        <f t="shared" si="532"/>
        <v>18.4 percent up in Kasimovian international stage</v>
      </c>
      <c r="J861" s="7">
        <v>0</v>
      </c>
      <c r="K861" s="129">
        <f t="shared" si="533"/>
        <v>0</v>
      </c>
      <c r="L861" s="8" t="s">
        <v>122</v>
      </c>
      <c r="M861" s="5" t="s">
        <v>82</v>
      </c>
      <c r="N861" s="5" t="s">
        <v>82</v>
      </c>
      <c r="O861" s="83"/>
      <c r="P861" s="20">
        <v>0.18421052631579637</v>
      </c>
      <c r="Q861" s="143">
        <f t="shared" si="534"/>
        <v>18.399999999999999</v>
      </c>
      <c r="R861" s="21" t="s">
        <v>122</v>
      </c>
      <c r="S861" s="8" t="s">
        <v>230</v>
      </c>
      <c r="T861" s="7" t="s">
        <v>226</v>
      </c>
    </row>
    <row r="862" spans="1:20" ht="28">
      <c r="A862" s="106" t="s">
        <v>958</v>
      </c>
      <c r="B862" s="102" t="s">
        <v>976</v>
      </c>
      <c r="C862" s="5"/>
      <c r="D862" s="5" t="s">
        <v>961</v>
      </c>
      <c r="E862" s="132">
        <f t="shared" si="541"/>
        <v>307.02</v>
      </c>
      <c r="F862" s="139">
        <f t="shared" si="542"/>
        <v>306.37726923076923</v>
      </c>
      <c r="G862" s="149"/>
      <c r="H862" s="82" t="str">
        <f t="shared" si="531"/>
        <v>0 percent up in Kasimovian international stage</v>
      </c>
      <c r="I862" s="142" t="str">
        <f t="shared" si="532"/>
        <v>19.2 percent up in Kasimovian international stage</v>
      </c>
      <c r="J862" s="7">
        <v>0</v>
      </c>
      <c r="K862" s="129">
        <f t="shared" si="533"/>
        <v>0</v>
      </c>
      <c r="L862" s="8" t="s">
        <v>122</v>
      </c>
      <c r="M862" s="5" t="s">
        <v>82</v>
      </c>
      <c r="N862" s="5" t="s">
        <v>82</v>
      </c>
      <c r="O862" s="83"/>
      <c r="P862" s="20">
        <v>0.19230769230769063</v>
      </c>
      <c r="Q862" s="143">
        <f t="shared" si="534"/>
        <v>19.2</v>
      </c>
      <c r="R862" s="21" t="s">
        <v>122</v>
      </c>
      <c r="S862" s="8" t="s">
        <v>230</v>
      </c>
      <c r="T862" s="7" t="s">
        <v>226</v>
      </c>
    </row>
    <row r="863" spans="1:20" ht="28">
      <c r="A863" s="106" t="s">
        <v>958</v>
      </c>
      <c r="B863" s="102" t="s">
        <v>977</v>
      </c>
      <c r="C863" s="5"/>
      <c r="D863" s="5" t="s">
        <v>244</v>
      </c>
      <c r="E863" s="132">
        <f t="shared" si="541"/>
        <v>307.02</v>
      </c>
      <c r="F863" s="139">
        <f t="shared" si="542"/>
        <v>305.09180769230767</v>
      </c>
      <c r="G863" s="149"/>
      <c r="H863" s="82" t="str">
        <f t="shared" si="531"/>
        <v>0 percent up in Kasimovian international stage</v>
      </c>
      <c r="I863" s="142" t="str">
        <f t="shared" si="532"/>
        <v>57.7 percent up in Kasimovian international stage</v>
      </c>
      <c r="J863" s="7">
        <v>0</v>
      </c>
      <c r="K863" s="129">
        <f t="shared" si="533"/>
        <v>0</v>
      </c>
      <c r="L863" s="8" t="s">
        <v>122</v>
      </c>
      <c r="M863" s="5" t="s">
        <v>82</v>
      </c>
      <c r="N863" s="5" t="s">
        <v>82</v>
      </c>
      <c r="O863" s="83"/>
      <c r="P863" s="20">
        <v>0.57692307692307188</v>
      </c>
      <c r="Q863" s="143">
        <f t="shared" si="534"/>
        <v>57.7</v>
      </c>
      <c r="R863" s="21" t="s">
        <v>122</v>
      </c>
      <c r="S863" s="8" t="s">
        <v>230</v>
      </c>
      <c r="T863" s="7" t="s">
        <v>226</v>
      </c>
    </row>
    <row r="864" spans="1:20" ht="28">
      <c r="A864" s="106" t="s">
        <v>958</v>
      </c>
      <c r="B864" s="104" t="s">
        <v>978</v>
      </c>
      <c r="C864" s="5"/>
      <c r="D864" s="5" t="s">
        <v>82</v>
      </c>
      <c r="E864" s="132">
        <f t="shared" si="541"/>
        <v>307.02</v>
      </c>
      <c r="F864" s="139">
        <f>$O$855-P864*($O$855-$O$843)</f>
        <v>298.89</v>
      </c>
      <c r="G864" s="149"/>
      <c r="H864" s="82" t="str">
        <f t="shared" si="531"/>
        <v>0 percent up in Kasimovian international stage</v>
      </c>
      <c r="I864" s="142" t="str">
        <f t="shared" si="532"/>
        <v>100 percent up in Gzhelian international stage</v>
      </c>
      <c r="J864" s="7">
        <v>0</v>
      </c>
      <c r="K864" s="129">
        <f t="shared" si="533"/>
        <v>0</v>
      </c>
      <c r="L864" s="8" t="s">
        <v>122</v>
      </c>
      <c r="M864" s="5" t="s">
        <v>82</v>
      </c>
      <c r="N864" s="5" t="s">
        <v>82</v>
      </c>
      <c r="O864" s="83"/>
      <c r="P864" s="20">
        <v>1</v>
      </c>
      <c r="Q864" s="143">
        <f t="shared" si="534"/>
        <v>100</v>
      </c>
      <c r="R864" s="21" t="s">
        <v>120</v>
      </c>
      <c r="S864" s="8" t="s">
        <v>232</v>
      </c>
      <c r="T864" s="7" t="s">
        <v>226</v>
      </c>
    </row>
    <row r="865" spans="1:20" ht="28">
      <c r="A865" s="106" t="s">
        <v>958</v>
      </c>
      <c r="B865" s="102" t="s">
        <v>979</v>
      </c>
      <c r="C865" s="5"/>
      <c r="D865" s="5" t="s">
        <v>264</v>
      </c>
      <c r="E865" s="132">
        <f t="shared" si="541"/>
        <v>307.02</v>
      </c>
      <c r="F865" s="139">
        <f>$O$855-P865*($O$855-$O$843)</f>
        <v>298.89</v>
      </c>
      <c r="G865" s="149"/>
      <c r="H865" s="82" t="str">
        <f t="shared" si="531"/>
        <v>0 percent up in Kasimovian international stage</v>
      </c>
      <c r="I865" s="142" t="str">
        <f t="shared" si="532"/>
        <v>100 percent up in Gzhelian international stage</v>
      </c>
      <c r="J865" s="7">
        <v>0</v>
      </c>
      <c r="K865" s="129">
        <f t="shared" si="533"/>
        <v>0</v>
      </c>
      <c r="L865" s="8" t="s">
        <v>122</v>
      </c>
      <c r="M865" s="5" t="s">
        <v>82</v>
      </c>
      <c r="N865" s="5" t="s">
        <v>82</v>
      </c>
      <c r="O865" s="83"/>
      <c r="P865" s="20">
        <v>1</v>
      </c>
      <c r="Q865" s="143">
        <f t="shared" si="534"/>
        <v>100</v>
      </c>
      <c r="R865" s="21" t="s">
        <v>120</v>
      </c>
      <c r="S865" s="8" t="s">
        <v>232</v>
      </c>
      <c r="T865" s="7" t="s">
        <v>226</v>
      </c>
    </row>
    <row r="866" spans="1:20" ht="28">
      <c r="A866" s="106" t="s">
        <v>958</v>
      </c>
      <c r="B866" s="103" t="s">
        <v>980</v>
      </c>
      <c r="C866" s="5"/>
      <c r="D866" s="5" t="s">
        <v>82</v>
      </c>
      <c r="E866" s="132">
        <f t="shared" si="541"/>
        <v>307.02</v>
      </c>
      <c r="F866" s="139">
        <f>$O$871-P866*($O$871-$O$855)</f>
        <v>303.67779999999999</v>
      </c>
      <c r="G866" s="149"/>
      <c r="H866" s="82" t="str">
        <f t="shared" si="531"/>
        <v>0 percent up in Kasimovian international stage</v>
      </c>
      <c r="I866" s="142" t="str">
        <f t="shared" si="532"/>
        <v>100 percent up in Kasimovian international stage</v>
      </c>
      <c r="J866" s="7">
        <v>0</v>
      </c>
      <c r="K866" s="129">
        <f t="shared" si="533"/>
        <v>0</v>
      </c>
      <c r="L866" s="8" t="s">
        <v>122</v>
      </c>
      <c r="M866" s="5" t="s">
        <v>82</v>
      </c>
      <c r="N866" s="5" t="s">
        <v>82</v>
      </c>
      <c r="O866" s="83"/>
      <c r="P866" s="20">
        <v>1</v>
      </c>
      <c r="Q866" s="143">
        <f t="shared" si="534"/>
        <v>100</v>
      </c>
      <c r="R866" s="21" t="s">
        <v>122</v>
      </c>
      <c r="S866" s="8" t="s">
        <v>232</v>
      </c>
      <c r="T866" s="7" t="s">
        <v>226</v>
      </c>
    </row>
    <row r="867" spans="1:20" ht="28">
      <c r="A867" s="106"/>
      <c r="B867" s="103" t="s">
        <v>1674</v>
      </c>
      <c r="C867" s="5"/>
      <c r="D867" s="5"/>
      <c r="E867" s="132">
        <f t="shared" ref="E867:E868" si="543">$O$871-J867*($O$871-$O$855)</f>
        <v>305.34889999999996</v>
      </c>
      <c r="F867" s="139">
        <f>$O$871-P867*($O$871-$O$855)</f>
        <v>303.67779999999999</v>
      </c>
      <c r="G867" s="149" t="s">
        <v>1601</v>
      </c>
      <c r="H867" s="82" t="str">
        <f t="shared" ref="H867:H868" si="544">CONCATENATE(K867," percent up in ",L867," international stage")</f>
        <v>50 percent up in Kasimovian international stage</v>
      </c>
      <c r="I867" s="142" t="str">
        <f t="shared" ref="I867:I868" si="545">CONCATENATE(Q867," percent up in ",R867," international stage")</f>
        <v>100 percent up in Kasimovian international stage</v>
      </c>
      <c r="J867" s="7">
        <v>0.5</v>
      </c>
      <c r="K867" s="129">
        <f t="shared" ref="K867:K868" si="546">ROUND(J867*100,1)</f>
        <v>50</v>
      </c>
      <c r="L867" s="8" t="s">
        <v>122</v>
      </c>
      <c r="M867" s="5" t="s">
        <v>82</v>
      </c>
      <c r="N867" s="5" t="s">
        <v>82</v>
      </c>
      <c r="O867" s="83"/>
      <c r="P867" s="20">
        <v>1</v>
      </c>
      <c r="Q867" s="143">
        <f t="shared" ref="Q867:Q868" si="547">ROUND(P867*100,1)</f>
        <v>100</v>
      </c>
      <c r="R867" s="21" t="s">
        <v>122</v>
      </c>
      <c r="S867" s="151" t="s">
        <v>1601</v>
      </c>
    </row>
    <row r="868" spans="1:20" ht="28">
      <c r="A868" s="106"/>
      <c r="B868" s="103" t="s">
        <v>1675</v>
      </c>
      <c r="C868" s="5"/>
      <c r="D868" s="5"/>
      <c r="E868" s="132">
        <f t="shared" si="543"/>
        <v>307.02</v>
      </c>
      <c r="F868" s="139">
        <f>$O$871-P868*($O$871-$O$855)</f>
        <v>305.34889999999996</v>
      </c>
      <c r="G868" s="149" t="s">
        <v>1602</v>
      </c>
      <c r="H868" s="82" t="str">
        <f t="shared" si="544"/>
        <v>0 percent up in Kasimovian international stage</v>
      </c>
      <c r="I868" s="142" t="str">
        <f t="shared" si="545"/>
        <v>50 percent up in Kasimovian international stage</v>
      </c>
      <c r="J868" s="7">
        <v>0</v>
      </c>
      <c r="K868" s="129">
        <f t="shared" si="546"/>
        <v>0</v>
      </c>
      <c r="L868" s="8" t="s">
        <v>122</v>
      </c>
      <c r="M868" s="5" t="s">
        <v>82</v>
      </c>
      <c r="N868" s="5" t="s">
        <v>82</v>
      </c>
      <c r="O868" s="83"/>
      <c r="P868" s="20">
        <v>0.5</v>
      </c>
      <c r="Q868" s="143">
        <f t="shared" si="547"/>
        <v>50</v>
      </c>
      <c r="R868" s="21" t="s">
        <v>122</v>
      </c>
      <c r="S868" s="151" t="s">
        <v>1602</v>
      </c>
    </row>
    <row r="869" spans="1:20" ht="28">
      <c r="A869" s="106" t="s">
        <v>958</v>
      </c>
      <c r="B869" s="102" t="s">
        <v>122</v>
      </c>
      <c r="C869" s="135"/>
      <c r="D869" s="135" t="s">
        <v>222</v>
      </c>
      <c r="E869" s="132">
        <f t="shared" si="541"/>
        <v>307.02</v>
      </c>
      <c r="F869" s="139">
        <f>$O$871-P869*($O$871-$O$855)</f>
        <v>303.67779999999999</v>
      </c>
      <c r="G869" s="149"/>
      <c r="H869" s="82" t="str">
        <f t="shared" si="531"/>
        <v>0 percent up in Kasimovian international stage</v>
      </c>
      <c r="I869" s="142" t="str">
        <f t="shared" si="532"/>
        <v>100 percent up in Kasimovian international stage</v>
      </c>
      <c r="J869" s="7">
        <v>0</v>
      </c>
      <c r="K869" s="129">
        <f t="shared" si="533"/>
        <v>0</v>
      </c>
      <c r="L869" s="8" t="s">
        <v>122</v>
      </c>
      <c r="M869" s="5" t="s">
        <v>224</v>
      </c>
      <c r="N869" s="5" t="s">
        <v>981</v>
      </c>
      <c r="O869" s="84">
        <f>Master_Chronostrat!I113</f>
        <v>307.02</v>
      </c>
      <c r="P869" s="20">
        <v>1</v>
      </c>
      <c r="Q869" s="143">
        <f t="shared" si="534"/>
        <v>100</v>
      </c>
      <c r="R869" s="21" t="s">
        <v>122</v>
      </c>
      <c r="S869" s="8" t="s">
        <v>224</v>
      </c>
      <c r="T869" s="7" t="s">
        <v>226</v>
      </c>
    </row>
    <row r="870" spans="1:20" ht="34">
      <c r="A870" s="106"/>
      <c r="B870" s="102" t="s">
        <v>1676</v>
      </c>
      <c r="C870" s="5"/>
      <c r="D870" s="5"/>
      <c r="E870" s="132">
        <f t="shared" ref="E870" si="548">$O$871-J870*($O$871-$O$855)</f>
        <v>307.02</v>
      </c>
      <c r="F870" s="139">
        <f>$O$855-P870*($O$855-$O$843)</f>
        <v>298.89</v>
      </c>
      <c r="G870" s="149" t="s">
        <v>1678</v>
      </c>
      <c r="H870" s="82" t="str">
        <f t="shared" ref="H870" si="549">CONCATENATE(K870," percent up in ",L870," international stage")</f>
        <v>0 percent up in Kasimovian international stage</v>
      </c>
      <c r="I870" s="142" t="str">
        <f t="shared" ref="I870" si="550">CONCATENATE(Q870," percent up in ",R870," international stage")</f>
        <v>100 percent up in Gzhelian international stage</v>
      </c>
      <c r="J870" s="7">
        <v>0</v>
      </c>
      <c r="K870" s="129">
        <f t="shared" ref="K870" si="551">ROUND(J870*100,1)</f>
        <v>0</v>
      </c>
      <c r="L870" s="8" t="s">
        <v>122</v>
      </c>
      <c r="M870" s="5"/>
      <c r="O870" s="84"/>
      <c r="P870" s="20">
        <v>1</v>
      </c>
      <c r="Q870" s="143">
        <f t="shared" ref="Q870" si="552">ROUND(P870*100,1)</f>
        <v>100</v>
      </c>
      <c r="R870" s="21" t="s">
        <v>120</v>
      </c>
      <c r="S870" s="151" t="s">
        <v>1678</v>
      </c>
    </row>
    <row r="871" spans="1:20" ht="34">
      <c r="A871" s="106" t="s">
        <v>958</v>
      </c>
      <c r="B871" s="102" t="s">
        <v>982</v>
      </c>
      <c r="C871" s="135"/>
      <c r="D871" s="135" t="s">
        <v>222</v>
      </c>
      <c r="E871" s="132">
        <f t="shared" si="541"/>
        <v>307.02</v>
      </c>
      <c r="F871" s="139">
        <f>$O$855-P871*($O$855-$O$843)</f>
        <v>298.89</v>
      </c>
      <c r="G871" s="149"/>
      <c r="H871" s="82" t="str">
        <f t="shared" si="531"/>
        <v>0 percent up in Kasimovian international stage</v>
      </c>
      <c r="I871" s="142" t="str">
        <f t="shared" si="532"/>
        <v>100 percent up in Gzhelian international stage</v>
      </c>
      <c r="J871" s="7">
        <v>0</v>
      </c>
      <c r="K871" s="129">
        <f t="shared" si="533"/>
        <v>0</v>
      </c>
      <c r="L871" s="8" t="s">
        <v>122</v>
      </c>
      <c r="M871" s="5" t="s">
        <v>224</v>
      </c>
      <c r="N871" s="5" t="s">
        <v>983</v>
      </c>
      <c r="O871" s="84">
        <f>Master_Chronostrat!I113</f>
        <v>307.02</v>
      </c>
      <c r="P871" s="20">
        <v>1</v>
      </c>
      <c r="Q871" s="143">
        <f t="shared" si="534"/>
        <v>100</v>
      </c>
      <c r="R871" s="21" t="s">
        <v>120</v>
      </c>
      <c r="S871" s="8" t="s">
        <v>1677</v>
      </c>
      <c r="T871" s="7" t="s">
        <v>226</v>
      </c>
    </row>
    <row r="872" spans="1:20" ht="28">
      <c r="A872" s="106" t="s">
        <v>958</v>
      </c>
      <c r="B872" s="102" t="s">
        <v>984</v>
      </c>
      <c r="C872" s="5"/>
      <c r="D872" s="5" t="s">
        <v>961</v>
      </c>
      <c r="E872" s="132">
        <f t="shared" ref="E872:E899" si="553">$O$899-J872*($O$899-$O$871)</f>
        <v>308.11442307692306</v>
      </c>
      <c r="F872" s="139">
        <f t="shared" ref="F872:F882" si="554">$O$899-P872*($O$899-$O$871)</f>
        <v>307.02</v>
      </c>
      <c r="G872" s="149"/>
      <c r="H872" s="82" t="str">
        <f t="shared" si="531"/>
        <v>86.5 percent up in Moscovian international stage</v>
      </c>
      <c r="I872" s="142" t="str">
        <f t="shared" si="532"/>
        <v>100 percent up in Moscovian international stage</v>
      </c>
      <c r="J872" s="7">
        <v>0.86538461538461731</v>
      </c>
      <c r="K872" s="129">
        <f t="shared" si="533"/>
        <v>86.5</v>
      </c>
      <c r="L872" s="8" t="s">
        <v>124</v>
      </c>
      <c r="M872" s="5" t="s">
        <v>82</v>
      </c>
      <c r="N872" s="5" t="s">
        <v>82</v>
      </c>
      <c r="O872" s="83"/>
      <c r="P872" s="20">
        <v>1</v>
      </c>
      <c r="Q872" s="143">
        <f t="shared" si="534"/>
        <v>100</v>
      </c>
      <c r="R872" s="21" t="s">
        <v>124</v>
      </c>
      <c r="S872" s="8" t="s">
        <v>272</v>
      </c>
      <c r="T872" s="7" t="s">
        <v>226</v>
      </c>
    </row>
    <row r="873" spans="1:20" ht="28">
      <c r="A873" s="106" t="s">
        <v>958</v>
      </c>
      <c r="B873" s="103" t="s">
        <v>985</v>
      </c>
      <c r="C873" s="5"/>
      <c r="D873" s="5" t="s">
        <v>82</v>
      </c>
      <c r="E873" s="132">
        <f t="shared" si="553"/>
        <v>309.0524999999999</v>
      </c>
      <c r="F873" s="139">
        <f t="shared" si="554"/>
        <v>307.02</v>
      </c>
      <c r="G873" s="149"/>
      <c r="H873" s="82" t="str">
        <f t="shared" si="531"/>
        <v>75 percent up in Moscovian international stage</v>
      </c>
      <c r="I873" s="142" t="str">
        <f t="shared" si="532"/>
        <v>100 percent up in Moscovian international stage</v>
      </c>
      <c r="J873" s="7">
        <v>0.75000000000000822</v>
      </c>
      <c r="K873" s="129">
        <f t="shared" si="533"/>
        <v>75</v>
      </c>
      <c r="L873" s="8" t="s">
        <v>124</v>
      </c>
      <c r="M873" s="5" t="s">
        <v>82</v>
      </c>
      <c r="N873" s="5" t="s">
        <v>82</v>
      </c>
      <c r="O873" s="83"/>
      <c r="P873" s="20">
        <v>1</v>
      </c>
      <c r="Q873" s="143">
        <f t="shared" si="534"/>
        <v>100</v>
      </c>
      <c r="R873" s="21" t="s">
        <v>124</v>
      </c>
      <c r="S873" s="8" t="s">
        <v>272</v>
      </c>
      <c r="T873" s="7" t="s">
        <v>226</v>
      </c>
    </row>
    <row r="874" spans="1:20" ht="28">
      <c r="A874" s="106" t="s">
        <v>958</v>
      </c>
      <c r="B874" s="103" t="s">
        <v>986</v>
      </c>
      <c r="C874" s="5"/>
      <c r="D874" s="5" t="s">
        <v>82</v>
      </c>
      <c r="E874" s="132">
        <f t="shared" si="553"/>
        <v>309.0524999999999</v>
      </c>
      <c r="F874" s="139">
        <f t="shared" si="554"/>
        <v>307.02</v>
      </c>
      <c r="G874" s="149"/>
      <c r="H874" s="82" t="str">
        <f t="shared" si="531"/>
        <v>75 percent up in Moscovian international stage</v>
      </c>
      <c r="I874" s="142" t="str">
        <f t="shared" si="532"/>
        <v>100 percent up in Moscovian international stage</v>
      </c>
      <c r="J874" s="7">
        <v>0.75000000000000822</v>
      </c>
      <c r="K874" s="129">
        <f t="shared" si="533"/>
        <v>75</v>
      </c>
      <c r="L874" s="8" t="s">
        <v>124</v>
      </c>
      <c r="M874" s="5" t="s">
        <v>82</v>
      </c>
      <c r="N874" s="5" t="s">
        <v>82</v>
      </c>
      <c r="O874" s="83"/>
      <c r="P874" s="20">
        <v>1</v>
      </c>
      <c r="Q874" s="143">
        <f t="shared" si="534"/>
        <v>100</v>
      </c>
      <c r="R874" s="21" t="s">
        <v>124</v>
      </c>
      <c r="S874" s="8" t="s">
        <v>272</v>
      </c>
      <c r="T874" s="7" t="s">
        <v>226</v>
      </c>
    </row>
    <row r="875" spans="1:20" ht="28">
      <c r="A875" s="106" t="s">
        <v>958</v>
      </c>
      <c r="B875" s="102" t="s">
        <v>987</v>
      </c>
      <c r="C875" s="5"/>
      <c r="D875" s="5" t="s">
        <v>82</v>
      </c>
      <c r="E875" s="132">
        <f t="shared" si="553"/>
        <v>309.36519230769227</v>
      </c>
      <c r="F875" s="139">
        <f t="shared" si="554"/>
        <v>307.02</v>
      </c>
      <c r="G875" s="149"/>
      <c r="H875" s="82" t="str">
        <f t="shared" si="531"/>
        <v>71.2 percent up in Moscovian international stage</v>
      </c>
      <c r="I875" s="142" t="str">
        <f t="shared" si="532"/>
        <v>100 percent up in Moscovian international stage</v>
      </c>
      <c r="J875" s="7">
        <v>0.7115384615384609</v>
      </c>
      <c r="K875" s="129">
        <f t="shared" si="533"/>
        <v>71.2</v>
      </c>
      <c r="L875" s="8" t="s">
        <v>124</v>
      </c>
      <c r="M875" s="5" t="s">
        <v>82</v>
      </c>
      <c r="N875" s="5" t="s">
        <v>82</v>
      </c>
      <c r="O875" s="83"/>
      <c r="P875" s="20">
        <v>1</v>
      </c>
      <c r="Q875" s="143">
        <f t="shared" si="534"/>
        <v>100</v>
      </c>
      <c r="R875" s="21" t="s">
        <v>124</v>
      </c>
      <c r="S875" s="8" t="s">
        <v>272</v>
      </c>
      <c r="T875" s="7" t="s">
        <v>226</v>
      </c>
    </row>
    <row r="876" spans="1:20" ht="28">
      <c r="A876" s="106" t="s">
        <v>958</v>
      </c>
      <c r="B876" s="102" t="s">
        <v>988</v>
      </c>
      <c r="C876" s="5"/>
      <c r="D876" s="5" t="s">
        <v>244</v>
      </c>
      <c r="E876" s="132">
        <f t="shared" si="553"/>
        <v>309.36519230769227</v>
      </c>
      <c r="F876" s="139">
        <f t="shared" si="554"/>
        <v>307.02</v>
      </c>
      <c r="G876" s="149"/>
      <c r="H876" s="82" t="str">
        <f t="shared" si="531"/>
        <v>71.2 percent up in Moscovian international stage</v>
      </c>
      <c r="I876" s="142" t="str">
        <f t="shared" si="532"/>
        <v>100 percent up in Moscovian international stage</v>
      </c>
      <c r="J876" s="7">
        <v>0.7115384615384609</v>
      </c>
      <c r="K876" s="129">
        <f t="shared" si="533"/>
        <v>71.2</v>
      </c>
      <c r="L876" s="8" t="s">
        <v>124</v>
      </c>
      <c r="M876" s="5" t="s">
        <v>82</v>
      </c>
      <c r="N876" s="5" t="s">
        <v>82</v>
      </c>
      <c r="O876" s="83"/>
      <c r="P876" s="20">
        <v>1</v>
      </c>
      <c r="Q876" s="143">
        <f t="shared" si="534"/>
        <v>100</v>
      </c>
      <c r="R876" s="21" t="s">
        <v>124</v>
      </c>
      <c r="S876" s="8" t="s">
        <v>272</v>
      </c>
      <c r="T876" s="7" t="s">
        <v>226</v>
      </c>
    </row>
    <row r="877" spans="1:20" ht="28">
      <c r="A877" s="106" t="s">
        <v>958</v>
      </c>
      <c r="B877" s="102" t="s">
        <v>989</v>
      </c>
      <c r="C877" s="5"/>
      <c r="D877" s="5" t="s">
        <v>961</v>
      </c>
      <c r="E877" s="132">
        <f t="shared" si="553"/>
        <v>309.36519230769227</v>
      </c>
      <c r="F877" s="139">
        <f t="shared" si="554"/>
        <v>308.11442307692306</v>
      </c>
      <c r="G877" s="149"/>
      <c r="H877" s="82" t="str">
        <f t="shared" si="531"/>
        <v>71.2 percent up in Moscovian international stage</v>
      </c>
      <c r="I877" s="142" t="str">
        <f t="shared" si="532"/>
        <v>86.5 percent up in Moscovian international stage</v>
      </c>
      <c r="J877" s="7">
        <v>0.7115384615384609</v>
      </c>
      <c r="K877" s="129">
        <f t="shared" si="533"/>
        <v>71.2</v>
      </c>
      <c r="L877" s="8" t="s">
        <v>124</v>
      </c>
      <c r="M877" s="5" t="s">
        <v>82</v>
      </c>
      <c r="N877" s="5" t="s">
        <v>82</v>
      </c>
      <c r="O877" s="83"/>
      <c r="P877" s="20">
        <v>0.86538461538461731</v>
      </c>
      <c r="Q877" s="143">
        <f t="shared" si="534"/>
        <v>86.5</v>
      </c>
      <c r="R877" s="21" t="s">
        <v>124</v>
      </c>
      <c r="S877" s="8" t="s">
        <v>259</v>
      </c>
      <c r="T877" s="7">
        <v>0.15384615384616132</v>
      </c>
    </row>
    <row r="878" spans="1:20" ht="28">
      <c r="A878" s="106" t="s">
        <v>958</v>
      </c>
      <c r="B878" s="102" t="s">
        <v>990</v>
      </c>
      <c r="C878" s="5"/>
      <c r="D878" s="5" t="s">
        <v>888</v>
      </c>
      <c r="E878" s="132">
        <f t="shared" si="553"/>
        <v>309.36866666666668</v>
      </c>
      <c r="F878" s="139">
        <f t="shared" si="554"/>
        <v>307.02</v>
      </c>
      <c r="G878" s="149"/>
      <c r="H878" s="82" t="str">
        <f t="shared" si="531"/>
        <v>71.1 percent up in Moscovian international stage</v>
      </c>
      <c r="I878" s="142" t="str">
        <f t="shared" si="532"/>
        <v>100 percent up in Moscovian international stage</v>
      </c>
      <c r="J878" s="7">
        <v>0.71111111111110359</v>
      </c>
      <c r="K878" s="129">
        <f t="shared" si="533"/>
        <v>71.099999999999994</v>
      </c>
      <c r="L878" s="8" t="s">
        <v>124</v>
      </c>
      <c r="M878" s="5" t="s">
        <v>82</v>
      </c>
      <c r="N878" s="5" t="s">
        <v>82</v>
      </c>
      <c r="O878" s="83"/>
      <c r="P878" s="20">
        <v>1</v>
      </c>
      <c r="Q878" s="143">
        <f t="shared" si="534"/>
        <v>100</v>
      </c>
      <c r="R878" s="21" t="s">
        <v>124</v>
      </c>
      <c r="S878" s="8" t="s">
        <v>272</v>
      </c>
      <c r="T878" s="7" t="s">
        <v>226</v>
      </c>
    </row>
    <row r="879" spans="1:20" ht="28">
      <c r="A879" s="106" t="s">
        <v>958</v>
      </c>
      <c r="B879" s="103" t="s">
        <v>991</v>
      </c>
      <c r="C879" s="5"/>
      <c r="D879" s="5" t="s">
        <v>82</v>
      </c>
      <c r="E879" s="132">
        <f t="shared" si="553"/>
        <v>311.08499999999992</v>
      </c>
      <c r="F879" s="139">
        <f t="shared" si="554"/>
        <v>309.0524999999999</v>
      </c>
      <c r="G879" s="149"/>
      <c r="H879" s="82" t="str">
        <f t="shared" si="531"/>
        <v>50 percent up in Moscovian international stage</v>
      </c>
      <c r="I879" s="142" t="str">
        <f t="shared" si="532"/>
        <v>75 percent up in Moscovian international stage</v>
      </c>
      <c r="J879" s="7">
        <v>0.50000000000000544</v>
      </c>
      <c r="K879" s="129">
        <f t="shared" si="533"/>
        <v>50</v>
      </c>
      <c r="L879" s="8" t="s">
        <v>124</v>
      </c>
      <c r="M879" s="5" t="s">
        <v>82</v>
      </c>
      <c r="N879" s="5" t="s">
        <v>82</v>
      </c>
      <c r="O879" s="83"/>
      <c r="P879" s="20">
        <v>0.75000000000000822</v>
      </c>
      <c r="Q879" s="143">
        <f t="shared" si="534"/>
        <v>75</v>
      </c>
      <c r="R879" s="21" t="s">
        <v>124</v>
      </c>
      <c r="S879" s="8" t="s">
        <v>259</v>
      </c>
      <c r="T879" s="7">
        <v>0.25000000000000172</v>
      </c>
    </row>
    <row r="880" spans="1:20" ht="28">
      <c r="A880" s="106" t="s">
        <v>958</v>
      </c>
      <c r="B880" s="103" t="s">
        <v>992</v>
      </c>
      <c r="C880" s="5"/>
      <c r="D880" s="5" t="s">
        <v>82</v>
      </c>
      <c r="E880" s="132">
        <f t="shared" si="553"/>
        <v>311.08499999999992</v>
      </c>
      <c r="F880" s="139">
        <f t="shared" si="554"/>
        <v>309.0524999999999</v>
      </c>
      <c r="G880" s="149"/>
      <c r="H880" s="82" t="str">
        <f t="shared" si="531"/>
        <v>50 percent up in Moscovian international stage</v>
      </c>
      <c r="I880" s="142" t="str">
        <f t="shared" si="532"/>
        <v>75 percent up in Moscovian international stage</v>
      </c>
      <c r="J880" s="7">
        <v>0.50000000000000544</v>
      </c>
      <c r="K880" s="129">
        <f t="shared" si="533"/>
        <v>50</v>
      </c>
      <c r="L880" s="8" t="s">
        <v>124</v>
      </c>
      <c r="M880" s="5" t="s">
        <v>82</v>
      </c>
      <c r="N880" s="5" t="s">
        <v>82</v>
      </c>
      <c r="O880" s="83"/>
      <c r="P880" s="20">
        <v>0.75000000000000822</v>
      </c>
      <c r="Q880" s="143">
        <f t="shared" si="534"/>
        <v>75</v>
      </c>
      <c r="R880" s="21" t="s">
        <v>124</v>
      </c>
      <c r="S880" s="8" t="s">
        <v>259</v>
      </c>
      <c r="T880" s="7">
        <v>0.25000000000000172</v>
      </c>
    </row>
    <row r="881" spans="1:20" ht="28">
      <c r="A881" s="106"/>
      <c r="B881" s="103" t="s">
        <v>1869</v>
      </c>
      <c r="C881" s="5"/>
      <c r="D881" s="5" t="s">
        <v>82</v>
      </c>
      <c r="E881" s="132">
        <f t="shared" si="553"/>
        <v>311.08499999999992</v>
      </c>
      <c r="F881" s="139">
        <f t="shared" si="554"/>
        <v>309.0524999999999</v>
      </c>
      <c r="G881" s="149" t="s">
        <v>1871</v>
      </c>
      <c r="H881" s="82" t="str">
        <f t="shared" ref="H881" si="555">CONCATENATE(K881," percent up in ",L881," international stage")</f>
        <v>50 percent up in Moscovian international stage</v>
      </c>
      <c r="I881" s="142" t="str">
        <f t="shared" ref="I881" si="556">CONCATENATE(Q881," percent up in ",R881," international stage")</f>
        <v>75 percent up in Moscovian international stage</v>
      </c>
      <c r="J881" s="7">
        <v>0.50000000000000544</v>
      </c>
      <c r="K881" s="129">
        <f t="shared" ref="K881" si="557">ROUND(J881*100,1)</f>
        <v>50</v>
      </c>
      <c r="L881" s="8" t="s">
        <v>124</v>
      </c>
      <c r="M881" s="5" t="s">
        <v>82</v>
      </c>
      <c r="N881" s="5" t="s">
        <v>82</v>
      </c>
      <c r="O881" s="83"/>
      <c r="P881" s="20">
        <v>0.75000000000000822</v>
      </c>
      <c r="Q881" s="143">
        <f t="shared" ref="Q881" si="558">ROUND(P881*100,1)</f>
        <v>75</v>
      </c>
      <c r="R881" s="21" t="s">
        <v>124</v>
      </c>
      <c r="S881" s="149" t="s">
        <v>1871</v>
      </c>
    </row>
    <row r="882" spans="1:20" ht="28">
      <c r="A882" s="106" t="s">
        <v>958</v>
      </c>
      <c r="B882" s="102" t="s">
        <v>993</v>
      </c>
      <c r="C882" s="5"/>
      <c r="D882" s="5" t="s">
        <v>961</v>
      </c>
      <c r="E882" s="132">
        <f t="shared" si="553"/>
        <v>311.24134615384611</v>
      </c>
      <c r="F882" s="139">
        <f t="shared" si="554"/>
        <v>309.36519230769227</v>
      </c>
      <c r="G882" s="149"/>
      <c r="H882" s="82" t="str">
        <f t="shared" si="531"/>
        <v>48.1 percent up in Moscovian international stage</v>
      </c>
      <c r="I882" s="142" t="str">
        <f t="shared" si="532"/>
        <v>71.2 percent up in Moscovian international stage</v>
      </c>
      <c r="J882" s="7">
        <v>0.48076923076923184</v>
      </c>
      <c r="K882" s="129">
        <f t="shared" si="533"/>
        <v>48.1</v>
      </c>
      <c r="L882" s="8" t="s">
        <v>124</v>
      </c>
      <c r="M882" s="5" t="s">
        <v>82</v>
      </c>
      <c r="N882" s="5" t="s">
        <v>82</v>
      </c>
      <c r="O882" s="83"/>
      <c r="P882" s="20">
        <v>0.7115384615384609</v>
      </c>
      <c r="Q882" s="143">
        <f t="shared" si="534"/>
        <v>71.2</v>
      </c>
      <c r="R882" s="21" t="s">
        <v>124</v>
      </c>
      <c r="S882" s="8" t="s">
        <v>259</v>
      </c>
      <c r="T882" s="7">
        <v>0.23076923076922809</v>
      </c>
    </row>
    <row r="883" spans="1:20" ht="28">
      <c r="A883" s="106" t="s">
        <v>958</v>
      </c>
      <c r="B883" s="102" t="s">
        <v>994</v>
      </c>
      <c r="C883" s="5"/>
      <c r="D883" s="5" t="s">
        <v>248</v>
      </c>
      <c r="E883" s="132">
        <f t="shared" si="553"/>
        <v>312.49211538461537</v>
      </c>
      <c r="F883" s="139">
        <f>$O$855-P883*($O$855-$O$843)</f>
        <v>298.89</v>
      </c>
      <c r="G883" s="149"/>
      <c r="H883" s="82" t="str">
        <f t="shared" si="531"/>
        <v>32.7 percent up in Moscovian international stage</v>
      </c>
      <c r="I883" s="142" t="str">
        <f t="shared" si="532"/>
        <v>100 percent up in Gzhelian international stage</v>
      </c>
      <c r="J883" s="7">
        <v>0.32692307692307543</v>
      </c>
      <c r="K883" s="129">
        <f t="shared" si="533"/>
        <v>32.700000000000003</v>
      </c>
      <c r="L883" s="8" t="s">
        <v>124</v>
      </c>
      <c r="M883" s="5" t="s">
        <v>82</v>
      </c>
      <c r="N883" s="5" t="s">
        <v>82</v>
      </c>
      <c r="O883" s="83"/>
      <c r="P883" s="20">
        <v>1</v>
      </c>
      <c r="Q883" s="143">
        <f t="shared" si="534"/>
        <v>100</v>
      </c>
      <c r="R883" s="21" t="s">
        <v>120</v>
      </c>
      <c r="S883" s="8" t="s">
        <v>246</v>
      </c>
      <c r="T883" s="7" t="s">
        <v>226</v>
      </c>
    </row>
    <row r="884" spans="1:20" ht="28">
      <c r="A884" s="106" t="s">
        <v>958</v>
      </c>
      <c r="B884" s="103" t="s">
        <v>995</v>
      </c>
      <c r="C884" s="5"/>
      <c r="D884" s="5" t="s">
        <v>82</v>
      </c>
      <c r="E884" s="132">
        <f t="shared" si="553"/>
        <v>313.11749999999995</v>
      </c>
      <c r="F884" s="139">
        <f t="shared" ref="F884:F899" si="559">$O$899-P884*($O$899-$O$871)</f>
        <v>311.08499999999992</v>
      </c>
      <c r="G884" s="149"/>
      <c r="H884" s="82" t="str">
        <f t="shared" si="531"/>
        <v>25 percent up in Moscovian international stage</v>
      </c>
      <c r="I884" s="142" t="str">
        <f t="shared" si="532"/>
        <v>50 percent up in Moscovian international stage</v>
      </c>
      <c r="J884" s="7">
        <v>0.25000000000000278</v>
      </c>
      <c r="K884" s="129">
        <f t="shared" si="533"/>
        <v>25</v>
      </c>
      <c r="L884" s="8" t="s">
        <v>124</v>
      </c>
      <c r="M884" s="5" t="s">
        <v>82</v>
      </c>
      <c r="N884" s="5" t="s">
        <v>82</v>
      </c>
      <c r="O884" s="83"/>
      <c r="P884" s="20">
        <v>0.50000000000000544</v>
      </c>
      <c r="Q884" s="143">
        <f t="shared" si="534"/>
        <v>50</v>
      </c>
      <c r="R884" s="21" t="s">
        <v>124</v>
      </c>
      <c r="S884" s="8" t="s">
        <v>259</v>
      </c>
      <c r="T884" s="7">
        <v>0.25000000000000172</v>
      </c>
    </row>
    <row r="885" spans="1:20" ht="28">
      <c r="A885" s="106" t="s">
        <v>958</v>
      </c>
      <c r="B885" s="103" t="s">
        <v>996</v>
      </c>
      <c r="C885" s="5"/>
      <c r="D885" s="5" t="s">
        <v>82</v>
      </c>
      <c r="E885" s="132">
        <f t="shared" si="553"/>
        <v>313.11749999999995</v>
      </c>
      <c r="F885" s="139">
        <f t="shared" si="559"/>
        <v>311.08499999999992</v>
      </c>
      <c r="G885" s="149"/>
      <c r="H885" s="82" t="str">
        <f t="shared" si="531"/>
        <v>25 percent up in Moscovian international stage</v>
      </c>
      <c r="I885" s="142" t="str">
        <f t="shared" si="532"/>
        <v>50 percent up in Moscovian international stage</v>
      </c>
      <c r="J885" s="7">
        <v>0.25000000000000278</v>
      </c>
      <c r="K885" s="129">
        <f t="shared" si="533"/>
        <v>25</v>
      </c>
      <c r="L885" s="8" t="s">
        <v>124</v>
      </c>
      <c r="M885" s="5" t="s">
        <v>82</v>
      </c>
      <c r="N885" s="5" t="s">
        <v>82</v>
      </c>
      <c r="O885" s="83"/>
      <c r="P885" s="20">
        <v>0.50000000000000544</v>
      </c>
      <c r="Q885" s="143">
        <f t="shared" si="534"/>
        <v>50</v>
      </c>
      <c r="R885" s="21" t="s">
        <v>124</v>
      </c>
      <c r="S885" s="8" t="s">
        <v>259</v>
      </c>
      <c r="T885" s="7">
        <v>0.25000000000000172</v>
      </c>
    </row>
    <row r="886" spans="1:20" ht="28">
      <c r="A886" s="106"/>
      <c r="B886" s="103" t="s">
        <v>1868</v>
      </c>
      <c r="C886" s="5"/>
      <c r="D886" s="5"/>
      <c r="E886" s="132">
        <f t="shared" si="553"/>
        <v>313.11749999999995</v>
      </c>
      <c r="F886" s="139">
        <f t="shared" si="559"/>
        <v>311.08499999999992</v>
      </c>
      <c r="G886" s="149" t="s">
        <v>1870</v>
      </c>
      <c r="H886" s="82" t="str">
        <f t="shared" ref="H886" si="560">CONCATENATE(K886," percent up in ",L886," international stage")</f>
        <v>25 percent up in Moscovian international stage</v>
      </c>
      <c r="I886" s="142" t="str">
        <f t="shared" ref="I886" si="561">CONCATENATE(Q886," percent up in ",R886," international stage")</f>
        <v>50 percent up in Moscovian international stage</v>
      </c>
      <c r="J886" s="7">
        <v>0.25000000000000278</v>
      </c>
      <c r="K886" s="129">
        <f t="shared" ref="K886" si="562">ROUND(J886*100,1)</f>
        <v>25</v>
      </c>
      <c r="L886" s="8" t="s">
        <v>124</v>
      </c>
      <c r="M886" s="5" t="s">
        <v>82</v>
      </c>
      <c r="N886" s="5" t="s">
        <v>82</v>
      </c>
      <c r="O886" s="83"/>
      <c r="P886" s="20">
        <v>0.50000000000000544</v>
      </c>
      <c r="Q886" s="143">
        <f t="shared" ref="Q886" si="563">ROUND(P886*100,1)</f>
        <v>50</v>
      </c>
      <c r="R886" s="21" t="s">
        <v>124</v>
      </c>
      <c r="S886" s="149" t="s">
        <v>1870</v>
      </c>
    </row>
    <row r="887" spans="1:20" ht="28">
      <c r="A887" s="106" t="s">
        <v>958</v>
      </c>
      <c r="B887" s="102" t="s">
        <v>997</v>
      </c>
      <c r="C887" s="5"/>
      <c r="D887" s="5" t="s">
        <v>888</v>
      </c>
      <c r="E887" s="132">
        <f t="shared" si="553"/>
        <v>313.88533333333334</v>
      </c>
      <c r="F887" s="139">
        <f t="shared" si="559"/>
        <v>311.71733333333333</v>
      </c>
      <c r="G887" s="149"/>
      <c r="H887" s="82" t="str">
        <f t="shared" si="531"/>
        <v>15.6 percent up in Moscovian international stage</v>
      </c>
      <c r="I887" s="142" t="str">
        <f t="shared" si="532"/>
        <v>42.2 percent up in Moscovian international stage</v>
      </c>
      <c r="J887" s="7">
        <v>0.15555555555555289</v>
      </c>
      <c r="K887" s="129">
        <f t="shared" si="533"/>
        <v>15.6</v>
      </c>
      <c r="L887" s="8" t="s">
        <v>124</v>
      </c>
      <c r="M887" s="5" t="s">
        <v>82</v>
      </c>
      <c r="N887" s="5" t="s">
        <v>82</v>
      </c>
      <c r="O887" s="83"/>
      <c r="P887" s="20">
        <v>0.42222222222221811</v>
      </c>
      <c r="Q887" s="143">
        <f t="shared" si="534"/>
        <v>42.2</v>
      </c>
      <c r="R887" s="21" t="s">
        <v>124</v>
      </c>
      <c r="S887" s="8" t="s">
        <v>259</v>
      </c>
      <c r="T887" s="7">
        <v>0.26666666666666711</v>
      </c>
    </row>
    <row r="888" spans="1:20" ht="28">
      <c r="A888" s="106" t="s">
        <v>958</v>
      </c>
      <c r="B888" s="102" t="s">
        <v>998</v>
      </c>
      <c r="C888" s="5"/>
      <c r="D888" s="5" t="s">
        <v>82</v>
      </c>
      <c r="E888" s="132">
        <f t="shared" si="553"/>
        <v>315.14999999999998</v>
      </c>
      <c r="F888" s="139">
        <f t="shared" si="559"/>
        <v>309.36519230769227</v>
      </c>
      <c r="G888" s="149"/>
      <c r="H888" s="82" t="str">
        <f t="shared" si="531"/>
        <v>0 percent up in Moscovian international stage</v>
      </c>
      <c r="I888" s="142" t="str">
        <f t="shared" si="532"/>
        <v>71.2 percent up in Moscovian international stage</v>
      </c>
      <c r="J888" s="7">
        <v>0</v>
      </c>
      <c r="K888" s="129">
        <f t="shared" si="533"/>
        <v>0</v>
      </c>
      <c r="L888" s="8" t="s">
        <v>124</v>
      </c>
      <c r="M888" s="5" t="s">
        <v>82</v>
      </c>
      <c r="N888" s="5" t="s">
        <v>82</v>
      </c>
      <c r="O888" s="83"/>
      <c r="P888" s="20">
        <v>0.7115384615384609</v>
      </c>
      <c r="Q888" s="143">
        <f t="shared" si="534"/>
        <v>71.2</v>
      </c>
      <c r="R888" s="21" t="s">
        <v>124</v>
      </c>
      <c r="S888" s="8" t="s">
        <v>230</v>
      </c>
      <c r="T888" s="7" t="s">
        <v>226</v>
      </c>
    </row>
    <row r="889" spans="1:20" ht="28">
      <c r="A889" s="106" t="s">
        <v>958</v>
      </c>
      <c r="B889" s="102" t="s">
        <v>999</v>
      </c>
      <c r="C889" s="5"/>
      <c r="D889" s="5" t="s">
        <v>244</v>
      </c>
      <c r="E889" s="132">
        <f t="shared" si="553"/>
        <v>315.14999999999998</v>
      </c>
      <c r="F889" s="139">
        <f t="shared" si="559"/>
        <v>309.36519230769227</v>
      </c>
      <c r="G889" s="149"/>
      <c r="H889" s="82" t="str">
        <f t="shared" si="531"/>
        <v>0 percent up in Moscovian international stage</v>
      </c>
      <c r="I889" s="142" t="str">
        <f t="shared" si="532"/>
        <v>71.2 percent up in Moscovian international stage</v>
      </c>
      <c r="J889" s="7">
        <v>0</v>
      </c>
      <c r="K889" s="129">
        <f t="shared" si="533"/>
        <v>0</v>
      </c>
      <c r="L889" s="8" t="s">
        <v>124</v>
      </c>
      <c r="M889" s="5" t="s">
        <v>82</v>
      </c>
      <c r="N889" s="5" t="s">
        <v>82</v>
      </c>
      <c r="O889" s="83"/>
      <c r="P889" s="20">
        <v>0.7115384615384609</v>
      </c>
      <c r="Q889" s="143">
        <f t="shared" si="534"/>
        <v>71.2</v>
      </c>
      <c r="R889" s="21" t="s">
        <v>124</v>
      </c>
      <c r="S889" s="8" t="s">
        <v>230</v>
      </c>
      <c r="T889" s="7" t="s">
        <v>226</v>
      </c>
    </row>
    <row r="890" spans="1:20" ht="28">
      <c r="A890" s="106" t="s">
        <v>958</v>
      </c>
      <c r="B890" s="102" t="s">
        <v>1000</v>
      </c>
      <c r="C890" s="5"/>
      <c r="D890" s="5" t="s">
        <v>264</v>
      </c>
      <c r="E890" s="132">
        <f t="shared" si="553"/>
        <v>315.14999999999998</v>
      </c>
      <c r="F890" s="139">
        <f t="shared" si="559"/>
        <v>307.02</v>
      </c>
      <c r="G890" s="149"/>
      <c r="H890" s="82" t="str">
        <f t="shared" si="531"/>
        <v>0 percent up in Moscovian international stage</v>
      </c>
      <c r="I890" s="142" t="str">
        <f t="shared" si="532"/>
        <v>100 percent up in Moscovian international stage</v>
      </c>
      <c r="J890" s="7">
        <v>0</v>
      </c>
      <c r="K890" s="129">
        <f t="shared" si="533"/>
        <v>0</v>
      </c>
      <c r="L890" s="8" t="s">
        <v>124</v>
      </c>
      <c r="M890" s="5" t="s">
        <v>82</v>
      </c>
      <c r="N890" s="5" t="s">
        <v>82</v>
      </c>
      <c r="O890" s="83"/>
      <c r="P890" s="20">
        <v>1</v>
      </c>
      <c r="Q890" s="143">
        <f t="shared" si="534"/>
        <v>100</v>
      </c>
      <c r="R890" s="21" t="s">
        <v>124</v>
      </c>
      <c r="S890" s="8" t="s">
        <v>232</v>
      </c>
      <c r="T890" s="7" t="s">
        <v>226</v>
      </c>
    </row>
    <row r="891" spans="1:20" ht="28">
      <c r="A891" s="106" t="s">
        <v>958</v>
      </c>
      <c r="B891" s="102" t="s">
        <v>1001</v>
      </c>
      <c r="C891" s="5"/>
      <c r="D891" s="5" t="s">
        <v>82</v>
      </c>
      <c r="E891" s="132">
        <f t="shared" si="553"/>
        <v>315.14999999999998</v>
      </c>
      <c r="F891" s="139">
        <f t="shared" si="559"/>
        <v>309.36519230769227</v>
      </c>
      <c r="G891" s="149"/>
      <c r="H891" s="82" t="str">
        <f t="shared" si="531"/>
        <v>0 percent up in Moscovian international stage</v>
      </c>
      <c r="I891" s="142" t="str">
        <f t="shared" si="532"/>
        <v>71.2 percent up in Moscovian international stage</v>
      </c>
      <c r="J891" s="7">
        <v>0</v>
      </c>
      <c r="K891" s="129">
        <f t="shared" si="533"/>
        <v>0</v>
      </c>
      <c r="L891" s="8" t="s">
        <v>124</v>
      </c>
      <c r="M891" s="5" t="s">
        <v>82</v>
      </c>
      <c r="N891" s="5" t="s">
        <v>82</v>
      </c>
      <c r="O891" s="83"/>
      <c r="P891" s="20">
        <v>0.7115384615384609</v>
      </c>
      <c r="Q891" s="143">
        <f t="shared" si="534"/>
        <v>71.2</v>
      </c>
      <c r="R891" s="21" t="s">
        <v>124</v>
      </c>
      <c r="S891" s="8" t="s">
        <v>230</v>
      </c>
      <c r="T891" s="7" t="s">
        <v>226</v>
      </c>
    </row>
    <row r="892" spans="1:20" ht="28">
      <c r="A892" s="106" t="s">
        <v>958</v>
      </c>
      <c r="B892" s="103" t="s">
        <v>1002</v>
      </c>
      <c r="C892" s="5"/>
      <c r="D892" s="5" t="s">
        <v>82</v>
      </c>
      <c r="E892" s="132">
        <f t="shared" si="553"/>
        <v>315.14999999999998</v>
      </c>
      <c r="F892" s="139">
        <f t="shared" si="559"/>
        <v>313.11749999999995</v>
      </c>
      <c r="G892" s="149"/>
      <c r="H892" s="82" t="str">
        <f t="shared" si="531"/>
        <v>0 percent up in Moscovian international stage</v>
      </c>
      <c r="I892" s="142" t="str">
        <f t="shared" si="532"/>
        <v>25 percent up in Moscovian international stage</v>
      </c>
      <c r="J892" s="7">
        <v>0</v>
      </c>
      <c r="K892" s="129">
        <f t="shared" si="533"/>
        <v>0</v>
      </c>
      <c r="L892" s="8" t="s">
        <v>124</v>
      </c>
      <c r="M892" s="5" t="s">
        <v>82</v>
      </c>
      <c r="N892" s="5" t="s">
        <v>82</v>
      </c>
      <c r="O892" s="83"/>
      <c r="P892" s="20">
        <v>0.25000000000000272</v>
      </c>
      <c r="Q892" s="143">
        <f t="shared" si="534"/>
        <v>25</v>
      </c>
      <c r="R892" s="21" t="s">
        <v>124</v>
      </c>
      <c r="S892" s="8" t="s">
        <v>230</v>
      </c>
      <c r="T892" s="7" t="s">
        <v>226</v>
      </c>
    </row>
    <row r="893" spans="1:20" ht="28">
      <c r="A893" s="106" t="s">
        <v>958</v>
      </c>
      <c r="B893" s="102" t="s">
        <v>1003</v>
      </c>
      <c r="C893" s="5"/>
      <c r="D893" s="5" t="s">
        <v>888</v>
      </c>
      <c r="E893" s="132">
        <f t="shared" si="553"/>
        <v>315.14999999999998</v>
      </c>
      <c r="F893" s="139">
        <f t="shared" si="559"/>
        <v>313.88533333333334</v>
      </c>
      <c r="G893" s="149"/>
      <c r="H893" s="82" t="str">
        <f t="shared" si="531"/>
        <v>0 percent up in Moscovian international stage</v>
      </c>
      <c r="I893" s="142" t="str">
        <f t="shared" si="532"/>
        <v>15.6 percent up in Moscovian international stage</v>
      </c>
      <c r="J893" s="7">
        <v>0</v>
      </c>
      <c r="K893" s="129">
        <f t="shared" si="533"/>
        <v>0</v>
      </c>
      <c r="L893" s="8" t="s">
        <v>124</v>
      </c>
      <c r="M893" s="5" t="s">
        <v>82</v>
      </c>
      <c r="N893" s="5" t="s">
        <v>82</v>
      </c>
      <c r="O893" s="83"/>
      <c r="P893" s="20">
        <v>0.15555555555555289</v>
      </c>
      <c r="Q893" s="143">
        <f t="shared" si="534"/>
        <v>15.6</v>
      </c>
      <c r="R893" s="21" t="s">
        <v>124</v>
      </c>
      <c r="S893" s="8" t="s">
        <v>230</v>
      </c>
      <c r="T893" s="7" t="s">
        <v>226</v>
      </c>
    </row>
    <row r="894" spans="1:20" ht="28">
      <c r="A894" s="106" t="s">
        <v>958</v>
      </c>
      <c r="B894" s="102" t="s">
        <v>1004</v>
      </c>
      <c r="C894" s="5"/>
      <c r="D894" s="5" t="s">
        <v>961</v>
      </c>
      <c r="E894" s="132">
        <f t="shared" si="553"/>
        <v>315.14999999999998</v>
      </c>
      <c r="F894" s="139">
        <f t="shared" si="559"/>
        <v>311.24134615384611</v>
      </c>
      <c r="G894" s="149"/>
      <c r="H894" s="82" t="str">
        <f t="shared" si="531"/>
        <v>0 percent up in Moscovian international stage</v>
      </c>
      <c r="I894" s="142" t="str">
        <f t="shared" si="532"/>
        <v>48.1 percent up in Moscovian international stage</v>
      </c>
      <c r="J894" s="7">
        <v>0</v>
      </c>
      <c r="K894" s="129">
        <f t="shared" si="533"/>
        <v>0</v>
      </c>
      <c r="L894" s="8" t="s">
        <v>124</v>
      </c>
      <c r="M894" s="5" t="s">
        <v>82</v>
      </c>
      <c r="N894" s="5" t="s">
        <v>82</v>
      </c>
      <c r="O894" s="83"/>
      <c r="P894" s="20">
        <v>0.48076923076923184</v>
      </c>
      <c r="Q894" s="143">
        <f t="shared" si="534"/>
        <v>48.1</v>
      </c>
      <c r="R894" s="21" t="s">
        <v>124</v>
      </c>
      <c r="S894" s="8" t="s">
        <v>230</v>
      </c>
      <c r="T894" s="7" t="s">
        <v>226</v>
      </c>
    </row>
    <row r="895" spans="1:20" ht="28">
      <c r="A895" s="106"/>
      <c r="B895" s="102" t="s">
        <v>1679</v>
      </c>
      <c r="C895" s="5"/>
      <c r="D895" s="5"/>
      <c r="E895" s="132">
        <f t="shared" si="553"/>
        <v>309.7842</v>
      </c>
      <c r="F895" s="139">
        <f t="shared" si="559"/>
        <v>307.02</v>
      </c>
      <c r="G895" s="149" t="s">
        <v>1667</v>
      </c>
      <c r="H895" s="82" t="str">
        <f t="shared" ref="H895:H897" si="564">CONCATENATE(K895," percent up in ",L895," international stage")</f>
        <v>66 percent up in Moscovian international stage</v>
      </c>
      <c r="I895" s="142" t="str">
        <f t="shared" ref="I895:I897" si="565">CONCATENATE(Q895," percent up in ",R895," international stage")</f>
        <v>100 percent up in Moscovian international stage</v>
      </c>
      <c r="J895" s="7">
        <v>0.66</v>
      </c>
      <c r="K895" s="129">
        <f t="shared" ref="K895:K897" si="566">ROUND(J895*100,1)</f>
        <v>66</v>
      </c>
      <c r="L895" s="8" t="s">
        <v>124</v>
      </c>
      <c r="M895" s="5"/>
      <c r="O895" s="83"/>
      <c r="P895" s="20">
        <v>1</v>
      </c>
      <c r="Q895" s="143">
        <f t="shared" ref="Q895:Q897" si="567">ROUND(P895*100,1)</f>
        <v>100</v>
      </c>
      <c r="R895" s="21" t="s">
        <v>124</v>
      </c>
      <c r="S895" s="151" t="s">
        <v>1667</v>
      </c>
    </row>
    <row r="896" spans="1:20" ht="28">
      <c r="A896" s="106"/>
      <c r="B896" s="102" t="s">
        <v>1680</v>
      </c>
      <c r="C896" s="5"/>
      <c r="D896" s="5"/>
      <c r="E896" s="132">
        <f t="shared" si="553"/>
        <v>312.46709999999996</v>
      </c>
      <c r="F896" s="139">
        <f t="shared" si="559"/>
        <v>309.7842</v>
      </c>
      <c r="G896" s="149" t="s">
        <v>1668</v>
      </c>
      <c r="H896" s="82" t="str">
        <f t="shared" si="564"/>
        <v>33 percent up in Moscovian international stage</v>
      </c>
      <c r="I896" s="142" t="str">
        <f t="shared" si="565"/>
        <v>66 percent up in Moscovian international stage</v>
      </c>
      <c r="J896" s="7">
        <v>0.33</v>
      </c>
      <c r="K896" s="129">
        <f t="shared" si="566"/>
        <v>33</v>
      </c>
      <c r="L896" s="8" t="s">
        <v>124</v>
      </c>
      <c r="M896" s="5"/>
      <c r="O896" s="83"/>
      <c r="P896" s="20">
        <v>0.66</v>
      </c>
      <c r="Q896" s="143">
        <f t="shared" si="567"/>
        <v>66</v>
      </c>
      <c r="R896" s="21" t="s">
        <v>124</v>
      </c>
      <c r="S896" s="151" t="s">
        <v>1668</v>
      </c>
    </row>
    <row r="897" spans="1:20" ht="28">
      <c r="A897" s="106"/>
      <c r="B897" s="102" t="s">
        <v>1681</v>
      </c>
      <c r="C897" s="5"/>
      <c r="D897" s="5"/>
      <c r="E897" s="132">
        <f t="shared" si="553"/>
        <v>315.14999999999998</v>
      </c>
      <c r="F897" s="139">
        <f t="shared" si="559"/>
        <v>312.46709999999996</v>
      </c>
      <c r="G897" s="149" t="s">
        <v>1669</v>
      </c>
      <c r="H897" s="82" t="str">
        <f t="shared" si="564"/>
        <v>0 percent up in Moscovian international stage</v>
      </c>
      <c r="I897" s="142" t="str">
        <f t="shared" si="565"/>
        <v>33 percent up in Moscovian international stage</v>
      </c>
      <c r="J897" s="7">
        <v>0</v>
      </c>
      <c r="K897" s="129">
        <f t="shared" si="566"/>
        <v>0</v>
      </c>
      <c r="L897" s="8" t="s">
        <v>124</v>
      </c>
      <c r="M897" s="5"/>
      <c r="O897" s="83"/>
      <c r="P897" s="20">
        <v>0.33</v>
      </c>
      <c r="Q897" s="143">
        <f t="shared" si="567"/>
        <v>33</v>
      </c>
      <c r="R897" s="21" t="s">
        <v>124</v>
      </c>
      <c r="S897" s="151" t="s">
        <v>1669</v>
      </c>
    </row>
    <row r="898" spans="1:20" ht="28">
      <c r="A898" s="106" t="s">
        <v>958</v>
      </c>
      <c r="B898" s="102" t="s">
        <v>124</v>
      </c>
      <c r="C898" s="135"/>
      <c r="D898" s="135" t="s">
        <v>222</v>
      </c>
      <c r="E898" s="132">
        <f t="shared" si="553"/>
        <v>315.14999999999998</v>
      </c>
      <c r="F898" s="139">
        <f t="shared" si="559"/>
        <v>307.02</v>
      </c>
      <c r="G898" s="149"/>
      <c r="H898" s="82" t="str">
        <f t="shared" si="531"/>
        <v>0 percent up in Moscovian international stage</v>
      </c>
      <c r="I898" s="142" t="str">
        <f t="shared" si="532"/>
        <v>100 percent up in Moscovian international stage</v>
      </c>
      <c r="J898" s="7">
        <v>0</v>
      </c>
      <c r="K898" s="129">
        <f t="shared" si="533"/>
        <v>0</v>
      </c>
      <c r="L898" s="8" t="s">
        <v>124</v>
      </c>
      <c r="M898" s="5" t="s">
        <v>224</v>
      </c>
      <c r="N898" s="5" t="s">
        <v>1006</v>
      </c>
      <c r="O898" s="84">
        <f>Master_Chronostrat!I114</f>
        <v>315.14999999999998</v>
      </c>
      <c r="P898" s="20">
        <v>1</v>
      </c>
      <c r="Q898" s="143">
        <f t="shared" si="534"/>
        <v>100</v>
      </c>
      <c r="R898" s="21" t="s">
        <v>124</v>
      </c>
      <c r="S898" s="8" t="s">
        <v>224</v>
      </c>
      <c r="T898" s="7" t="s">
        <v>226</v>
      </c>
    </row>
    <row r="899" spans="1:20" ht="34">
      <c r="A899" s="106" t="s">
        <v>958</v>
      </c>
      <c r="B899" s="102" t="s">
        <v>1007</v>
      </c>
      <c r="C899" s="135"/>
      <c r="D899" s="135" t="s">
        <v>222</v>
      </c>
      <c r="E899" s="132">
        <f t="shared" si="553"/>
        <v>315.14999999999998</v>
      </c>
      <c r="F899" s="139">
        <f t="shared" si="559"/>
        <v>307.02</v>
      </c>
      <c r="G899" s="149"/>
      <c r="H899" s="82" t="str">
        <f t="shared" si="531"/>
        <v>0 percent up in Moscovian international stage</v>
      </c>
      <c r="I899" s="142" t="str">
        <f t="shared" si="532"/>
        <v>100 percent up in Moscovian international stage</v>
      </c>
      <c r="J899" s="7">
        <v>0</v>
      </c>
      <c r="K899" s="129">
        <f t="shared" si="533"/>
        <v>0</v>
      </c>
      <c r="L899" s="8" t="s">
        <v>124</v>
      </c>
      <c r="M899" s="5" t="s">
        <v>224</v>
      </c>
      <c r="N899" s="5" t="s">
        <v>1006</v>
      </c>
      <c r="O899" s="84">
        <f>Master_Chronostrat!I114</f>
        <v>315.14999999999998</v>
      </c>
      <c r="P899" s="20">
        <v>1</v>
      </c>
      <c r="Q899" s="143">
        <f t="shared" si="534"/>
        <v>100</v>
      </c>
      <c r="R899" s="21" t="s">
        <v>124</v>
      </c>
      <c r="S899" s="8" t="s">
        <v>224</v>
      </c>
      <c r="T899" s="7" t="s">
        <v>226</v>
      </c>
    </row>
    <row r="900" spans="1:20" ht="28">
      <c r="A900" s="106" t="s">
        <v>958</v>
      </c>
      <c r="B900" s="102" t="s">
        <v>1008</v>
      </c>
      <c r="C900" s="5"/>
      <c r="D900" s="5" t="s">
        <v>888</v>
      </c>
      <c r="E900" s="132">
        <f t="shared" ref="E900:E932" si="568">$O$932-J900*($O$932-$O$899)</f>
        <v>316.56796874999998</v>
      </c>
      <c r="F900" s="139">
        <f>$O$932-P900*($O$932-$O$899)</f>
        <v>315.14999999999998</v>
      </c>
      <c r="G900" s="149"/>
      <c r="H900" s="82" t="str">
        <f t="shared" si="531"/>
        <v>82.8 percent up in Bashkirian international stage</v>
      </c>
      <c r="I900" s="142" t="str">
        <f t="shared" si="532"/>
        <v>100 percent up in Bashkirian international stage</v>
      </c>
      <c r="J900" s="7">
        <v>0.82812499999999734</v>
      </c>
      <c r="K900" s="129">
        <f t="shared" si="533"/>
        <v>82.8</v>
      </c>
      <c r="L900" s="8" t="s">
        <v>127</v>
      </c>
      <c r="M900" s="5" t="s">
        <v>82</v>
      </c>
      <c r="N900" s="5" t="s">
        <v>82</v>
      </c>
      <c r="O900" s="83"/>
      <c r="P900" s="20">
        <v>1</v>
      </c>
      <c r="Q900" s="143">
        <f t="shared" si="534"/>
        <v>100</v>
      </c>
      <c r="R900" s="21" t="s">
        <v>127</v>
      </c>
      <c r="S900" s="8" t="s">
        <v>272</v>
      </c>
      <c r="T900" s="7" t="s">
        <v>226</v>
      </c>
    </row>
    <row r="901" spans="1:20" ht="28">
      <c r="A901" s="106" t="s">
        <v>958</v>
      </c>
      <c r="B901" s="102" t="s">
        <v>1009</v>
      </c>
      <c r="C901" s="5"/>
      <c r="D901" s="5" t="s">
        <v>248</v>
      </c>
      <c r="E901" s="132">
        <f t="shared" si="568"/>
        <v>316.82578124999998</v>
      </c>
      <c r="F901" s="139">
        <f>$O$899-P901*($O$899-$O$871)</f>
        <v>312.49211538461537</v>
      </c>
      <c r="G901" s="149"/>
      <c r="H901" s="82" t="str">
        <f t="shared" si="531"/>
        <v>79.7 percent up in Bashkirian international stage</v>
      </c>
      <c r="I901" s="142" t="str">
        <f t="shared" si="532"/>
        <v>32.7 percent up in Moscovian international stage</v>
      </c>
      <c r="J901" s="7">
        <v>0.79687499999999933</v>
      </c>
      <c r="K901" s="129">
        <f t="shared" si="533"/>
        <v>79.7</v>
      </c>
      <c r="L901" s="8" t="s">
        <v>127</v>
      </c>
      <c r="M901" s="5" t="s">
        <v>82</v>
      </c>
      <c r="N901" s="5" t="s">
        <v>82</v>
      </c>
      <c r="O901" s="83"/>
      <c r="P901" s="20">
        <v>0.32692307692307543</v>
      </c>
      <c r="Q901" s="143">
        <f t="shared" si="534"/>
        <v>32.700000000000003</v>
      </c>
      <c r="R901" s="21" t="s">
        <v>124</v>
      </c>
      <c r="S901" s="8" t="s">
        <v>246</v>
      </c>
      <c r="T901" s="7" t="s">
        <v>226</v>
      </c>
    </row>
    <row r="902" spans="1:20" ht="28">
      <c r="A902" s="106" t="s">
        <v>958</v>
      </c>
      <c r="B902" s="102" t="s">
        <v>1010</v>
      </c>
      <c r="C902" s="5"/>
      <c r="D902" s="5" t="s">
        <v>82</v>
      </c>
      <c r="E902" s="132">
        <f t="shared" si="568"/>
        <v>317.34140624999998</v>
      </c>
      <c r="F902" s="139">
        <f>$O$932-P902*($O$932-$O$899)</f>
        <v>315.14999999999998</v>
      </c>
      <c r="G902" s="149"/>
      <c r="H902" s="82" t="str">
        <f t="shared" si="531"/>
        <v>73.4 percent up in Bashkirian international stage</v>
      </c>
      <c r="I902" s="142" t="str">
        <f t="shared" si="532"/>
        <v>100 percent up in Bashkirian international stage</v>
      </c>
      <c r="J902" s="7">
        <v>0.73437500000000322</v>
      </c>
      <c r="K902" s="129">
        <f t="shared" si="533"/>
        <v>73.400000000000006</v>
      </c>
      <c r="L902" s="8" t="s">
        <v>127</v>
      </c>
      <c r="M902" s="5" t="s">
        <v>82</v>
      </c>
      <c r="N902" s="5" t="s">
        <v>82</v>
      </c>
      <c r="O902" s="83"/>
      <c r="P902" s="20">
        <v>1</v>
      </c>
      <c r="Q902" s="143">
        <f t="shared" si="534"/>
        <v>100</v>
      </c>
      <c r="R902" s="21" t="s">
        <v>127</v>
      </c>
      <c r="S902" s="8" t="s">
        <v>272</v>
      </c>
      <c r="T902" s="7" t="s">
        <v>226</v>
      </c>
    </row>
    <row r="903" spans="1:20" ht="28">
      <c r="A903" s="106" t="s">
        <v>958</v>
      </c>
      <c r="B903" s="102" t="s">
        <v>1011</v>
      </c>
      <c r="C903" s="5"/>
      <c r="D903" s="5" t="s">
        <v>961</v>
      </c>
      <c r="E903" s="132">
        <f t="shared" si="568"/>
        <v>317.34140624999998</v>
      </c>
      <c r="F903" s="139">
        <f>$O$932-P903*($O$932-$O$899)</f>
        <v>315.14999999999998</v>
      </c>
      <c r="G903" s="149"/>
      <c r="H903" s="82" t="str">
        <f t="shared" si="531"/>
        <v>73.4 percent up in Bashkirian international stage</v>
      </c>
      <c r="I903" s="142" t="str">
        <f t="shared" si="532"/>
        <v>100 percent up in Bashkirian international stage</v>
      </c>
      <c r="J903" s="7">
        <v>0.73437500000000322</v>
      </c>
      <c r="K903" s="129">
        <f t="shared" si="533"/>
        <v>73.400000000000006</v>
      </c>
      <c r="L903" s="8" t="s">
        <v>127</v>
      </c>
      <c r="M903" s="5" t="s">
        <v>82</v>
      </c>
      <c r="N903" s="5" t="s">
        <v>82</v>
      </c>
      <c r="O903" s="83"/>
      <c r="P903" s="20">
        <v>1</v>
      </c>
      <c r="Q903" s="143">
        <f t="shared" si="534"/>
        <v>100</v>
      </c>
      <c r="R903" s="21" t="s">
        <v>127</v>
      </c>
      <c r="S903" s="8" t="s">
        <v>272</v>
      </c>
      <c r="T903" s="7" t="s">
        <v>226</v>
      </c>
    </row>
    <row r="904" spans="1:20" ht="28">
      <c r="A904" s="106" t="s">
        <v>958</v>
      </c>
      <c r="B904" s="102" t="s">
        <v>1012</v>
      </c>
      <c r="C904" s="5"/>
      <c r="D904" s="5" t="s">
        <v>248</v>
      </c>
      <c r="E904" s="132">
        <f t="shared" si="568"/>
        <v>318.11484374999998</v>
      </c>
      <c r="F904" s="139">
        <f>$O$871-P904*($O$871-$O$855)</f>
        <v>303.67779999999999</v>
      </c>
      <c r="G904" s="149"/>
      <c r="H904" s="82" t="str">
        <f t="shared" si="531"/>
        <v>64.1 percent up in Bashkirian international stage</v>
      </c>
      <c r="I904" s="142" t="str">
        <f t="shared" si="532"/>
        <v>100 percent up in Kasimovian international stage</v>
      </c>
      <c r="J904" s="7">
        <v>0.64062500000000011</v>
      </c>
      <c r="K904" s="129">
        <f t="shared" si="533"/>
        <v>64.099999999999994</v>
      </c>
      <c r="L904" s="8" t="s">
        <v>127</v>
      </c>
      <c r="M904" s="5" t="s">
        <v>82</v>
      </c>
      <c r="N904" s="5" t="s">
        <v>82</v>
      </c>
      <c r="O904" s="83"/>
      <c r="P904" s="20">
        <v>1</v>
      </c>
      <c r="Q904" s="143">
        <f t="shared" si="534"/>
        <v>100</v>
      </c>
      <c r="R904" s="21" t="s">
        <v>122</v>
      </c>
      <c r="S904" s="8" t="s">
        <v>246</v>
      </c>
      <c r="T904" s="7" t="s">
        <v>226</v>
      </c>
    </row>
    <row r="905" spans="1:20" ht="28">
      <c r="A905" s="106" t="s">
        <v>958</v>
      </c>
      <c r="B905" s="102" t="s">
        <v>1013</v>
      </c>
      <c r="C905" s="5"/>
      <c r="D905" s="5" t="s">
        <v>888</v>
      </c>
      <c r="E905" s="132">
        <f t="shared" si="568"/>
        <v>318.75937499999998</v>
      </c>
      <c r="F905" s="139">
        <f>$O$932-P905*($O$932-$O$899)</f>
        <v>317.34140624999998</v>
      </c>
      <c r="G905" s="149"/>
      <c r="H905" s="82" t="str">
        <f t="shared" si="531"/>
        <v>56.3 percent up in Bashkirian international stage</v>
      </c>
      <c r="I905" s="142" t="str">
        <f t="shared" si="532"/>
        <v>73.4 percent up in Bashkirian international stage</v>
      </c>
      <c r="J905" s="7">
        <v>0.56250000000000056</v>
      </c>
      <c r="K905" s="129">
        <f t="shared" si="533"/>
        <v>56.3</v>
      </c>
      <c r="L905" s="8" t="s">
        <v>127</v>
      </c>
      <c r="M905" s="5" t="s">
        <v>82</v>
      </c>
      <c r="N905" s="5" t="s">
        <v>82</v>
      </c>
      <c r="O905" s="83"/>
      <c r="P905" s="20">
        <v>0.73437500000000322</v>
      </c>
      <c r="Q905" s="143">
        <f t="shared" si="534"/>
        <v>73.400000000000006</v>
      </c>
      <c r="R905" s="21" t="s">
        <v>127</v>
      </c>
      <c r="S905" s="8" t="s">
        <v>259</v>
      </c>
      <c r="T905" s="7">
        <v>0.171875</v>
      </c>
    </row>
    <row r="906" spans="1:20" ht="28">
      <c r="A906" s="106" t="s">
        <v>958</v>
      </c>
      <c r="B906" s="102" t="s">
        <v>1014</v>
      </c>
      <c r="C906" s="5"/>
      <c r="D906" s="5" t="s">
        <v>961</v>
      </c>
      <c r="E906" s="132">
        <f t="shared" si="568"/>
        <v>318.75937499999998</v>
      </c>
      <c r="F906" s="139">
        <f>$O$932-P906*($O$932-$O$899)</f>
        <v>317.34140624999998</v>
      </c>
      <c r="G906" s="149"/>
      <c r="H906" s="82" t="str">
        <f t="shared" si="531"/>
        <v>56.3 percent up in Bashkirian international stage</v>
      </c>
      <c r="I906" s="142" t="str">
        <f t="shared" si="532"/>
        <v>73.4 percent up in Bashkirian international stage</v>
      </c>
      <c r="J906" s="7">
        <v>0.56250000000000056</v>
      </c>
      <c r="K906" s="129">
        <f t="shared" si="533"/>
        <v>56.3</v>
      </c>
      <c r="L906" s="8" t="s">
        <v>127</v>
      </c>
      <c r="M906" s="5" t="s">
        <v>82</v>
      </c>
      <c r="N906" s="5" t="s">
        <v>82</v>
      </c>
      <c r="O906" s="83"/>
      <c r="P906" s="20">
        <v>0.73437500000000322</v>
      </c>
      <c r="Q906" s="143">
        <f t="shared" si="534"/>
        <v>73.400000000000006</v>
      </c>
      <c r="R906" s="21" t="s">
        <v>127</v>
      </c>
      <c r="S906" s="8" t="s">
        <v>259</v>
      </c>
      <c r="T906" s="7">
        <v>0.171875</v>
      </c>
    </row>
    <row r="907" spans="1:20" ht="28">
      <c r="A907" s="106" t="s">
        <v>958</v>
      </c>
      <c r="B907" s="102" t="s">
        <v>1015</v>
      </c>
      <c r="C907" s="5"/>
      <c r="D907" s="5" t="s">
        <v>82</v>
      </c>
      <c r="E907" s="132">
        <f t="shared" si="568"/>
        <v>318.75937499999998</v>
      </c>
      <c r="F907" s="139">
        <f>$O$932-P907*($O$932-$O$899)</f>
        <v>317.34140624999998</v>
      </c>
      <c r="G907" s="149"/>
      <c r="H907" s="82" t="str">
        <f t="shared" si="531"/>
        <v>56.3 percent up in Bashkirian international stage</v>
      </c>
      <c r="I907" s="142" t="str">
        <f t="shared" si="532"/>
        <v>73.4 percent up in Bashkirian international stage</v>
      </c>
      <c r="J907" s="7">
        <v>0.56250000000000056</v>
      </c>
      <c r="K907" s="129">
        <f t="shared" si="533"/>
        <v>56.3</v>
      </c>
      <c r="L907" s="8" t="s">
        <v>127</v>
      </c>
      <c r="M907" s="5" t="s">
        <v>82</v>
      </c>
      <c r="N907" s="5" t="s">
        <v>82</v>
      </c>
      <c r="O907" s="83"/>
      <c r="P907" s="20">
        <v>0.73437500000000322</v>
      </c>
      <c r="Q907" s="143">
        <f t="shared" si="534"/>
        <v>73.400000000000006</v>
      </c>
      <c r="R907" s="21" t="s">
        <v>127</v>
      </c>
      <c r="S907" s="8" t="s">
        <v>259</v>
      </c>
      <c r="T907" s="7">
        <v>0.171875</v>
      </c>
    </row>
    <row r="908" spans="1:20" ht="28">
      <c r="A908" s="106" t="s">
        <v>958</v>
      </c>
      <c r="B908" s="102" t="s">
        <v>1016</v>
      </c>
      <c r="C908" s="5"/>
      <c r="D908" s="5" t="s">
        <v>888</v>
      </c>
      <c r="E908" s="132">
        <f t="shared" si="568"/>
        <v>319.40390624999998</v>
      </c>
      <c r="F908" s="139">
        <f>$O$932-P908*($O$932-$O$899)</f>
        <v>318.11484374999998</v>
      </c>
      <c r="G908" s="149"/>
      <c r="H908" s="82" t="str">
        <f t="shared" si="531"/>
        <v>48.4 percent up in Bashkirian international stage</v>
      </c>
      <c r="I908" s="142" t="str">
        <f t="shared" si="532"/>
        <v>64.1 percent up in Bashkirian international stage</v>
      </c>
      <c r="J908" s="7">
        <v>0.484375000000001</v>
      </c>
      <c r="K908" s="129">
        <f t="shared" si="533"/>
        <v>48.4</v>
      </c>
      <c r="L908" s="8" t="s">
        <v>127</v>
      </c>
      <c r="M908" s="5" t="s">
        <v>82</v>
      </c>
      <c r="N908" s="5" t="s">
        <v>82</v>
      </c>
      <c r="O908" s="83"/>
      <c r="P908" s="20">
        <v>0.64062500000000011</v>
      </c>
      <c r="Q908" s="143">
        <f t="shared" si="534"/>
        <v>64.099999999999994</v>
      </c>
      <c r="R908" s="21" t="s">
        <v>127</v>
      </c>
      <c r="S908" s="8" t="s">
        <v>259</v>
      </c>
      <c r="T908" s="7">
        <v>0.15625</v>
      </c>
    </row>
    <row r="909" spans="1:20" ht="28">
      <c r="A909" s="106" t="s">
        <v>958</v>
      </c>
      <c r="B909" s="103" t="s">
        <v>1005</v>
      </c>
      <c r="C909" s="5"/>
      <c r="D909" s="5" t="s">
        <v>264</v>
      </c>
      <c r="E909" s="132">
        <f t="shared" si="568"/>
        <v>319.40390624999998</v>
      </c>
      <c r="F909" s="139">
        <f>$O$899-P909*($O$899-$O$871)</f>
        <v>313.11749999999995</v>
      </c>
      <c r="G909" s="149"/>
      <c r="H909" s="82" t="str">
        <f t="shared" ref="H909" si="569">CONCATENATE(K909," percent up in ",L909," international stage")</f>
        <v>48.4 percent up in Bashkirian international stage</v>
      </c>
      <c r="I909" s="142" t="str">
        <f t="shared" ref="I909" si="570">CONCATENATE(Q909," percent up in ",R909," international stage")</f>
        <v>25 percent up in Moscovian international stage</v>
      </c>
      <c r="J909" s="7">
        <v>0.484375000000001</v>
      </c>
      <c r="K909" s="129">
        <f t="shared" ref="K909" si="571">ROUND(J909*100,1)</f>
        <v>48.4</v>
      </c>
      <c r="L909" s="8" t="s">
        <v>127</v>
      </c>
      <c r="M909" s="5" t="s">
        <v>82</v>
      </c>
      <c r="N909" s="5" t="s">
        <v>82</v>
      </c>
      <c r="O909" s="83"/>
      <c r="P909" s="20">
        <v>0.25000000000000272</v>
      </c>
      <c r="Q909" s="143">
        <f>ROUND(P909*100,1)</f>
        <v>25</v>
      </c>
      <c r="R909" s="21" t="s">
        <v>124</v>
      </c>
      <c r="S909" s="8" t="s">
        <v>230</v>
      </c>
      <c r="T909" s="7" t="s">
        <v>226</v>
      </c>
    </row>
    <row r="910" spans="1:20" ht="28">
      <c r="A910" s="106"/>
      <c r="B910" s="103" t="s">
        <v>1866</v>
      </c>
      <c r="C910" s="5"/>
      <c r="D910" s="5"/>
      <c r="E910" s="132">
        <f t="shared" si="568"/>
        <v>319.40390624999998</v>
      </c>
      <c r="F910" s="139">
        <f>$O$899-P910*($O$899-$O$871)</f>
        <v>313.11749999999995</v>
      </c>
      <c r="G910" s="149" t="s">
        <v>1867</v>
      </c>
      <c r="H910" s="82" t="str">
        <f t="shared" ref="H910:H911" si="572">CONCATENATE(K910," percent up in ",L910," international stage")</f>
        <v>48.4 percent up in Bashkirian international stage</v>
      </c>
      <c r="I910" s="142" t="str">
        <f t="shared" ref="I910:I911" si="573">CONCATENATE(Q910," percent up in ",R910," international stage")</f>
        <v>25 percent up in Moscovian international stage</v>
      </c>
      <c r="J910" s="7">
        <v>0.484375000000001</v>
      </c>
      <c r="K910" s="129">
        <f t="shared" ref="K910:K911" si="574">ROUND(J910*100,1)</f>
        <v>48.4</v>
      </c>
      <c r="L910" s="8" t="s">
        <v>127</v>
      </c>
      <c r="M910" s="5" t="s">
        <v>82</v>
      </c>
      <c r="N910" s="5" t="s">
        <v>82</v>
      </c>
      <c r="O910" s="83"/>
      <c r="P910" s="20">
        <v>0.25000000000000272</v>
      </c>
      <c r="Q910" s="143">
        <f t="shared" ref="Q910:Q911" si="575">ROUND(P910*100,1)</f>
        <v>25</v>
      </c>
      <c r="R910" s="21" t="s">
        <v>124</v>
      </c>
      <c r="S910" s="149" t="s">
        <v>1867</v>
      </c>
    </row>
    <row r="911" spans="1:20" ht="28">
      <c r="A911" s="106"/>
      <c r="B911" s="103" t="s">
        <v>1872</v>
      </c>
      <c r="C911" s="5"/>
      <c r="D911" s="5"/>
      <c r="E911" s="132">
        <f t="shared" ref="E911" si="576">$O$932-J911*($O$932-$O$899)</f>
        <v>319.40390624999998</v>
      </c>
      <c r="F911" s="139">
        <f>$O$899-P911*($O$899-$O$871)</f>
        <v>307.02</v>
      </c>
      <c r="G911" s="149" t="s">
        <v>1645</v>
      </c>
      <c r="H911" s="82" t="str">
        <f t="shared" si="572"/>
        <v>48.4 percent up in Bashkirian international stage</v>
      </c>
      <c r="I911" s="142" t="str">
        <f t="shared" si="573"/>
        <v>100 percent up in Moscovian international stage</v>
      </c>
      <c r="J911" s="7">
        <v>0.484375000000001</v>
      </c>
      <c r="K911" s="129">
        <f t="shared" si="574"/>
        <v>48.4</v>
      </c>
      <c r="L911" s="8" t="s">
        <v>127</v>
      </c>
      <c r="M911" s="5" t="s">
        <v>82</v>
      </c>
      <c r="N911" s="5" t="s">
        <v>82</v>
      </c>
      <c r="O911" s="83"/>
      <c r="P911" s="20">
        <v>1</v>
      </c>
      <c r="Q911" s="143">
        <f t="shared" si="575"/>
        <v>100</v>
      </c>
      <c r="R911" s="21" t="s">
        <v>124</v>
      </c>
      <c r="S911" s="149" t="s">
        <v>1645</v>
      </c>
    </row>
    <row r="912" spans="1:20" ht="28">
      <c r="A912" s="106" t="s">
        <v>958</v>
      </c>
      <c r="B912" s="102" t="s">
        <v>1017</v>
      </c>
      <c r="C912" s="5"/>
      <c r="D912" s="5" t="s">
        <v>264</v>
      </c>
      <c r="E912" s="132">
        <f t="shared" si="568"/>
        <v>319.40390624999998</v>
      </c>
      <c r="F912" s="139">
        <f>$O$899-P912*($O$899-$O$871)</f>
        <v>307.02</v>
      </c>
      <c r="G912" s="149"/>
      <c r="H912" s="82" t="str">
        <f t="shared" si="531"/>
        <v>48.4 percent up in Bashkirian international stage</v>
      </c>
      <c r="I912" s="142" t="str">
        <f t="shared" si="532"/>
        <v>100 percent up in Moscovian international stage</v>
      </c>
      <c r="J912" s="7">
        <v>0.484375000000001</v>
      </c>
      <c r="K912" s="129">
        <f t="shared" si="533"/>
        <v>48.4</v>
      </c>
      <c r="L912" s="8" t="s">
        <v>127</v>
      </c>
      <c r="M912" s="5" t="s">
        <v>82</v>
      </c>
      <c r="N912" s="5" t="s">
        <v>82</v>
      </c>
      <c r="O912" s="83"/>
      <c r="P912" s="20">
        <v>1</v>
      </c>
      <c r="Q912" s="143">
        <f t="shared" si="534"/>
        <v>100</v>
      </c>
      <c r="R912" s="21" t="s">
        <v>124</v>
      </c>
      <c r="S912" s="8" t="s">
        <v>246</v>
      </c>
      <c r="T912" s="7" t="s">
        <v>226</v>
      </c>
    </row>
    <row r="913" spans="1:20" ht="28">
      <c r="A913" s="106" t="s">
        <v>958</v>
      </c>
      <c r="B913" s="102" t="s">
        <v>1018</v>
      </c>
      <c r="C913" s="5"/>
      <c r="D913" s="5" t="s">
        <v>82</v>
      </c>
      <c r="E913" s="132">
        <f t="shared" si="568"/>
        <v>320.04843749999998</v>
      </c>
      <c r="F913" s="139">
        <f t="shared" ref="F913:F918" si="577">$O$932-P913*($O$932-$O$899)</f>
        <v>318.75937499999998</v>
      </c>
      <c r="G913" s="149"/>
      <c r="H913" s="82" t="str">
        <f t="shared" si="531"/>
        <v>40.6 percent up in Bashkirian international stage</v>
      </c>
      <c r="I913" s="142" t="str">
        <f t="shared" si="532"/>
        <v>56.3 percent up in Bashkirian international stage</v>
      </c>
      <c r="J913" s="7">
        <v>0.40625000000000133</v>
      </c>
      <c r="K913" s="129">
        <f t="shared" si="533"/>
        <v>40.6</v>
      </c>
      <c r="L913" s="8" t="s">
        <v>127</v>
      </c>
      <c r="M913" s="5" t="s">
        <v>82</v>
      </c>
      <c r="N913" s="5" t="s">
        <v>82</v>
      </c>
      <c r="O913" s="83"/>
      <c r="P913" s="20">
        <v>0.56250000000000056</v>
      </c>
      <c r="Q913" s="143">
        <f t="shared" si="534"/>
        <v>56.3</v>
      </c>
      <c r="R913" s="21" t="s">
        <v>127</v>
      </c>
      <c r="S913" s="8" t="s">
        <v>259</v>
      </c>
      <c r="T913" s="7">
        <v>0.15625</v>
      </c>
    </row>
    <row r="914" spans="1:20" ht="28">
      <c r="A914" s="106" t="s">
        <v>958</v>
      </c>
      <c r="B914" s="102" t="s">
        <v>1019</v>
      </c>
      <c r="C914" s="5"/>
      <c r="D914" s="5" t="s">
        <v>888</v>
      </c>
      <c r="E914" s="132">
        <f t="shared" si="568"/>
        <v>320.69296874999998</v>
      </c>
      <c r="F914" s="139">
        <f t="shared" si="577"/>
        <v>319.40390624999998</v>
      </c>
      <c r="G914" s="149"/>
      <c r="H914" s="82" t="str">
        <f t="shared" si="531"/>
        <v>32.8 percent up in Bashkirian international stage</v>
      </c>
      <c r="I914" s="142" t="str">
        <f t="shared" si="532"/>
        <v>48.4 percent up in Bashkirian international stage</v>
      </c>
      <c r="J914" s="7">
        <v>0.32812500000000178</v>
      </c>
      <c r="K914" s="129">
        <f t="shared" si="533"/>
        <v>32.799999999999997</v>
      </c>
      <c r="L914" s="8" t="s">
        <v>127</v>
      </c>
      <c r="M914" s="5" t="s">
        <v>82</v>
      </c>
      <c r="N914" s="5" t="s">
        <v>82</v>
      </c>
      <c r="O914" s="83"/>
      <c r="P914" s="20">
        <v>0.484375000000001</v>
      </c>
      <c r="Q914" s="143">
        <f t="shared" si="534"/>
        <v>48.4</v>
      </c>
      <c r="R914" s="21" t="s">
        <v>127</v>
      </c>
      <c r="S914" s="8" t="s">
        <v>259</v>
      </c>
      <c r="T914" s="7">
        <v>0.15625</v>
      </c>
    </row>
    <row r="915" spans="1:20" ht="28">
      <c r="A915" s="106" t="s">
        <v>958</v>
      </c>
      <c r="B915" s="102" t="s">
        <v>1020</v>
      </c>
      <c r="C915" s="5"/>
      <c r="D915" s="5" t="s">
        <v>82</v>
      </c>
      <c r="E915" s="132">
        <f t="shared" si="568"/>
        <v>321.98203124999998</v>
      </c>
      <c r="F915" s="139">
        <f t="shared" si="577"/>
        <v>320.04843749999998</v>
      </c>
      <c r="G915" s="149"/>
      <c r="H915" s="82" t="str">
        <f t="shared" si="531"/>
        <v>17.2 percent up in Bashkirian international stage</v>
      </c>
      <c r="I915" s="142" t="str">
        <f t="shared" si="532"/>
        <v>40.6 percent up in Bashkirian international stage</v>
      </c>
      <c r="J915" s="7">
        <v>0.17187500000000266</v>
      </c>
      <c r="K915" s="129">
        <f t="shared" si="533"/>
        <v>17.2</v>
      </c>
      <c r="L915" s="8" t="s">
        <v>127</v>
      </c>
      <c r="M915" s="5" t="s">
        <v>82</v>
      </c>
      <c r="N915" s="5" t="s">
        <v>82</v>
      </c>
      <c r="O915" s="83"/>
      <c r="P915" s="20">
        <v>0.40625000000000139</v>
      </c>
      <c r="Q915" s="143">
        <f t="shared" si="534"/>
        <v>40.6</v>
      </c>
      <c r="R915" s="21" t="s">
        <v>127</v>
      </c>
      <c r="S915" s="8" t="s">
        <v>259</v>
      </c>
      <c r="T915" s="7">
        <v>0.234375</v>
      </c>
    </row>
    <row r="916" spans="1:20" ht="28">
      <c r="A916" s="106" t="s">
        <v>958</v>
      </c>
      <c r="B916" s="103" t="s">
        <v>1021</v>
      </c>
      <c r="C916" s="5"/>
      <c r="D916" s="5" t="s">
        <v>82</v>
      </c>
      <c r="E916" s="132">
        <f t="shared" si="568"/>
        <v>321.98203124999998</v>
      </c>
      <c r="F916" s="139">
        <f t="shared" si="577"/>
        <v>315.14999999999998</v>
      </c>
      <c r="G916" s="149"/>
      <c r="H916" s="82" t="str">
        <f t="shared" si="531"/>
        <v>17.2 percent up in Bashkirian international stage</v>
      </c>
      <c r="I916" s="142" t="str">
        <f t="shared" si="532"/>
        <v>100 percent up in Bashkirian international stage</v>
      </c>
      <c r="J916" s="7">
        <v>0.17187500000000266</v>
      </c>
      <c r="K916" s="129">
        <f t="shared" si="533"/>
        <v>17.2</v>
      </c>
      <c r="L916" s="8" t="s">
        <v>127</v>
      </c>
      <c r="M916" s="5" t="s">
        <v>82</v>
      </c>
      <c r="N916" s="5" t="s">
        <v>82</v>
      </c>
      <c r="O916" s="83"/>
      <c r="P916" s="20">
        <v>1</v>
      </c>
      <c r="Q916" s="143">
        <f t="shared" si="534"/>
        <v>100</v>
      </c>
      <c r="R916" s="21" t="s">
        <v>127</v>
      </c>
      <c r="S916" s="8" t="s">
        <v>272</v>
      </c>
      <c r="T916" s="7" t="s">
        <v>226</v>
      </c>
    </row>
    <row r="917" spans="1:20" ht="28">
      <c r="A917" s="106" t="s">
        <v>958</v>
      </c>
      <c r="B917" s="102" t="s">
        <v>1022</v>
      </c>
      <c r="C917" s="5"/>
      <c r="D917" s="5" t="s">
        <v>888</v>
      </c>
      <c r="E917" s="132">
        <f t="shared" si="568"/>
        <v>322.23984374999992</v>
      </c>
      <c r="F917" s="139">
        <f t="shared" si="577"/>
        <v>320.69296874999998</v>
      </c>
      <c r="G917" s="149"/>
      <c r="H917" s="82" t="str">
        <f t="shared" si="531"/>
        <v>14.1 percent up in Bashkirian international stage</v>
      </c>
      <c r="I917" s="142" t="str">
        <f t="shared" si="532"/>
        <v>32.8 percent up in Bashkirian international stage</v>
      </c>
      <c r="J917" s="7">
        <v>0.14062500000000455</v>
      </c>
      <c r="K917" s="129">
        <f t="shared" si="533"/>
        <v>14.1</v>
      </c>
      <c r="L917" s="8" t="s">
        <v>127</v>
      </c>
      <c r="M917" s="5" t="s">
        <v>82</v>
      </c>
      <c r="N917" s="5" t="s">
        <v>82</v>
      </c>
      <c r="O917" s="83"/>
      <c r="P917" s="20">
        <v>0.32812500000000178</v>
      </c>
      <c r="Q917" s="143">
        <f t="shared" si="534"/>
        <v>32.799999999999997</v>
      </c>
      <c r="R917" s="21" t="s">
        <v>127</v>
      </c>
      <c r="S917" s="8" t="s">
        <v>259</v>
      </c>
      <c r="T917" s="7">
        <v>0.18749999999999289</v>
      </c>
    </row>
    <row r="918" spans="1:20" ht="28">
      <c r="A918" s="106" t="s">
        <v>958</v>
      </c>
      <c r="B918" s="102" t="s">
        <v>1023</v>
      </c>
      <c r="C918" s="5"/>
      <c r="D918" s="5" t="s">
        <v>888</v>
      </c>
      <c r="E918" s="132">
        <f t="shared" si="568"/>
        <v>323.01328124999998</v>
      </c>
      <c r="F918" s="139">
        <f t="shared" si="577"/>
        <v>322.23984374999992</v>
      </c>
      <c r="G918" s="149"/>
      <c r="H918" s="82" t="str">
        <f t="shared" si="531"/>
        <v>4.7 percent up in Bashkirian international stage</v>
      </c>
      <c r="I918" s="142" t="str">
        <f t="shared" si="532"/>
        <v>14.1 percent up in Bashkirian international stage</v>
      </c>
      <c r="J918" s="7">
        <v>4.6875000000001554E-2</v>
      </c>
      <c r="K918" s="129">
        <f t="shared" si="533"/>
        <v>4.7</v>
      </c>
      <c r="L918" s="8" t="s">
        <v>127</v>
      </c>
      <c r="M918" s="5" t="s">
        <v>82</v>
      </c>
      <c r="N918" s="5" t="s">
        <v>82</v>
      </c>
      <c r="O918" s="83"/>
      <c r="P918" s="20">
        <v>0.14062500000000458</v>
      </c>
      <c r="Q918" s="143">
        <f t="shared" si="534"/>
        <v>14.1</v>
      </c>
      <c r="R918" s="21" t="s">
        <v>127</v>
      </c>
      <c r="S918" s="8" t="s">
        <v>259</v>
      </c>
      <c r="T918" s="7">
        <v>9.3750000000007105E-2</v>
      </c>
    </row>
    <row r="919" spans="1:20" ht="28">
      <c r="A919" s="106" t="s">
        <v>958</v>
      </c>
      <c r="B919" s="102" t="s">
        <v>1024</v>
      </c>
      <c r="C919" s="5"/>
      <c r="D919" s="5" t="s">
        <v>82</v>
      </c>
      <c r="E919" s="132">
        <f t="shared" si="568"/>
        <v>323.39999999999998</v>
      </c>
      <c r="F919" s="139">
        <f>$O$899-P919*($O$899-$O$871)</f>
        <v>312.07866666666666</v>
      </c>
      <c r="G919" s="149"/>
      <c r="H919" s="82" t="str">
        <f t="shared" si="531"/>
        <v>0 percent up in Bashkirian international stage</v>
      </c>
      <c r="I919" s="142" t="str">
        <f t="shared" si="532"/>
        <v>37.8 percent up in Moscovian international stage</v>
      </c>
      <c r="J919" s="7">
        <v>0</v>
      </c>
      <c r="K919" s="129">
        <f t="shared" si="533"/>
        <v>0</v>
      </c>
      <c r="L919" s="8" t="s">
        <v>127</v>
      </c>
      <c r="M919" s="5" t="s">
        <v>82</v>
      </c>
      <c r="N919" s="5" t="s">
        <v>82</v>
      </c>
      <c r="O919" s="83"/>
      <c r="P919" s="20">
        <v>0.37777777777777755</v>
      </c>
      <c r="Q919" s="143">
        <f t="shared" si="534"/>
        <v>37.799999999999997</v>
      </c>
      <c r="R919" s="21" t="s">
        <v>124</v>
      </c>
      <c r="S919" s="8" t="s">
        <v>246</v>
      </c>
      <c r="T919" s="7" t="s">
        <v>226</v>
      </c>
    </row>
    <row r="920" spans="1:20" ht="28">
      <c r="A920" s="106" t="s">
        <v>958</v>
      </c>
      <c r="B920" s="102" t="s">
        <v>1025</v>
      </c>
      <c r="C920" s="5"/>
      <c r="D920" s="5" t="s">
        <v>248</v>
      </c>
      <c r="E920" s="132">
        <f t="shared" si="568"/>
        <v>323.39999999999998</v>
      </c>
      <c r="F920" s="139">
        <f>$O$932-P920*($O$932-$O$899)</f>
        <v>316.82578124999998</v>
      </c>
      <c r="G920" s="149"/>
      <c r="H920" s="82" t="str">
        <f t="shared" si="531"/>
        <v>0 percent up in Bashkirian international stage</v>
      </c>
      <c r="I920" s="142" t="str">
        <f t="shared" si="532"/>
        <v>79.7 percent up in Bashkirian international stage</v>
      </c>
      <c r="J920" s="7">
        <v>0</v>
      </c>
      <c r="K920" s="129">
        <f t="shared" si="533"/>
        <v>0</v>
      </c>
      <c r="L920" s="8" t="s">
        <v>127</v>
      </c>
      <c r="M920" s="5" t="s">
        <v>82</v>
      </c>
      <c r="N920" s="5" t="s">
        <v>82</v>
      </c>
      <c r="O920" s="83"/>
      <c r="P920" s="20">
        <v>0.79687499999999933</v>
      </c>
      <c r="Q920" s="143">
        <f t="shared" si="534"/>
        <v>79.7</v>
      </c>
      <c r="R920" s="21" t="s">
        <v>127</v>
      </c>
      <c r="S920" s="8" t="s">
        <v>230</v>
      </c>
      <c r="T920" s="7" t="s">
        <v>226</v>
      </c>
    </row>
    <row r="921" spans="1:20" ht="28">
      <c r="A921" s="106" t="s">
        <v>958</v>
      </c>
      <c r="B921" s="102" t="s">
        <v>1026</v>
      </c>
      <c r="C921" s="5"/>
      <c r="D921" s="5" t="s">
        <v>248</v>
      </c>
      <c r="E921" s="132">
        <f t="shared" si="568"/>
        <v>323.39999999999998</v>
      </c>
      <c r="F921" s="139">
        <f>$O$871-P921*($O$871-$O$855)</f>
        <v>303.67779999999999</v>
      </c>
      <c r="G921" s="149"/>
      <c r="H921" s="82" t="str">
        <f t="shared" si="531"/>
        <v>0 percent up in Bashkirian international stage</v>
      </c>
      <c r="I921" s="142" t="str">
        <f t="shared" si="532"/>
        <v>100 percent up in Kasimovian international stage</v>
      </c>
      <c r="J921" s="7">
        <v>0</v>
      </c>
      <c r="K921" s="129">
        <f t="shared" si="533"/>
        <v>0</v>
      </c>
      <c r="L921" s="8" t="s">
        <v>127</v>
      </c>
      <c r="M921" s="5" t="s">
        <v>82</v>
      </c>
      <c r="N921" s="5" t="s">
        <v>82</v>
      </c>
      <c r="O921" s="83"/>
      <c r="P921" s="20">
        <v>1</v>
      </c>
      <c r="Q921" s="143">
        <f t="shared" si="534"/>
        <v>100</v>
      </c>
      <c r="R921" s="21" t="s">
        <v>122</v>
      </c>
      <c r="S921" s="8" t="s">
        <v>232</v>
      </c>
      <c r="T921" s="7" t="s">
        <v>226</v>
      </c>
    </row>
    <row r="922" spans="1:20" ht="34">
      <c r="A922" s="106"/>
      <c r="B922" s="102" t="s">
        <v>1684</v>
      </c>
      <c r="C922" s="5"/>
      <c r="D922" s="5"/>
      <c r="E922" s="132">
        <f t="shared" ref="E922:E923" si="578">$O$932-J922*($O$932-$O$899)</f>
        <v>322.65749999999997</v>
      </c>
      <c r="F922" s="139">
        <f t="shared" ref="F922:F930" si="579">$O$932-P922*($O$932-$O$899)</f>
        <v>321.98203124999998</v>
      </c>
      <c r="G922" s="149" t="s">
        <v>1601</v>
      </c>
      <c r="H922" s="82" t="str">
        <f t="shared" ref="H922:H923" si="580">CONCATENATE(K922," percent up in ",L922," international stage")</f>
        <v>9 percent up in Bashkirian international stage</v>
      </c>
      <c r="I922" s="142" t="str">
        <f t="shared" ref="I922:I923" si="581">CONCATENATE(Q922," percent up in ",R922," international stage")</f>
        <v>17.2 percent up in Bashkirian international stage</v>
      </c>
      <c r="J922" s="7">
        <v>0.09</v>
      </c>
      <c r="K922" s="129">
        <f t="shared" ref="K922:K923" si="582">ROUND(J922*100,1)</f>
        <v>9</v>
      </c>
      <c r="L922" s="8" t="s">
        <v>127</v>
      </c>
      <c r="M922" s="5" t="s">
        <v>82</v>
      </c>
      <c r="N922" s="5" t="s">
        <v>82</v>
      </c>
      <c r="O922" s="83"/>
      <c r="P922" s="20">
        <v>0.17187500000000264</v>
      </c>
      <c r="Q922" s="143">
        <f t="shared" ref="Q922:Q923" si="583">ROUND(P922*100,1)</f>
        <v>17.2</v>
      </c>
      <c r="R922" s="21" t="s">
        <v>127</v>
      </c>
      <c r="S922" s="151" t="s">
        <v>1601</v>
      </c>
    </row>
    <row r="923" spans="1:20" ht="34">
      <c r="A923" s="106"/>
      <c r="B923" s="102" t="s">
        <v>1685</v>
      </c>
      <c r="C923" s="5"/>
      <c r="D923" s="5"/>
      <c r="E923" s="132">
        <f t="shared" si="578"/>
        <v>323.39999999999998</v>
      </c>
      <c r="F923" s="139">
        <f t="shared" si="579"/>
        <v>322.65749999999997</v>
      </c>
      <c r="G923" s="149" t="s">
        <v>1602</v>
      </c>
      <c r="H923" s="82" t="str">
        <f t="shared" si="580"/>
        <v>0 percent up in Bashkirian international stage</v>
      </c>
      <c r="I923" s="142" t="str">
        <f t="shared" si="581"/>
        <v>9 percent up in Bashkirian international stage</v>
      </c>
      <c r="J923" s="7">
        <v>0</v>
      </c>
      <c r="K923" s="129">
        <f t="shared" si="582"/>
        <v>0</v>
      </c>
      <c r="L923" s="8" t="s">
        <v>127</v>
      </c>
      <c r="M923" s="5" t="s">
        <v>82</v>
      </c>
      <c r="N923" s="5" t="s">
        <v>82</v>
      </c>
      <c r="O923" s="83"/>
      <c r="P923" s="20">
        <v>0.09</v>
      </c>
      <c r="Q923" s="143">
        <f t="shared" si="583"/>
        <v>9</v>
      </c>
      <c r="R923" s="21" t="s">
        <v>127</v>
      </c>
      <c r="S923" s="151" t="s">
        <v>1602</v>
      </c>
    </row>
    <row r="924" spans="1:20" ht="28">
      <c r="A924" s="106" t="s">
        <v>958</v>
      </c>
      <c r="B924" s="102" t="s">
        <v>1027</v>
      </c>
      <c r="C924" s="5"/>
      <c r="D924" s="5" t="s">
        <v>82</v>
      </c>
      <c r="E924" s="132">
        <f t="shared" si="568"/>
        <v>323.39999999999998</v>
      </c>
      <c r="F924" s="139">
        <f t="shared" si="579"/>
        <v>321.98203124999998</v>
      </c>
      <c r="G924" s="149"/>
      <c r="H924" s="82" t="str">
        <f t="shared" si="531"/>
        <v>0 percent up in Bashkirian international stage</v>
      </c>
      <c r="I924" s="142" t="str">
        <f t="shared" si="532"/>
        <v>17.2 percent up in Bashkirian international stage</v>
      </c>
      <c r="J924" s="7">
        <v>0</v>
      </c>
      <c r="K924" s="129">
        <f t="shared" si="533"/>
        <v>0</v>
      </c>
      <c r="L924" s="8" t="s">
        <v>127</v>
      </c>
      <c r="M924" s="5" t="s">
        <v>82</v>
      </c>
      <c r="N924" s="5" t="s">
        <v>82</v>
      </c>
      <c r="O924" s="83"/>
      <c r="P924" s="20">
        <v>0.17187500000000264</v>
      </c>
      <c r="Q924" s="143">
        <f t="shared" si="534"/>
        <v>17.2</v>
      </c>
      <c r="R924" s="21" t="s">
        <v>127</v>
      </c>
      <c r="S924" s="8" t="s">
        <v>230</v>
      </c>
      <c r="T924" s="7" t="s">
        <v>226</v>
      </c>
    </row>
    <row r="925" spans="1:20" ht="28">
      <c r="A925" s="106" t="s">
        <v>958</v>
      </c>
      <c r="B925" s="102" t="s">
        <v>1028</v>
      </c>
      <c r="C925" s="5"/>
      <c r="D925" s="5" t="s">
        <v>248</v>
      </c>
      <c r="E925" s="132">
        <f t="shared" si="568"/>
        <v>323.39999999999998</v>
      </c>
      <c r="F925" s="139">
        <f t="shared" si="579"/>
        <v>320.69296874999998</v>
      </c>
      <c r="G925" s="149"/>
      <c r="H925" s="82" t="str">
        <f t="shared" si="531"/>
        <v>0 percent up in Bashkirian international stage</v>
      </c>
      <c r="I925" s="142" t="str">
        <f t="shared" si="532"/>
        <v>32.8 percent up in Bashkirian international stage</v>
      </c>
      <c r="J925" s="7">
        <v>0</v>
      </c>
      <c r="K925" s="129">
        <f t="shared" si="533"/>
        <v>0</v>
      </c>
      <c r="L925" s="8" t="s">
        <v>127</v>
      </c>
      <c r="M925" s="5" t="s">
        <v>82</v>
      </c>
      <c r="N925" s="5" t="s">
        <v>82</v>
      </c>
      <c r="O925" s="83"/>
      <c r="P925" s="20">
        <v>0.32812500000000178</v>
      </c>
      <c r="Q925" s="143">
        <f t="shared" si="534"/>
        <v>32.799999999999997</v>
      </c>
      <c r="R925" s="21" t="s">
        <v>127</v>
      </c>
      <c r="S925" s="8" t="s">
        <v>230</v>
      </c>
      <c r="T925" s="7" t="s">
        <v>226</v>
      </c>
    </row>
    <row r="926" spans="1:20" ht="28">
      <c r="A926" s="106" t="s">
        <v>958</v>
      </c>
      <c r="B926" s="102" t="s">
        <v>1029</v>
      </c>
      <c r="C926" s="5"/>
      <c r="D926" s="5" t="s">
        <v>244</v>
      </c>
      <c r="E926" s="132">
        <f t="shared" si="568"/>
        <v>319.27499999999998</v>
      </c>
      <c r="F926" s="139">
        <f t="shared" si="579"/>
        <v>315.14999999999998</v>
      </c>
      <c r="G926" s="149"/>
      <c r="H926" s="82" t="str">
        <f t="shared" si="531"/>
        <v>50 percent up in Bashkirian international stage</v>
      </c>
      <c r="I926" s="142" t="str">
        <f t="shared" si="532"/>
        <v>100 percent up in Bashkirian international stage</v>
      </c>
      <c r="J926" s="7">
        <v>0.5</v>
      </c>
      <c r="K926" s="129">
        <f t="shared" si="533"/>
        <v>50</v>
      </c>
      <c r="L926" s="8" t="s">
        <v>127</v>
      </c>
      <c r="M926" s="5" t="s">
        <v>82</v>
      </c>
      <c r="N926" s="5" t="s">
        <v>82</v>
      </c>
      <c r="O926" s="83"/>
      <c r="P926" s="20">
        <v>1</v>
      </c>
      <c r="Q926" s="143">
        <f t="shared" si="534"/>
        <v>100</v>
      </c>
      <c r="R926" s="21" t="s">
        <v>127</v>
      </c>
      <c r="S926" s="8" t="s">
        <v>232</v>
      </c>
      <c r="T926" s="7" t="s">
        <v>226</v>
      </c>
    </row>
    <row r="927" spans="1:20" ht="28">
      <c r="A927" s="106"/>
      <c r="B927" s="102" t="s">
        <v>1682</v>
      </c>
      <c r="C927" s="5"/>
      <c r="D927" s="5"/>
      <c r="E927" s="132">
        <f t="shared" ref="E927:E928" si="584">$O$932-J927*($O$932-$O$899)</f>
        <v>323.39999999999998</v>
      </c>
      <c r="F927" s="139">
        <f t="shared" si="579"/>
        <v>315.14999999999998</v>
      </c>
      <c r="G927" s="149" t="s">
        <v>1601</v>
      </c>
      <c r="H927" s="82" t="str">
        <f t="shared" ref="H927:H928" si="585">CONCATENATE(K927," percent up in ",L927," international stage")</f>
        <v>0 percent up in Bashkirian international stage</v>
      </c>
      <c r="I927" s="142" t="str">
        <f t="shared" ref="I927:I928" si="586">CONCATENATE(Q927," percent up in ",R927," international stage")</f>
        <v>100 percent up in Bashkirian international stage</v>
      </c>
      <c r="J927" s="7">
        <v>0</v>
      </c>
      <c r="K927" s="129">
        <f t="shared" ref="K927:K928" si="587">ROUND(J927*100,1)</f>
        <v>0</v>
      </c>
      <c r="L927" s="8" t="s">
        <v>127</v>
      </c>
      <c r="M927" s="5"/>
      <c r="O927" s="83"/>
      <c r="P927" s="20">
        <v>1</v>
      </c>
      <c r="Q927" s="143">
        <f t="shared" ref="Q927:Q928" si="588">ROUND(P927*100,1)</f>
        <v>100</v>
      </c>
      <c r="R927" s="21" t="s">
        <v>127</v>
      </c>
      <c r="S927" s="151" t="s">
        <v>1601</v>
      </c>
    </row>
    <row r="928" spans="1:20" ht="28">
      <c r="A928" s="106"/>
      <c r="B928" s="102" t="s">
        <v>1683</v>
      </c>
      <c r="C928" s="5"/>
      <c r="D928" s="5"/>
      <c r="E928" s="132">
        <f t="shared" si="584"/>
        <v>323.39999999999998</v>
      </c>
      <c r="F928" s="139">
        <f t="shared" si="579"/>
        <v>319.27499999999998</v>
      </c>
      <c r="G928" s="149" t="s">
        <v>1602</v>
      </c>
      <c r="H928" s="82" t="str">
        <f t="shared" si="585"/>
        <v>0 percent up in Bashkirian international stage</v>
      </c>
      <c r="I928" s="142" t="str">
        <f t="shared" si="586"/>
        <v>50 percent up in Bashkirian international stage</v>
      </c>
      <c r="J928" s="7">
        <v>0</v>
      </c>
      <c r="K928" s="129">
        <f t="shared" si="587"/>
        <v>0</v>
      </c>
      <c r="L928" s="8" t="s">
        <v>127</v>
      </c>
      <c r="M928" s="5"/>
      <c r="O928" s="83"/>
      <c r="P928" s="20">
        <v>0.5</v>
      </c>
      <c r="Q928" s="143">
        <f t="shared" si="588"/>
        <v>50</v>
      </c>
      <c r="R928" s="21" t="s">
        <v>127</v>
      </c>
      <c r="S928" s="151" t="s">
        <v>1602</v>
      </c>
    </row>
    <row r="929" spans="1:20" ht="28">
      <c r="A929" s="106" t="s">
        <v>958</v>
      </c>
      <c r="B929" s="102" t="s">
        <v>127</v>
      </c>
      <c r="C929" s="135"/>
      <c r="D929" s="135" t="s">
        <v>222</v>
      </c>
      <c r="E929" s="132">
        <f t="shared" si="568"/>
        <v>323.39999999999998</v>
      </c>
      <c r="F929" s="139">
        <f t="shared" si="579"/>
        <v>315.14999999999998</v>
      </c>
      <c r="G929" s="149"/>
      <c r="H929" s="82" t="str">
        <f t="shared" si="531"/>
        <v>0 percent up in Bashkirian international stage</v>
      </c>
      <c r="I929" s="142" t="str">
        <f t="shared" si="532"/>
        <v>100 percent up in Bashkirian international stage</v>
      </c>
      <c r="J929" s="7">
        <v>0</v>
      </c>
      <c r="K929" s="129">
        <f t="shared" si="533"/>
        <v>0</v>
      </c>
      <c r="L929" s="8" t="s">
        <v>127</v>
      </c>
      <c r="M929" s="5" t="s">
        <v>224</v>
      </c>
      <c r="N929" s="5" t="s">
        <v>1030</v>
      </c>
      <c r="O929" s="84">
        <f>Master_Chronostrat!I115</f>
        <v>323.39999999999998</v>
      </c>
      <c r="P929" s="20">
        <v>1</v>
      </c>
      <c r="Q929" s="143">
        <f t="shared" si="534"/>
        <v>100</v>
      </c>
      <c r="R929" s="21" t="s">
        <v>127</v>
      </c>
      <c r="S929" s="8" t="s">
        <v>224</v>
      </c>
      <c r="T929" s="7" t="s">
        <v>226</v>
      </c>
    </row>
    <row r="930" spans="1:20" ht="34">
      <c r="A930" s="106" t="s">
        <v>958</v>
      </c>
      <c r="B930" s="102" t="s">
        <v>1031</v>
      </c>
      <c r="C930" s="135"/>
      <c r="D930" s="135" t="s">
        <v>222</v>
      </c>
      <c r="E930" s="132">
        <f t="shared" si="568"/>
        <v>323.39999999999998</v>
      </c>
      <c r="F930" s="139">
        <f t="shared" si="579"/>
        <v>315.14999999999998</v>
      </c>
      <c r="G930" s="149"/>
      <c r="H930" s="82" t="str">
        <f t="shared" ref="H930:H1013" si="589">CONCATENATE(K930," percent up in ",L930," international stage")</f>
        <v>0 percent up in Bashkirian international stage</v>
      </c>
      <c r="I930" s="142" t="str">
        <f t="shared" ref="I930:I1013" si="590">CONCATENATE(Q930," percent up in ",R930," international stage")</f>
        <v>100 percent up in Bashkirian international stage</v>
      </c>
      <c r="J930" s="7">
        <v>0</v>
      </c>
      <c r="K930" s="129">
        <f t="shared" ref="K930:K1013" si="591">ROUND(J930*100,1)</f>
        <v>0</v>
      </c>
      <c r="L930" s="8" t="s">
        <v>127</v>
      </c>
      <c r="M930" s="5" t="s">
        <v>224</v>
      </c>
      <c r="N930" s="5" t="s">
        <v>1030</v>
      </c>
      <c r="O930" s="84">
        <f>Master_Chronostrat!I115</f>
        <v>323.39999999999998</v>
      </c>
      <c r="P930" s="20">
        <v>1</v>
      </c>
      <c r="Q930" s="143">
        <f t="shared" ref="Q930:Q1013" si="592">ROUND(P930*100,1)</f>
        <v>100</v>
      </c>
      <c r="R930" s="21" t="s">
        <v>127</v>
      </c>
      <c r="S930" s="8" t="s">
        <v>224</v>
      </c>
      <c r="T930" s="7" t="s">
        <v>226</v>
      </c>
    </row>
    <row r="931" spans="1:20" ht="28">
      <c r="A931" s="106" t="s">
        <v>958</v>
      </c>
      <c r="B931" s="102" t="s">
        <v>125</v>
      </c>
      <c r="C931" s="135"/>
      <c r="D931" s="135" t="s">
        <v>222</v>
      </c>
      <c r="E931" s="132">
        <f t="shared" si="568"/>
        <v>323.39999999999998</v>
      </c>
      <c r="F931" s="139">
        <f>$O$855-P931*($O$855-$O$843)</f>
        <v>298.89</v>
      </c>
      <c r="G931" s="149"/>
      <c r="H931" s="82" t="str">
        <f t="shared" si="589"/>
        <v>0 percent up in Bashkirian international stage</v>
      </c>
      <c r="I931" s="142" t="str">
        <f t="shared" si="590"/>
        <v>100 percent up in Gzhelian international stage</v>
      </c>
      <c r="J931" s="7">
        <v>0</v>
      </c>
      <c r="K931" s="129">
        <f t="shared" si="591"/>
        <v>0</v>
      </c>
      <c r="L931" s="8" t="s">
        <v>127</v>
      </c>
      <c r="M931" s="5" t="s">
        <v>224</v>
      </c>
      <c r="N931" s="5" t="s">
        <v>1032</v>
      </c>
      <c r="O931" s="84">
        <f>Master_Chronostrat!I115</f>
        <v>323.39999999999998</v>
      </c>
      <c r="P931" s="20">
        <v>1</v>
      </c>
      <c r="Q931" s="143">
        <f t="shared" si="592"/>
        <v>100</v>
      </c>
      <c r="R931" s="21" t="s">
        <v>120</v>
      </c>
      <c r="S931" s="8" t="s">
        <v>239</v>
      </c>
      <c r="T931" s="7" t="s">
        <v>226</v>
      </c>
    </row>
    <row r="932" spans="1:20" ht="34">
      <c r="A932" s="106" t="s">
        <v>958</v>
      </c>
      <c r="B932" s="102" t="s">
        <v>1033</v>
      </c>
      <c r="C932" s="5"/>
      <c r="D932" s="5" t="s">
        <v>82</v>
      </c>
      <c r="E932" s="132">
        <f t="shared" si="568"/>
        <v>323.39999999999998</v>
      </c>
      <c r="F932" s="139">
        <f>$O$855-P932*($O$855-$O$843)</f>
        <v>298.89</v>
      </c>
      <c r="G932" s="149"/>
      <c r="H932" s="82" t="str">
        <f t="shared" si="589"/>
        <v>0 percent up in Bashkirian international stage</v>
      </c>
      <c r="I932" s="142" t="str">
        <f t="shared" si="590"/>
        <v>100 percent up in Gzhelian international stage</v>
      </c>
      <c r="J932" s="7">
        <v>0</v>
      </c>
      <c r="K932" s="129">
        <f t="shared" si="591"/>
        <v>0</v>
      </c>
      <c r="L932" s="8" t="s">
        <v>127</v>
      </c>
      <c r="M932" s="5" t="s">
        <v>82</v>
      </c>
      <c r="N932" s="5" t="s">
        <v>82</v>
      </c>
      <c r="O932" s="84">
        <f>Master_Chronostrat!I115</f>
        <v>323.39999999999998</v>
      </c>
      <c r="P932" s="20">
        <v>1</v>
      </c>
      <c r="Q932" s="143">
        <f t="shared" si="592"/>
        <v>100</v>
      </c>
      <c r="R932" s="21" t="s">
        <v>120</v>
      </c>
      <c r="S932" s="8" t="s">
        <v>232</v>
      </c>
      <c r="T932" s="7" t="s">
        <v>226</v>
      </c>
    </row>
    <row r="933" spans="1:20" ht="28">
      <c r="A933" s="106" t="s">
        <v>958</v>
      </c>
      <c r="B933" s="102" t="s">
        <v>1034</v>
      </c>
      <c r="C933" s="5"/>
      <c r="D933" s="5" t="s">
        <v>888</v>
      </c>
      <c r="E933" s="132">
        <f t="shared" ref="E933:E954" si="593">$O$954-J933*($O$954-$O$932)</f>
        <v>325.91745098039212</v>
      </c>
      <c r="F933" s="139">
        <f>$O$932-P933*($O$932-$O$899)</f>
        <v>323.01328124999998</v>
      </c>
      <c r="G933" s="149"/>
      <c r="H933" s="82" t="str">
        <f t="shared" si="589"/>
        <v>63.7 percent up in Serpukhovian international stage</v>
      </c>
      <c r="I933" s="142" t="str">
        <f t="shared" si="590"/>
        <v>4.7 percent up in Bashkirian international stage</v>
      </c>
      <c r="J933" s="7">
        <v>0.63725490196078349</v>
      </c>
      <c r="K933" s="129">
        <f t="shared" si="591"/>
        <v>63.7</v>
      </c>
      <c r="L933" s="8" t="s">
        <v>129</v>
      </c>
      <c r="M933" s="5" t="s">
        <v>82</v>
      </c>
      <c r="N933" s="5" t="s">
        <v>82</v>
      </c>
      <c r="O933" s="83"/>
      <c r="P933" s="20">
        <v>4.6875000000001527E-2</v>
      </c>
      <c r="Q933" s="143">
        <f t="shared" si="592"/>
        <v>4.7</v>
      </c>
      <c r="R933" s="21" t="s">
        <v>127</v>
      </c>
      <c r="S933" s="8" t="s">
        <v>246</v>
      </c>
      <c r="T933" s="7" t="s">
        <v>226</v>
      </c>
    </row>
    <row r="934" spans="1:20" ht="42">
      <c r="A934" s="106" t="s">
        <v>958</v>
      </c>
      <c r="B934" s="102" t="s">
        <v>1035</v>
      </c>
      <c r="C934" s="5"/>
      <c r="D934" s="5" t="s">
        <v>888</v>
      </c>
      <c r="E934" s="132">
        <f t="shared" si="593"/>
        <v>326.87</v>
      </c>
      <c r="F934" s="139">
        <f t="shared" ref="F934:F939" si="594">$O$954-P934*($O$954-$O$932)</f>
        <v>325.91745098039212</v>
      </c>
      <c r="G934" s="149"/>
      <c r="H934" s="82" t="str">
        <f t="shared" si="589"/>
        <v>50 percent up in Serpukhovian international stage</v>
      </c>
      <c r="I934" s="142" t="str">
        <f t="shared" si="590"/>
        <v>63.7 percent up in Serpukhovian international stage</v>
      </c>
      <c r="J934" s="7">
        <v>0.5</v>
      </c>
      <c r="K934" s="129">
        <f t="shared" si="591"/>
        <v>50</v>
      </c>
      <c r="L934" s="8" t="s">
        <v>129</v>
      </c>
      <c r="M934" s="5" t="s">
        <v>82</v>
      </c>
      <c r="N934" s="5" t="s">
        <v>82</v>
      </c>
      <c r="O934" s="83"/>
      <c r="P934" s="20">
        <v>0.63725490196078349</v>
      </c>
      <c r="Q934" s="143">
        <f t="shared" si="592"/>
        <v>63.7</v>
      </c>
      <c r="R934" s="21" t="s">
        <v>129</v>
      </c>
      <c r="S934" s="8" t="s">
        <v>259</v>
      </c>
      <c r="T934" s="7">
        <v>0.1372549019607778</v>
      </c>
    </row>
    <row r="935" spans="1:20" ht="28">
      <c r="A935" s="106" t="s">
        <v>958</v>
      </c>
      <c r="B935" s="103" t="s">
        <v>1036</v>
      </c>
      <c r="C935" s="5"/>
      <c r="D935" s="5" t="s">
        <v>888</v>
      </c>
      <c r="E935" s="132">
        <f t="shared" si="593"/>
        <v>327.95862745098037</v>
      </c>
      <c r="F935" s="139">
        <f t="shared" si="594"/>
        <v>326.87</v>
      </c>
      <c r="G935" s="149"/>
      <c r="H935" s="82" t="str">
        <f t="shared" si="589"/>
        <v>34.3 percent up in Serpukhovian international stage</v>
      </c>
      <c r="I935" s="142" t="str">
        <f t="shared" si="590"/>
        <v>50 percent up in Serpukhovian international stage</v>
      </c>
      <c r="J935" s="7">
        <v>0.34313725490195879</v>
      </c>
      <c r="K935" s="129">
        <f t="shared" si="591"/>
        <v>34.299999999999997</v>
      </c>
      <c r="L935" s="8" t="s">
        <v>129</v>
      </c>
      <c r="M935" s="5" t="s">
        <v>82</v>
      </c>
      <c r="N935" s="5" t="s">
        <v>82</v>
      </c>
      <c r="O935" s="83"/>
      <c r="P935" s="20">
        <v>0.5</v>
      </c>
      <c r="Q935" s="143">
        <f t="shared" si="592"/>
        <v>50</v>
      </c>
      <c r="R935" s="21" t="s">
        <v>129</v>
      </c>
      <c r="S935" s="8" t="s">
        <v>259</v>
      </c>
      <c r="T935" s="7">
        <v>0.15686274509804443</v>
      </c>
    </row>
    <row r="936" spans="1:20" ht="42">
      <c r="A936" s="106" t="s">
        <v>958</v>
      </c>
      <c r="B936" s="102" t="s">
        <v>1037</v>
      </c>
      <c r="C936" s="5"/>
      <c r="D936" s="5" t="s">
        <v>82</v>
      </c>
      <c r="E936" s="132">
        <f t="shared" si="593"/>
        <v>328.75132530120482</v>
      </c>
      <c r="F936" s="139">
        <f t="shared" si="594"/>
        <v>323.39999999999998</v>
      </c>
      <c r="G936" s="149"/>
      <c r="H936" s="82" t="str">
        <f t="shared" si="589"/>
        <v>22.9 percent up in Serpukhovian international stage</v>
      </c>
      <c r="I936" s="142" t="str">
        <f t="shared" si="590"/>
        <v>100 percent up in Serpukhovian international stage</v>
      </c>
      <c r="J936" s="7">
        <v>0.22891566265060093</v>
      </c>
      <c r="K936" s="129">
        <f t="shared" si="591"/>
        <v>22.9</v>
      </c>
      <c r="L936" s="8" t="s">
        <v>129</v>
      </c>
      <c r="M936" s="5" t="s">
        <v>82</v>
      </c>
      <c r="N936" s="5" t="s">
        <v>82</v>
      </c>
      <c r="O936" s="83"/>
      <c r="P936" s="20">
        <v>1</v>
      </c>
      <c r="Q936" s="143">
        <f t="shared" si="592"/>
        <v>100</v>
      </c>
      <c r="R936" s="21" t="s">
        <v>129</v>
      </c>
      <c r="S936" s="8" t="s">
        <v>272</v>
      </c>
      <c r="T936" s="7" t="s">
        <v>226</v>
      </c>
    </row>
    <row r="937" spans="1:20" ht="42">
      <c r="A937" s="106" t="s">
        <v>958</v>
      </c>
      <c r="B937" s="103" t="s">
        <v>1038</v>
      </c>
      <c r="C937" s="5"/>
      <c r="D937" s="5" t="s">
        <v>888</v>
      </c>
      <c r="E937" s="132">
        <f t="shared" si="593"/>
        <v>329.11529411764707</v>
      </c>
      <c r="F937" s="139">
        <f t="shared" si="594"/>
        <v>327.95862745098037</v>
      </c>
      <c r="G937" s="149"/>
      <c r="H937" s="82" t="str">
        <f t="shared" si="589"/>
        <v>17.6 percent up in Serpukhovian international stage</v>
      </c>
      <c r="I937" s="142" t="str">
        <f t="shared" si="590"/>
        <v>34.3 percent up in Serpukhovian international stage</v>
      </c>
      <c r="J937" s="7">
        <v>0.17647058823529216</v>
      </c>
      <c r="K937" s="129">
        <f t="shared" si="591"/>
        <v>17.600000000000001</v>
      </c>
      <c r="L937" s="8" t="s">
        <v>129</v>
      </c>
      <c r="M937" s="5" t="s">
        <v>82</v>
      </c>
      <c r="N937" s="5" t="s">
        <v>82</v>
      </c>
      <c r="O937" s="83"/>
      <c r="P937" s="20">
        <v>0.34313725490195879</v>
      </c>
      <c r="Q937" s="143">
        <f t="shared" si="592"/>
        <v>34.299999999999997</v>
      </c>
      <c r="R937" s="21" t="s">
        <v>129</v>
      </c>
      <c r="S937" s="8" t="s">
        <v>259</v>
      </c>
      <c r="T937" s="7">
        <v>0.16666666666667035</v>
      </c>
    </row>
    <row r="938" spans="1:20" ht="42">
      <c r="A938" s="106" t="s">
        <v>958</v>
      </c>
      <c r="B938" s="102" t="s">
        <v>1039</v>
      </c>
      <c r="C938" s="5"/>
      <c r="D938" s="5" t="s">
        <v>82</v>
      </c>
      <c r="E938" s="132">
        <f t="shared" si="593"/>
        <v>329.16939759036143</v>
      </c>
      <c r="F938" s="139">
        <f t="shared" si="594"/>
        <v>328.75132530120482</v>
      </c>
      <c r="G938" s="149"/>
      <c r="H938" s="82" t="str">
        <f t="shared" si="589"/>
        <v>16.9 percent up in Serpukhovian international stage</v>
      </c>
      <c r="I938" s="142" t="str">
        <f t="shared" si="590"/>
        <v>22.9 percent up in Serpukhovian international stage</v>
      </c>
      <c r="J938" s="7">
        <v>0.16867469879517893</v>
      </c>
      <c r="K938" s="129">
        <f t="shared" si="591"/>
        <v>16.899999999999999</v>
      </c>
      <c r="L938" s="8" t="s">
        <v>129</v>
      </c>
      <c r="M938" s="5" t="s">
        <v>82</v>
      </c>
      <c r="N938" s="5" t="s">
        <v>82</v>
      </c>
      <c r="O938" s="83"/>
      <c r="P938" s="20">
        <v>0.22891566265060093</v>
      </c>
      <c r="Q938" s="143">
        <f t="shared" si="592"/>
        <v>22.9</v>
      </c>
      <c r="R938" s="21" t="s">
        <v>129</v>
      </c>
      <c r="S938" s="8" t="s">
        <v>259</v>
      </c>
      <c r="T938" s="7">
        <v>6.0240963855419639E-2</v>
      </c>
    </row>
    <row r="939" spans="1:20" ht="42">
      <c r="A939" s="106" t="s">
        <v>958</v>
      </c>
      <c r="B939" s="102" t="s">
        <v>1040</v>
      </c>
      <c r="C939" s="5"/>
      <c r="D939" s="5" t="s">
        <v>82</v>
      </c>
      <c r="E939" s="132">
        <f t="shared" si="593"/>
        <v>329.16939759036143</v>
      </c>
      <c r="F939" s="139">
        <f t="shared" si="594"/>
        <v>328.75132530120482</v>
      </c>
      <c r="G939" s="149"/>
      <c r="H939" s="82" t="str">
        <f t="shared" si="589"/>
        <v>16.9 percent up in Serpukhovian international stage</v>
      </c>
      <c r="I939" s="142" t="str">
        <f t="shared" si="590"/>
        <v>22.9 percent up in Serpukhovian international stage</v>
      </c>
      <c r="J939" s="7">
        <v>0.16867469879517893</v>
      </c>
      <c r="K939" s="129">
        <f t="shared" si="591"/>
        <v>16.899999999999999</v>
      </c>
      <c r="L939" s="8" t="s">
        <v>129</v>
      </c>
      <c r="M939" s="5" t="s">
        <v>82</v>
      </c>
      <c r="N939" s="5" t="s">
        <v>82</v>
      </c>
      <c r="O939" s="83"/>
      <c r="P939" s="20">
        <v>0.22891566265060093</v>
      </c>
      <c r="Q939" s="143">
        <f t="shared" si="592"/>
        <v>22.9</v>
      </c>
      <c r="R939" s="21" t="s">
        <v>129</v>
      </c>
      <c r="S939" s="8" t="s">
        <v>259</v>
      </c>
      <c r="T939" s="7">
        <v>6.0240963855419639E-2</v>
      </c>
    </row>
    <row r="940" spans="1:20" ht="28">
      <c r="A940" s="106" t="s">
        <v>958</v>
      </c>
      <c r="B940" s="103" t="s">
        <v>1041</v>
      </c>
      <c r="C940" s="5"/>
      <c r="D940" s="5" t="s">
        <v>82</v>
      </c>
      <c r="E940" s="132">
        <f t="shared" si="593"/>
        <v>329.16939759036143</v>
      </c>
      <c r="F940" s="139">
        <f>$O$932-P940*($O$932-$O$899)</f>
        <v>321.98203124999998</v>
      </c>
      <c r="G940" s="149"/>
      <c r="H940" s="82" t="str">
        <f t="shared" si="589"/>
        <v>16.9 percent up in Serpukhovian international stage</v>
      </c>
      <c r="I940" s="142" t="str">
        <f t="shared" si="590"/>
        <v>17.2 percent up in Bashkirian international stage</v>
      </c>
      <c r="J940" s="7">
        <v>0.16867469879517893</v>
      </c>
      <c r="K940" s="129">
        <f t="shared" si="591"/>
        <v>16.899999999999999</v>
      </c>
      <c r="L940" s="8" t="s">
        <v>129</v>
      </c>
      <c r="M940" s="5" t="s">
        <v>82</v>
      </c>
      <c r="N940" s="5" t="s">
        <v>82</v>
      </c>
      <c r="O940" s="83"/>
      <c r="P940" s="20">
        <v>0.17187500000000264</v>
      </c>
      <c r="Q940" s="143">
        <f t="shared" si="592"/>
        <v>17.2</v>
      </c>
      <c r="R940" s="21" t="s">
        <v>127</v>
      </c>
      <c r="S940" s="8" t="s">
        <v>246</v>
      </c>
      <c r="T940" s="7" t="s">
        <v>226</v>
      </c>
    </row>
    <row r="941" spans="1:20" ht="42">
      <c r="A941" s="106" t="s">
        <v>958</v>
      </c>
      <c r="B941" s="102" t="s">
        <v>1042</v>
      </c>
      <c r="C941" s="5"/>
      <c r="D941" s="5" t="s">
        <v>82</v>
      </c>
      <c r="E941" s="132">
        <f t="shared" si="593"/>
        <v>330.00554216867471</v>
      </c>
      <c r="F941" s="139">
        <f>$O$954-P941*($O$954-$O$932)</f>
        <v>329.16939759036143</v>
      </c>
      <c r="G941" s="149"/>
      <c r="H941" s="82" t="str">
        <f t="shared" si="589"/>
        <v>4.8 percent up in Serpukhovian international stage</v>
      </c>
      <c r="I941" s="142" t="str">
        <f t="shared" si="590"/>
        <v>16.9 percent up in Serpukhovian international stage</v>
      </c>
      <c r="J941" s="7">
        <v>4.819277108433484E-2</v>
      </c>
      <c r="K941" s="129">
        <f t="shared" si="591"/>
        <v>4.8</v>
      </c>
      <c r="L941" s="8" t="s">
        <v>129</v>
      </c>
      <c r="M941" s="5" t="s">
        <v>82</v>
      </c>
      <c r="N941" s="5" t="s">
        <v>82</v>
      </c>
      <c r="O941" s="83"/>
      <c r="P941" s="20">
        <v>0.16867469879517891</v>
      </c>
      <c r="Q941" s="143">
        <f t="shared" si="592"/>
        <v>16.899999999999999</v>
      </c>
      <c r="R941" s="21" t="s">
        <v>129</v>
      </c>
      <c r="S941" s="8" t="s">
        <v>259</v>
      </c>
      <c r="T941" s="7">
        <v>0.12048192771084666</v>
      </c>
    </row>
    <row r="942" spans="1:20" ht="42">
      <c r="A942" s="106" t="s">
        <v>958</v>
      </c>
      <c r="B942" s="102" t="s">
        <v>1043</v>
      </c>
      <c r="C942" s="5"/>
      <c r="D942" s="5" t="s">
        <v>82</v>
      </c>
      <c r="E942" s="132">
        <f t="shared" si="593"/>
        <v>330.00554216867471</v>
      </c>
      <c r="F942" s="139">
        <f>$O$954-P942*($O$954-$O$932)</f>
        <v>328.75132530120482</v>
      </c>
      <c r="G942" s="149"/>
      <c r="H942" s="82" t="str">
        <f t="shared" si="589"/>
        <v>4.8 percent up in Serpukhovian international stage</v>
      </c>
      <c r="I942" s="142" t="str">
        <f t="shared" si="590"/>
        <v>22.9 percent up in Serpukhovian international stage</v>
      </c>
      <c r="J942" s="7">
        <v>4.819277108433484E-2</v>
      </c>
      <c r="K942" s="129">
        <f t="shared" si="591"/>
        <v>4.8</v>
      </c>
      <c r="L942" s="8" t="s">
        <v>129</v>
      </c>
      <c r="M942" s="5" t="s">
        <v>82</v>
      </c>
      <c r="N942" s="5" t="s">
        <v>82</v>
      </c>
      <c r="O942" s="83"/>
      <c r="P942" s="20">
        <v>0.22891566265060093</v>
      </c>
      <c r="Q942" s="143">
        <f t="shared" si="592"/>
        <v>22.9</v>
      </c>
      <c r="R942" s="21" t="s">
        <v>129</v>
      </c>
      <c r="S942" s="8" t="s">
        <v>259</v>
      </c>
      <c r="T942" s="7">
        <v>0.18072289156626631</v>
      </c>
    </row>
    <row r="943" spans="1:20" ht="28">
      <c r="A943" s="106"/>
      <c r="B943" s="102" t="s">
        <v>1686</v>
      </c>
      <c r="C943" s="5"/>
      <c r="D943" s="5"/>
      <c r="E943" s="132">
        <f t="shared" si="593"/>
        <v>323.39999999999998</v>
      </c>
      <c r="F943" s="139">
        <f>$O$954-P943*($O$954-$O$932)</f>
        <v>326.97843749999998</v>
      </c>
      <c r="G943" s="149" t="s">
        <v>1688</v>
      </c>
      <c r="H943" s="82" t="str">
        <f t="shared" ref="H943" si="595">CONCATENATE(K943," percent up in ",L943," international stage")</f>
        <v>100 percent up in Serpukhovian international stage</v>
      </c>
      <c r="I943" s="142" t="str">
        <f t="shared" ref="I943" si="596">CONCATENATE(Q943," percent up in ",R943," international stage")</f>
        <v>48.4 percent up in Bashkirian international stage</v>
      </c>
      <c r="J943" s="7">
        <v>1</v>
      </c>
      <c r="K943" s="129">
        <f t="shared" ref="K943" si="597">ROUND(J943*100,1)</f>
        <v>100</v>
      </c>
      <c r="L943" s="8" t="s">
        <v>129</v>
      </c>
      <c r="M943" s="5" t="s">
        <v>82</v>
      </c>
      <c r="N943" s="5" t="s">
        <v>82</v>
      </c>
      <c r="O943" s="83"/>
      <c r="P943" s="20">
        <v>0.484375000000001</v>
      </c>
      <c r="Q943" s="143">
        <f t="shared" ref="Q943" si="598">ROUND(P943*100,1)</f>
        <v>48.4</v>
      </c>
      <c r="R943" s="21" t="s">
        <v>127</v>
      </c>
      <c r="S943" s="8"/>
    </row>
    <row r="944" spans="1:20" ht="56">
      <c r="A944" s="106"/>
      <c r="B944" s="102" t="s">
        <v>1873</v>
      </c>
      <c r="C944" s="5"/>
      <c r="D944" s="5"/>
      <c r="E944" s="132">
        <f t="shared" si="593"/>
        <v>330.34</v>
      </c>
      <c r="F944" s="139">
        <f>$O$954-P944*($O$954-$O$932)</f>
        <v>323.39999999999998</v>
      </c>
      <c r="G944" s="149" t="s">
        <v>1687</v>
      </c>
      <c r="H944" s="82" t="str">
        <f t="shared" ref="H944:H945" si="599">CONCATENATE(K944," percent up in ",L944," international stage")</f>
        <v>0 percent up in Serpukhovian international stage</v>
      </c>
      <c r="I944" s="142" t="str">
        <f t="shared" ref="I944:I945" si="600">CONCATENATE(Q944," percent up in ",R944," international stage")</f>
        <v>100 percent up in Serpukhovian international stage</v>
      </c>
      <c r="J944" s="7">
        <v>0</v>
      </c>
      <c r="K944" s="129">
        <f t="shared" ref="K944:K945" si="601">ROUND(J944*100,1)</f>
        <v>0</v>
      </c>
      <c r="L944" s="8" t="s">
        <v>129</v>
      </c>
      <c r="M944" s="5" t="s">
        <v>82</v>
      </c>
      <c r="N944" s="5" t="s">
        <v>82</v>
      </c>
      <c r="O944" s="83"/>
      <c r="P944" s="20">
        <v>1</v>
      </c>
      <c r="Q944" s="143">
        <f t="shared" ref="Q944:Q945" si="602">ROUND(P944*100,1)</f>
        <v>100</v>
      </c>
      <c r="R944" s="21" t="s">
        <v>129</v>
      </c>
      <c r="S944" s="151" t="s">
        <v>1687</v>
      </c>
    </row>
    <row r="945" spans="1:20" ht="56">
      <c r="A945" s="106"/>
      <c r="B945" s="102" t="s">
        <v>1924</v>
      </c>
      <c r="C945" s="5"/>
      <c r="D945" s="5"/>
      <c r="E945" s="132">
        <f t="shared" ref="E945" si="603">$O$954-J945*($O$954-$O$932)</f>
        <v>330.34</v>
      </c>
      <c r="F945" s="139">
        <f>$O$932-P945*($O$932-$O$899)</f>
        <v>319.40390624999998</v>
      </c>
      <c r="G945" s="149"/>
      <c r="H945" s="82" t="str">
        <f t="shared" si="599"/>
        <v>0 percent up in Serpukhovian international stage</v>
      </c>
      <c r="I945" s="142" t="str">
        <f t="shared" si="600"/>
        <v>48.4 percent up in Bashkirian international stage</v>
      </c>
      <c r="J945" s="7">
        <v>0</v>
      </c>
      <c r="K945" s="129">
        <f t="shared" si="601"/>
        <v>0</v>
      </c>
      <c r="L945" s="8" t="s">
        <v>129</v>
      </c>
      <c r="M945" s="5"/>
      <c r="O945" s="83"/>
      <c r="P945" s="20">
        <v>0.484375000000001</v>
      </c>
      <c r="Q945" s="143">
        <f t="shared" si="602"/>
        <v>48.4</v>
      </c>
      <c r="R945" s="21" t="s">
        <v>127</v>
      </c>
      <c r="S945" s="151" t="s">
        <v>1925</v>
      </c>
    </row>
    <row r="946" spans="1:20" ht="28">
      <c r="A946" s="106" t="s">
        <v>958</v>
      </c>
      <c r="B946" s="102" t="s">
        <v>1044</v>
      </c>
      <c r="C946" s="5"/>
      <c r="D946" s="5" t="s">
        <v>264</v>
      </c>
      <c r="E946" s="132">
        <f t="shared" si="593"/>
        <v>330.34</v>
      </c>
      <c r="F946" s="139">
        <f>$O$932-P946*($O$932-$O$899)</f>
        <v>319.40390624999998</v>
      </c>
      <c r="G946" s="149"/>
      <c r="H946" s="82" t="str">
        <f t="shared" si="589"/>
        <v>0 percent up in Serpukhovian international stage</v>
      </c>
      <c r="I946" s="142" t="str">
        <f t="shared" si="590"/>
        <v>48.4 percent up in Bashkirian international stage</v>
      </c>
      <c r="J946" s="7">
        <v>0</v>
      </c>
      <c r="K946" s="129">
        <f t="shared" si="591"/>
        <v>0</v>
      </c>
      <c r="L946" s="8" t="s">
        <v>129</v>
      </c>
      <c r="M946" s="5" t="s">
        <v>82</v>
      </c>
      <c r="N946" s="5" t="s">
        <v>82</v>
      </c>
      <c r="O946" s="83"/>
      <c r="P946" s="20">
        <v>0.484375000000001</v>
      </c>
      <c r="Q946" s="143">
        <f t="shared" si="592"/>
        <v>48.4</v>
      </c>
      <c r="R946" s="21" t="s">
        <v>127</v>
      </c>
      <c r="S946" s="8" t="s">
        <v>246</v>
      </c>
      <c r="T946" s="7" t="s">
        <v>226</v>
      </c>
    </row>
    <row r="947" spans="1:20" ht="42">
      <c r="A947" s="106" t="s">
        <v>958</v>
      </c>
      <c r="B947" s="103" t="s">
        <v>1045</v>
      </c>
      <c r="C947" s="5"/>
      <c r="D947" s="5" t="s">
        <v>82</v>
      </c>
      <c r="E947" s="132">
        <f t="shared" si="593"/>
        <v>330.34</v>
      </c>
      <c r="F947" s="139">
        <f>$O$954-P947*($O$954-$O$932)</f>
        <v>329.16939759036143</v>
      </c>
      <c r="G947" s="149"/>
      <c r="H947" s="82" t="str">
        <f t="shared" si="589"/>
        <v>0 percent up in Serpukhovian international stage</v>
      </c>
      <c r="I947" s="142" t="str">
        <f t="shared" si="590"/>
        <v>16.9 percent up in Serpukhovian international stage</v>
      </c>
      <c r="J947" s="7">
        <v>0</v>
      </c>
      <c r="K947" s="129">
        <f t="shared" si="591"/>
        <v>0</v>
      </c>
      <c r="L947" s="8" t="s">
        <v>129</v>
      </c>
      <c r="M947" s="5" t="s">
        <v>82</v>
      </c>
      <c r="N947" s="5" t="s">
        <v>82</v>
      </c>
      <c r="O947" s="83"/>
      <c r="P947" s="20">
        <v>0.16867469879517891</v>
      </c>
      <c r="Q947" s="143">
        <f t="shared" si="592"/>
        <v>16.899999999999999</v>
      </c>
      <c r="R947" s="21" t="s">
        <v>129</v>
      </c>
      <c r="S947" s="8" t="s">
        <v>230</v>
      </c>
      <c r="T947" s="7" t="s">
        <v>226</v>
      </c>
    </row>
    <row r="948" spans="1:20" ht="28">
      <c r="A948" s="106" t="s">
        <v>958</v>
      </c>
      <c r="B948" s="102" t="s">
        <v>1046</v>
      </c>
      <c r="C948" s="5"/>
      <c r="D948" s="5" t="s">
        <v>82</v>
      </c>
      <c r="E948" s="132">
        <f t="shared" si="593"/>
        <v>330.34</v>
      </c>
      <c r="F948" s="139">
        <f>$O$855-P948*($O$855-$O$843)</f>
        <v>298.89</v>
      </c>
      <c r="G948" s="149"/>
      <c r="H948" s="82" t="str">
        <f t="shared" si="589"/>
        <v>0 percent up in Serpukhovian international stage</v>
      </c>
      <c r="I948" s="142" t="str">
        <f t="shared" si="590"/>
        <v>100 percent up in Gzhelian international stage</v>
      </c>
      <c r="J948" s="7">
        <v>0</v>
      </c>
      <c r="K948" s="129">
        <f t="shared" si="591"/>
        <v>0</v>
      </c>
      <c r="L948" s="8" t="s">
        <v>129</v>
      </c>
      <c r="M948" s="5" t="s">
        <v>82</v>
      </c>
      <c r="N948" s="5" t="s">
        <v>82</v>
      </c>
      <c r="O948" s="83"/>
      <c r="P948" s="20">
        <v>1</v>
      </c>
      <c r="Q948" s="143">
        <f t="shared" si="592"/>
        <v>100</v>
      </c>
      <c r="R948" s="21" t="s">
        <v>120</v>
      </c>
      <c r="S948" s="8" t="s">
        <v>232</v>
      </c>
      <c r="T948" s="7" t="s">
        <v>226</v>
      </c>
    </row>
    <row r="949" spans="1:20" ht="28">
      <c r="A949" s="106" t="s">
        <v>958</v>
      </c>
      <c r="B949" s="102" t="s">
        <v>1047</v>
      </c>
      <c r="C949" s="5"/>
      <c r="D949" s="5" t="s">
        <v>82</v>
      </c>
      <c r="E949" s="132">
        <f t="shared" si="593"/>
        <v>330.34</v>
      </c>
      <c r="F949" s="139">
        <f t="shared" ref="F949:F955" si="604">$O$954-P949*($O$954-$O$932)</f>
        <v>330.00554216867471</v>
      </c>
      <c r="G949" s="149"/>
      <c r="H949" s="82" t="str">
        <f t="shared" si="589"/>
        <v>0 percent up in Serpukhovian international stage</v>
      </c>
      <c r="I949" s="142" t="str">
        <f t="shared" si="590"/>
        <v>4.8 percent up in Serpukhovian international stage</v>
      </c>
      <c r="J949" s="7">
        <v>0</v>
      </c>
      <c r="K949" s="129">
        <f t="shared" si="591"/>
        <v>0</v>
      </c>
      <c r="L949" s="8" t="s">
        <v>129</v>
      </c>
      <c r="M949" s="5" t="s">
        <v>82</v>
      </c>
      <c r="N949" s="5" t="s">
        <v>82</v>
      </c>
      <c r="O949" s="83"/>
      <c r="P949" s="20">
        <v>4.8192771084334875E-2</v>
      </c>
      <c r="Q949" s="143">
        <f t="shared" si="592"/>
        <v>4.8</v>
      </c>
      <c r="R949" s="21" t="s">
        <v>129</v>
      </c>
      <c r="S949" s="8" t="s">
        <v>230</v>
      </c>
      <c r="T949" s="7" t="s">
        <v>226</v>
      </c>
    </row>
    <row r="950" spans="1:20" ht="42">
      <c r="A950" s="106"/>
      <c r="B950" s="102" t="s">
        <v>1689</v>
      </c>
      <c r="C950" s="5"/>
      <c r="D950" s="5"/>
      <c r="E950" s="132">
        <f t="shared" si="593"/>
        <v>326.87</v>
      </c>
      <c r="F950" s="139">
        <f t="shared" si="604"/>
        <v>323.39999999999998</v>
      </c>
      <c r="G950" s="149" t="s">
        <v>1601</v>
      </c>
      <c r="H950" s="82" t="str">
        <f t="shared" ref="H950:H951" si="605">CONCATENATE(K950," percent up in ",L950," international stage")</f>
        <v>50 percent up in Serpukhovian international stage</v>
      </c>
      <c r="I950" s="142" t="str">
        <f t="shared" ref="I950:I951" si="606">CONCATENATE(Q950," percent up in ",R950," international stage")</f>
        <v>100 percent up in Serpukhovian international stage</v>
      </c>
      <c r="J950" s="7">
        <v>0.5</v>
      </c>
      <c r="K950" s="129">
        <f t="shared" ref="K950:K951" si="607">ROUND(J950*100,1)</f>
        <v>50</v>
      </c>
      <c r="L950" s="8" t="s">
        <v>129</v>
      </c>
      <c r="M950" s="5"/>
      <c r="O950" s="83"/>
      <c r="P950" s="20">
        <v>1</v>
      </c>
      <c r="Q950" s="143">
        <f t="shared" ref="Q950:Q951" si="608">ROUND(P950*100,1)</f>
        <v>100</v>
      </c>
      <c r="R950" s="21" t="s">
        <v>129</v>
      </c>
      <c r="S950" s="151" t="s">
        <v>1601</v>
      </c>
    </row>
    <row r="951" spans="1:20" ht="34">
      <c r="A951" s="106"/>
      <c r="B951" s="102" t="s">
        <v>1690</v>
      </c>
      <c r="C951" s="5"/>
      <c r="D951" s="5"/>
      <c r="E951" s="132">
        <f t="shared" si="593"/>
        <v>330.34</v>
      </c>
      <c r="F951" s="139">
        <f t="shared" si="604"/>
        <v>326.87</v>
      </c>
      <c r="G951" s="149" t="s">
        <v>1602</v>
      </c>
      <c r="H951" s="82" t="str">
        <f t="shared" si="605"/>
        <v>0 percent up in Serpukhovian international stage</v>
      </c>
      <c r="I951" s="142" t="str">
        <f t="shared" si="606"/>
        <v>50 percent up in Serpukhovian international stage</v>
      </c>
      <c r="J951" s="7">
        <v>0</v>
      </c>
      <c r="K951" s="129">
        <f t="shared" si="607"/>
        <v>0</v>
      </c>
      <c r="L951" s="8" t="s">
        <v>129</v>
      </c>
      <c r="M951" s="5"/>
      <c r="O951" s="83"/>
      <c r="P951" s="20">
        <v>0.5</v>
      </c>
      <c r="Q951" s="143">
        <f t="shared" si="608"/>
        <v>50</v>
      </c>
      <c r="R951" s="21" t="s">
        <v>129</v>
      </c>
      <c r="S951" s="151" t="s">
        <v>1602</v>
      </c>
    </row>
    <row r="952" spans="1:20" ht="42">
      <c r="A952" s="106" t="s">
        <v>958</v>
      </c>
      <c r="B952" s="102" t="s">
        <v>129</v>
      </c>
      <c r="C952" s="135"/>
      <c r="D952" s="135" t="s">
        <v>222</v>
      </c>
      <c r="E952" s="132">
        <f t="shared" si="593"/>
        <v>330.34</v>
      </c>
      <c r="F952" s="139">
        <f t="shared" si="604"/>
        <v>323.39999999999998</v>
      </c>
      <c r="G952" s="149"/>
      <c r="H952" s="82" t="str">
        <f t="shared" si="589"/>
        <v>0 percent up in Serpukhovian international stage</v>
      </c>
      <c r="I952" s="142" t="str">
        <f t="shared" si="590"/>
        <v>100 percent up in Serpukhovian international stage</v>
      </c>
      <c r="J952" s="7">
        <v>0</v>
      </c>
      <c r="K952" s="129">
        <f t="shared" si="591"/>
        <v>0</v>
      </c>
      <c r="L952" s="8" t="s">
        <v>129</v>
      </c>
      <c r="M952" s="5" t="s">
        <v>224</v>
      </c>
      <c r="N952" s="5" t="s">
        <v>1048</v>
      </c>
      <c r="O952" s="84">
        <f>Master_Chronostrat!I116</f>
        <v>330.34</v>
      </c>
      <c r="P952" s="20">
        <v>1</v>
      </c>
      <c r="Q952" s="143">
        <f t="shared" si="592"/>
        <v>100</v>
      </c>
      <c r="R952" s="21" t="s">
        <v>129</v>
      </c>
      <c r="S952" s="8" t="s">
        <v>224</v>
      </c>
      <c r="T952" s="7" t="s">
        <v>226</v>
      </c>
    </row>
    <row r="953" spans="1:20" ht="42">
      <c r="A953" s="106"/>
      <c r="B953" s="102" t="s">
        <v>1691</v>
      </c>
      <c r="C953" s="5"/>
      <c r="D953" s="5"/>
      <c r="E953" s="132">
        <f t="shared" si="593"/>
        <v>330.34</v>
      </c>
      <c r="F953" s="139">
        <f t="shared" si="604"/>
        <v>323.39999999999998</v>
      </c>
      <c r="G953" s="149" t="s">
        <v>1692</v>
      </c>
      <c r="H953" s="82" t="str">
        <f t="shared" ref="H953" si="609">CONCATENATE(K953," percent up in ",L953," international stage")</f>
        <v>0 percent up in Serpukhovian international stage</v>
      </c>
      <c r="I953" s="142" t="str">
        <f t="shared" ref="I953" si="610">CONCATENATE(Q953," percent up in ",R953," international stage")</f>
        <v>100 percent up in Serpukhovian international stage</v>
      </c>
      <c r="J953" s="7">
        <v>0</v>
      </c>
      <c r="K953" s="129">
        <f t="shared" ref="K953" si="611">ROUND(J953*100,1)</f>
        <v>0</v>
      </c>
      <c r="L953" s="8" t="s">
        <v>129</v>
      </c>
      <c r="M953" s="5"/>
      <c r="O953" s="84"/>
      <c r="P953" s="20">
        <v>1</v>
      </c>
      <c r="Q953" s="143">
        <f t="shared" ref="Q953" si="612">ROUND(P953*100,1)</f>
        <v>100</v>
      </c>
      <c r="R953" s="21" t="s">
        <v>129</v>
      </c>
      <c r="S953" s="149" t="s">
        <v>1692</v>
      </c>
    </row>
    <row r="954" spans="1:20" ht="42">
      <c r="A954" s="106" t="s">
        <v>958</v>
      </c>
      <c r="B954" s="102" t="s">
        <v>1049</v>
      </c>
      <c r="C954" s="135"/>
      <c r="D954" s="135" t="s">
        <v>222</v>
      </c>
      <c r="E954" s="132">
        <f t="shared" si="593"/>
        <v>330.34</v>
      </c>
      <c r="F954" s="139">
        <f t="shared" si="604"/>
        <v>323.39999999999998</v>
      </c>
      <c r="G954" s="149"/>
      <c r="H954" s="82" t="str">
        <f t="shared" si="589"/>
        <v>0 percent up in Serpukhovian international stage</v>
      </c>
      <c r="I954" s="142" t="str">
        <f t="shared" si="590"/>
        <v>100 percent up in Serpukhovian international stage</v>
      </c>
      <c r="J954" s="7">
        <v>0</v>
      </c>
      <c r="K954" s="129">
        <f t="shared" si="591"/>
        <v>0</v>
      </c>
      <c r="L954" s="8" t="s">
        <v>129</v>
      </c>
      <c r="M954" s="5" t="s">
        <v>224</v>
      </c>
      <c r="N954" s="5" t="s">
        <v>1048</v>
      </c>
      <c r="O954" s="84">
        <f>Master_Chronostrat!I116</f>
        <v>330.34</v>
      </c>
      <c r="P954" s="20">
        <v>1</v>
      </c>
      <c r="Q954" s="143">
        <f t="shared" si="592"/>
        <v>100</v>
      </c>
      <c r="R954" s="21" t="s">
        <v>129</v>
      </c>
      <c r="S954" s="8" t="s">
        <v>224</v>
      </c>
      <c r="T954" s="7" t="s">
        <v>226</v>
      </c>
    </row>
    <row r="955" spans="1:20" ht="42">
      <c r="A955" s="106" t="s">
        <v>958</v>
      </c>
      <c r="B955" s="102" t="s">
        <v>1050</v>
      </c>
      <c r="C955" s="5"/>
      <c r="D955" s="5" t="s">
        <v>888</v>
      </c>
      <c r="E955" s="132">
        <f t="shared" ref="E955:E997" si="613">$O$997-J955*($O$997-$O$954)</f>
        <v>332.17182352941171</v>
      </c>
      <c r="F955" s="139">
        <f t="shared" si="604"/>
        <v>329.11529411764707</v>
      </c>
      <c r="G955" s="149"/>
      <c r="H955" s="82" t="str">
        <f t="shared" si="589"/>
        <v>88.8 percent up in Visean international stage</v>
      </c>
      <c r="I955" s="142" t="str">
        <f t="shared" si="590"/>
        <v>17.6 percent up in Serpukhovian international stage</v>
      </c>
      <c r="J955" s="7">
        <v>0.88823529411764968</v>
      </c>
      <c r="K955" s="129">
        <f t="shared" si="591"/>
        <v>88.8</v>
      </c>
      <c r="L955" s="8" t="s">
        <v>131</v>
      </c>
      <c r="M955" s="5" t="s">
        <v>82</v>
      </c>
      <c r="N955" s="5" t="s">
        <v>82</v>
      </c>
      <c r="O955" s="83"/>
      <c r="P955" s="20">
        <v>0.1764705882352921</v>
      </c>
      <c r="Q955" s="143">
        <f t="shared" si="592"/>
        <v>17.600000000000001</v>
      </c>
      <c r="R955" s="21" t="s">
        <v>129</v>
      </c>
      <c r="S955" s="8" t="s">
        <v>246</v>
      </c>
      <c r="T955" s="7" t="s">
        <v>226</v>
      </c>
    </row>
    <row r="956" spans="1:20" ht="28">
      <c r="A956" s="106" t="s">
        <v>958</v>
      </c>
      <c r="B956" s="102" t="s">
        <v>1051</v>
      </c>
      <c r="C956" s="5"/>
      <c r="D956" s="5" t="s">
        <v>888</v>
      </c>
      <c r="E956" s="132">
        <f t="shared" si="613"/>
        <v>334.8713529411765</v>
      </c>
      <c r="F956" s="139">
        <f>$O$997-P956*($O$997-$O$954)</f>
        <v>332.17182352941171</v>
      </c>
      <c r="G956" s="149"/>
      <c r="H956" s="82" t="str">
        <f t="shared" si="589"/>
        <v>72.4 percent up in Visean international stage</v>
      </c>
      <c r="I956" s="142" t="str">
        <f t="shared" si="590"/>
        <v>88.8 percent up in Visean international stage</v>
      </c>
      <c r="J956" s="7">
        <v>0.7235294117647052</v>
      </c>
      <c r="K956" s="129">
        <f t="shared" si="591"/>
        <v>72.400000000000006</v>
      </c>
      <c r="L956" s="8" t="s">
        <v>131</v>
      </c>
      <c r="M956" s="5" t="s">
        <v>82</v>
      </c>
      <c r="N956" s="5" t="s">
        <v>82</v>
      </c>
      <c r="O956" s="83"/>
      <c r="P956" s="20">
        <v>0.88823529411764968</v>
      </c>
      <c r="Q956" s="143">
        <f t="shared" si="592"/>
        <v>88.8</v>
      </c>
      <c r="R956" s="21" t="s">
        <v>131</v>
      </c>
      <c r="S956" s="8" t="s">
        <v>259</v>
      </c>
      <c r="T956" s="7">
        <v>0.16470588235294237</v>
      </c>
    </row>
    <row r="957" spans="1:20" ht="42">
      <c r="A957" s="106" t="s">
        <v>958</v>
      </c>
      <c r="B957" s="102" t="s">
        <v>1052</v>
      </c>
      <c r="C957" s="5"/>
      <c r="D957" s="5" t="s">
        <v>248</v>
      </c>
      <c r="E957" s="132">
        <f t="shared" si="613"/>
        <v>334.8713529411765</v>
      </c>
      <c r="F957" s="139">
        <f>$O$954-P957*($O$954-$O$932)</f>
        <v>328.43490196078432</v>
      </c>
      <c r="G957" s="149"/>
      <c r="H957" s="82" t="str">
        <f t="shared" si="589"/>
        <v>72.4 percent up in Visean international stage</v>
      </c>
      <c r="I957" s="142" t="str">
        <f t="shared" si="590"/>
        <v>27.5 percent up in Serpukhovian international stage</v>
      </c>
      <c r="J957" s="7">
        <v>0.7235294117647052</v>
      </c>
      <c r="K957" s="129">
        <f t="shared" si="591"/>
        <v>72.400000000000006</v>
      </c>
      <c r="L957" s="8" t="s">
        <v>131</v>
      </c>
      <c r="M957" s="5" t="s">
        <v>82</v>
      </c>
      <c r="N957" s="5" t="s">
        <v>82</v>
      </c>
      <c r="O957" s="83"/>
      <c r="P957" s="20">
        <v>0.27450980392156704</v>
      </c>
      <c r="Q957" s="143">
        <f t="shared" si="592"/>
        <v>27.5</v>
      </c>
      <c r="R957" s="21" t="s">
        <v>129</v>
      </c>
      <c r="S957" s="8" t="s">
        <v>246</v>
      </c>
      <c r="T957" s="7" t="s">
        <v>226</v>
      </c>
    </row>
    <row r="958" spans="1:20" ht="42">
      <c r="A958" s="106" t="s">
        <v>958</v>
      </c>
      <c r="B958" s="102" t="s">
        <v>1053</v>
      </c>
      <c r="C958" s="5"/>
      <c r="D958" s="5" t="s">
        <v>244</v>
      </c>
      <c r="E958" s="132">
        <f t="shared" si="613"/>
        <v>336.06349206349205</v>
      </c>
      <c r="F958" s="139">
        <f>$O$954-P958*($O$954-$O$932)</f>
        <v>323.39999999999998</v>
      </c>
      <c r="G958" s="149"/>
      <c r="H958" s="82" t="str">
        <f t="shared" si="589"/>
        <v>65.1 percent up in Visean international stage</v>
      </c>
      <c r="I958" s="142" t="str">
        <f t="shared" si="590"/>
        <v>100 percent up in Serpukhovian international stage</v>
      </c>
      <c r="J958" s="7">
        <v>0.65079365079365026</v>
      </c>
      <c r="K958" s="129">
        <f t="shared" si="591"/>
        <v>65.099999999999994</v>
      </c>
      <c r="L958" s="8" t="s">
        <v>131</v>
      </c>
      <c r="M958" s="5" t="s">
        <v>82</v>
      </c>
      <c r="N958" s="5" t="s">
        <v>82</v>
      </c>
      <c r="O958" s="83"/>
      <c r="P958" s="20">
        <v>1</v>
      </c>
      <c r="Q958" s="143">
        <f t="shared" si="592"/>
        <v>100</v>
      </c>
      <c r="R958" s="21" t="s">
        <v>129</v>
      </c>
      <c r="S958" s="8" t="s">
        <v>246</v>
      </c>
      <c r="T958" s="7" t="s">
        <v>226</v>
      </c>
    </row>
    <row r="959" spans="1:20" ht="42">
      <c r="A959" s="106" t="s">
        <v>958</v>
      </c>
      <c r="B959" s="102" t="s">
        <v>1054</v>
      </c>
      <c r="C959" s="5"/>
      <c r="D959" s="5" t="s">
        <v>248</v>
      </c>
      <c r="E959" s="132">
        <f t="shared" si="613"/>
        <v>336.06349206349205</v>
      </c>
      <c r="F959" s="139">
        <f>$O$954-P959*($O$954-$O$932)</f>
        <v>323.39999999999998</v>
      </c>
      <c r="G959" s="149"/>
      <c r="H959" s="82" t="str">
        <f t="shared" si="589"/>
        <v>65.1 percent up in Visean international stage</v>
      </c>
      <c r="I959" s="142" t="str">
        <f t="shared" si="590"/>
        <v>100 percent up in Serpukhovian international stage</v>
      </c>
      <c r="J959" s="7">
        <v>0.65079365079365026</v>
      </c>
      <c r="K959" s="129">
        <f t="shared" si="591"/>
        <v>65.099999999999994</v>
      </c>
      <c r="L959" s="8" t="s">
        <v>131</v>
      </c>
      <c r="M959" s="5" t="s">
        <v>82</v>
      </c>
      <c r="N959" s="5" t="s">
        <v>82</v>
      </c>
      <c r="O959" s="83"/>
      <c r="P959" s="20">
        <v>1</v>
      </c>
      <c r="Q959" s="143">
        <f t="shared" si="592"/>
        <v>100</v>
      </c>
      <c r="R959" s="21" t="s">
        <v>129</v>
      </c>
      <c r="S959" s="8" t="s">
        <v>246</v>
      </c>
      <c r="T959" s="7" t="s">
        <v>226</v>
      </c>
    </row>
    <row r="960" spans="1:20" ht="42">
      <c r="A960" s="106" t="s">
        <v>958</v>
      </c>
      <c r="B960" s="102" t="s">
        <v>1055</v>
      </c>
      <c r="C960" s="5"/>
      <c r="D960" s="5" t="s">
        <v>1056</v>
      </c>
      <c r="E960" s="132">
        <f t="shared" si="613"/>
        <v>336.7995882352941</v>
      </c>
      <c r="F960" s="139">
        <f>$O$954-P960*($O$954-$O$932)</f>
        <v>329.11529411764707</v>
      </c>
      <c r="G960" s="149"/>
      <c r="H960" s="82" t="str">
        <f t="shared" si="589"/>
        <v>60.6 percent up in Visean international stage</v>
      </c>
      <c r="I960" s="142" t="str">
        <f t="shared" si="590"/>
        <v>17.6 percent up in Serpukhovian international stage</v>
      </c>
      <c r="J960" s="7">
        <v>0.60588235294117765</v>
      </c>
      <c r="K960" s="129">
        <f t="shared" si="591"/>
        <v>60.6</v>
      </c>
      <c r="L960" s="8" t="s">
        <v>131</v>
      </c>
      <c r="M960" s="5" t="s">
        <v>82</v>
      </c>
      <c r="N960" s="5" t="s">
        <v>82</v>
      </c>
      <c r="O960" s="83"/>
      <c r="P960" s="20">
        <v>0.1764705882352921</v>
      </c>
      <c r="Q960" s="143">
        <f t="shared" si="592"/>
        <v>17.600000000000001</v>
      </c>
      <c r="R960" s="21" t="s">
        <v>129</v>
      </c>
      <c r="S960" s="8" t="s">
        <v>246</v>
      </c>
      <c r="T960" s="7" t="s">
        <v>226</v>
      </c>
    </row>
    <row r="961" spans="1:20" ht="28">
      <c r="A961" s="106" t="s">
        <v>958</v>
      </c>
      <c r="B961" s="102" t="s">
        <v>1057</v>
      </c>
      <c r="C961" s="5"/>
      <c r="D961" s="5" t="s">
        <v>888</v>
      </c>
      <c r="E961" s="132">
        <f t="shared" si="613"/>
        <v>337.76370588235295</v>
      </c>
      <c r="F961" s="139">
        <f t="shared" ref="F961:F978" si="614">$O$997-P961*($O$997-$O$954)</f>
        <v>334.8713529411765</v>
      </c>
      <c r="G961" s="149"/>
      <c r="H961" s="82" t="str">
        <f t="shared" si="589"/>
        <v>54.7 percent up in Visean international stage</v>
      </c>
      <c r="I961" s="142" t="str">
        <f t="shared" si="590"/>
        <v>72.4 percent up in Visean international stage</v>
      </c>
      <c r="J961" s="7">
        <v>0.54705882352941249</v>
      </c>
      <c r="K961" s="129">
        <f t="shared" si="591"/>
        <v>54.7</v>
      </c>
      <c r="L961" s="8" t="s">
        <v>131</v>
      </c>
      <c r="M961" s="5" t="s">
        <v>82</v>
      </c>
      <c r="N961" s="5" t="s">
        <v>82</v>
      </c>
      <c r="O961" s="83"/>
      <c r="P961" s="20">
        <v>0.7235294117647052</v>
      </c>
      <c r="Q961" s="143">
        <f t="shared" si="592"/>
        <v>72.400000000000006</v>
      </c>
      <c r="R961" s="21" t="s">
        <v>131</v>
      </c>
      <c r="S961" s="8" t="s">
        <v>259</v>
      </c>
      <c r="T961" s="7">
        <v>0.1764705882352918</v>
      </c>
    </row>
    <row r="962" spans="1:20" ht="28">
      <c r="A962" s="106" t="s">
        <v>958</v>
      </c>
      <c r="B962" s="102" t="s">
        <v>1058</v>
      </c>
      <c r="C962" s="5"/>
      <c r="D962" s="5" t="s">
        <v>270</v>
      </c>
      <c r="E962" s="132">
        <f t="shared" si="613"/>
        <v>338.66507936507935</v>
      </c>
      <c r="F962" s="139">
        <f t="shared" si="614"/>
        <v>330.34</v>
      </c>
      <c r="G962" s="149"/>
      <c r="H962" s="82" t="str">
        <f t="shared" si="589"/>
        <v>49.2 percent up in Visean international stage</v>
      </c>
      <c r="I962" s="142" t="str">
        <f t="shared" si="590"/>
        <v>100 percent up in Visean international stage</v>
      </c>
      <c r="J962" s="7">
        <v>0.49206349206349176</v>
      </c>
      <c r="K962" s="129">
        <f t="shared" si="591"/>
        <v>49.2</v>
      </c>
      <c r="L962" s="8" t="s">
        <v>131</v>
      </c>
      <c r="M962" s="5" t="s">
        <v>82</v>
      </c>
      <c r="N962" s="5" t="s">
        <v>82</v>
      </c>
      <c r="O962" s="83"/>
      <c r="P962" s="20">
        <v>1</v>
      </c>
      <c r="Q962" s="143">
        <f t="shared" si="592"/>
        <v>100</v>
      </c>
      <c r="R962" s="21" t="s">
        <v>131</v>
      </c>
      <c r="S962" s="8" t="s">
        <v>272</v>
      </c>
      <c r="T962" s="7" t="s">
        <v>226</v>
      </c>
    </row>
    <row r="963" spans="1:20" ht="28">
      <c r="A963" s="106" t="s">
        <v>958</v>
      </c>
      <c r="B963" s="102" t="s">
        <v>1059</v>
      </c>
      <c r="C963" s="5"/>
      <c r="D963" s="5" t="s">
        <v>82</v>
      </c>
      <c r="E963" s="132">
        <f t="shared" si="613"/>
        <v>338.66507936507935</v>
      </c>
      <c r="F963" s="139">
        <f t="shared" si="614"/>
        <v>330.34</v>
      </c>
      <c r="G963" s="149"/>
      <c r="H963" s="82" t="str">
        <f t="shared" si="589"/>
        <v>49.2 percent up in Visean international stage</v>
      </c>
      <c r="I963" s="142" t="str">
        <f t="shared" si="590"/>
        <v>100 percent up in Visean international stage</v>
      </c>
      <c r="J963" s="7">
        <v>0.49206349206349176</v>
      </c>
      <c r="K963" s="129">
        <f t="shared" si="591"/>
        <v>49.2</v>
      </c>
      <c r="L963" s="8" t="s">
        <v>131</v>
      </c>
      <c r="M963" s="5" t="s">
        <v>82</v>
      </c>
      <c r="N963" s="5" t="s">
        <v>82</v>
      </c>
      <c r="O963" s="83"/>
      <c r="P963" s="20">
        <v>1</v>
      </c>
      <c r="Q963" s="143">
        <f t="shared" si="592"/>
        <v>100</v>
      </c>
      <c r="R963" s="21" t="s">
        <v>131</v>
      </c>
      <c r="S963" s="8" t="s">
        <v>272</v>
      </c>
      <c r="T963" s="7" t="s">
        <v>226</v>
      </c>
    </row>
    <row r="964" spans="1:20" ht="28">
      <c r="A964" s="106" t="s">
        <v>958</v>
      </c>
      <c r="B964" s="102" t="s">
        <v>1060</v>
      </c>
      <c r="C964" s="5"/>
      <c r="D964" s="5" t="s">
        <v>82</v>
      </c>
      <c r="E964" s="132">
        <f t="shared" si="613"/>
        <v>338.66507936507935</v>
      </c>
      <c r="F964" s="139">
        <f t="shared" si="614"/>
        <v>330.34</v>
      </c>
      <c r="G964" s="149"/>
      <c r="H964" s="82" t="str">
        <f t="shared" si="589"/>
        <v>49.2 percent up in Visean international stage</v>
      </c>
      <c r="I964" s="142" t="str">
        <f t="shared" si="590"/>
        <v>100 percent up in Visean international stage</v>
      </c>
      <c r="J964" s="7">
        <v>0.49206349206349176</v>
      </c>
      <c r="K964" s="129">
        <f t="shared" si="591"/>
        <v>49.2</v>
      </c>
      <c r="L964" s="8" t="s">
        <v>131</v>
      </c>
      <c r="M964" s="5" t="s">
        <v>82</v>
      </c>
      <c r="N964" s="5" t="s">
        <v>82</v>
      </c>
      <c r="O964" s="83"/>
      <c r="P964" s="20">
        <v>1</v>
      </c>
      <c r="Q964" s="143">
        <f t="shared" si="592"/>
        <v>100</v>
      </c>
      <c r="R964" s="21" t="s">
        <v>131</v>
      </c>
      <c r="S964" s="8" t="s">
        <v>272</v>
      </c>
      <c r="T964" s="7" t="s">
        <v>226</v>
      </c>
    </row>
    <row r="965" spans="1:20" ht="28">
      <c r="A965" s="106" t="s">
        <v>958</v>
      </c>
      <c r="B965" s="102" t="s">
        <v>1061</v>
      </c>
      <c r="C965" s="5"/>
      <c r="D965" s="5" t="s">
        <v>270</v>
      </c>
      <c r="E965" s="132">
        <f t="shared" si="613"/>
        <v>338.66507936507935</v>
      </c>
      <c r="F965" s="139">
        <f t="shared" si="614"/>
        <v>330.34</v>
      </c>
      <c r="G965" s="149"/>
      <c r="H965" s="82" t="str">
        <f t="shared" si="589"/>
        <v>49.2 percent up in Visean international stage</v>
      </c>
      <c r="I965" s="142" t="str">
        <f t="shared" si="590"/>
        <v>100 percent up in Visean international stage</v>
      </c>
      <c r="J965" s="7">
        <v>0.49206349206349176</v>
      </c>
      <c r="K965" s="129">
        <f t="shared" si="591"/>
        <v>49.2</v>
      </c>
      <c r="L965" s="8" t="s">
        <v>131</v>
      </c>
      <c r="M965" s="5" t="s">
        <v>82</v>
      </c>
      <c r="N965" s="5" t="s">
        <v>82</v>
      </c>
      <c r="O965" s="83"/>
      <c r="P965" s="20">
        <v>1</v>
      </c>
      <c r="Q965" s="143">
        <f t="shared" si="592"/>
        <v>100</v>
      </c>
      <c r="R965" s="21" t="s">
        <v>131</v>
      </c>
      <c r="S965" s="8" t="s">
        <v>272</v>
      </c>
      <c r="T965" s="7" t="s">
        <v>226</v>
      </c>
    </row>
    <row r="966" spans="1:20" ht="28">
      <c r="A966" s="106"/>
      <c r="B966" s="102" t="s">
        <v>1761</v>
      </c>
      <c r="C966" s="5"/>
      <c r="D966" s="5"/>
      <c r="E966" s="132">
        <f t="shared" ref="E966:E967" si="615">$O$997-J966*($O$997-$O$954)</f>
        <v>338.04329999999999</v>
      </c>
      <c r="F966" s="139">
        <f t="shared" ref="F966:F967" si="616">$O$997-P966*($O$997-$O$954)</f>
        <v>336.06349206349205</v>
      </c>
      <c r="G966" s="149" t="s">
        <v>1601</v>
      </c>
      <c r="H966" s="82" t="str">
        <f t="shared" ref="H966:H967" si="617">CONCATENATE(K966," percent up in ",L966," international stage")</f>
        <v>53 percent up in Visean international stage</v>
      </c>
      <c r="I966" s="142" t="str">
        <f t="shared" ref="I966:I967" si="618">CONCATENATE(Q966," percent up in ",R966," international stage")</f>
        <v>65.1 percent up in Visean international stage</v>
      </c>
      <c r="J966" s="7">
        <v>0.53</v>
      </c>
      <c r="K966" s="129">
        <f t="shared" ref="K966:K967" si="619">ROUND(J966*100,1)</f>
        <v>53</v>
      </c>
      <c r="L966" s="8" t="s">
        <v>131</v>
      </c>
      <c r="M966" s="5" t="s">
        <v>82</v>
      </c>
      <c r="N966" s="5" t="s">
        <v>82</v>
      </c>
      <c r="O966" s="83"/>
      <c r="P966" s="20">
        <v>0.65079365079365026</v>
      </c>
      <c r="Q966" s="143">
        <f t="shared" ref="Q966:Q967" si="620">ROUND(P966*100,1)</f>
        <v>65.099999999999994</v>
      </c>
      <c r="R966" s="21" t="s">
        <v>131</v>
      </c>
      <c r="S966" s="151" t="s">
        <v>1601</v>
      </c>
    </row>
    <row r="967" spans="1:20" ht="28">
      <c r="A967" s="106"/>
      <c r="B967" s="102" t="s">
        <v>1762</v>
      </c>
      <c r="C967" s="5"/>
      <c r="D967" s="5"/>
      <c r="E967" s="132">
        <f t="shared" si="615"/>
        <v>339.965873015873</v>
      </c>
      <c r="F967" s="139">
        <f t="shared" si="616"/>
        <v>338.04329999999999</v>
      </c>
      <c r="G967" s="149" t="s">
        <v>1602</v>
      </c>
      <c r="H967" s="82" t="str">
        <f t="shared" si="617"/>
        <v>41.3 percent up in Visean international stage</v>
      </c>
      <c r="I967" s="142" t="str">
        <f t="shared" si="618"/>
        <v>53 percent up in Visean international stage</v>
      </c>
      <c r="J967" s="7">
        <v>0.41269841269841256</v>
      </c>
      <c r="K967" s="129">
        <f t="shared" si="619"/>
        <v>41.3</v>
      </c>
      <c r="L967" s="8" t="s">
        <v>131</v>
      </c>
      <c r="M967" s="5" t="s">
        <v>82</v>
      </c>
      <c r="N967" s="5" t="s">
        <v>82</v>
      </c>
      <c r="O967" s="83"/>
      <c r="P967" s="20">
        <v>0.53</v>
      </c>
      <c r="Q967" s="143">
        <f t="shared" si="620"/>
        <v>53</v>
      </c>
      <c r="R967" s="21" t="s">
        <v>131</v>
      </c>
      <c r="S967" s="151" t="s">
        <v>1602</v>
      </c>
    </row>
    <row r="968" spans="1:20" ht="28">
      <c r="A968" s="106" t="s">
        <v>958</v>
      </c>
      <c r="B968" s="102" t="s">
        <v>1062</v>
      </c>
      <c r="C968" s="5"/>
      <c r="D968" s="5" t="s">
        <v>270</v>
      </c>
      <c r="E968" s="132">
        <f t="shared" si="613"/>
        <v>339.965873015873</v>
      </c>
      <c r="F968" s="139">
        <f t="shared" si="614"/>
        <v>336.06349206349205</v>
      </c>
      <c r="G968" s="149"/>
      <c r="H968" s="82" t="str">
        <f t="shared" si="589"/>
        <v>41.3 percent up in Visean international stage</v>
      </c>
      <c r="I968" s="142" t="str">
        <f t="shared" si="590"/>
        <v>65.1 percent up in Visean international stage</v>
      </c>
      <c r="J968" s="7">
        <v>0.41269841269841256</v>
      </c>
      <c r="K968" s="129">
        <f t="shared" si="591"/>
        <v>41.3</v>
      </c>
      <c r="L968" s="8" t="s">
        <v>131</v>
      </c>
      <c r="M968" s="5" t="s">
        <v>82</v>
      </c>
      <c r="N968" s="5" t="s">
        <v>82</v>
      </c>
      <c r="O968" s="83"/>
      <c r="P968" s="20">
        <v>0.65079365079365026</v>
      </c>
      <c r="Q968" s="143">
        <f t="shared" si="592"/>
        <v>65.099999999999994</v>
      </c>
      <c r="R968" s="21" t="s">
        <v>131</v>
      </c>
      <c r="S968" s="8" t="s">
        <v>259</v>
      </c>
      <c r="T968" s="7">
        <v>0.23809523809523775</v>
      </c>
    </row>
    <row r="969" spans="1:20" ht="28">
      <c r="A969" s="106" t="s">
        <v>958</v>
      </c>
      <c r="B969" s="102" t="s">
        <v>1063</v>
      </c>
      <c r="C969" s="5"/>
      <c r="D969" s="5" t="s">
        <v>270</v>
      </c>
      <c r="E969" s="132">
        <f t="shared" si="613"/>
        <v>341.26666666666665</v>
      </c>
      <c r="F969" s="139">
        <f t="shared" si="614"/>
        <v>339.965873015873</v>
      </c>
      <c r="G969" s="149"/>
      <c r="H969" s="82" t="str">
        <f t="shared" si="589"/>
        <v>33.3 percent up in Visean international stage</v>
      </c>
      <c r="I969" s="142" t="str">
        <f t="shared" si="590"/>
        <v>41.3 percent up in Visean international stage</v>
      </c>
      <c r="J969" s="7">
        <v>0.33333333333333337</v>
      </c>
      <c r="K969" s="129">
        <f t="shared" si="591"/>
        <v>33.299999999999997</v>
      </c>
      <c r="L969" s="8" t="s">
        <v>131</v>
      </c>
      <c r="M969" s="5" t="s">
        <v>82</v>
      </c>
      <c r="N969" s="5" t="s">
        <v>82</v>
      </c>
      <c r="O969" s="83"/>
      <c r="P969" s="20">
        <v>0.41269841269841256</v>
      </c>
      <c r="Q969" s="143">
        <f t="shared" si="592"/>
        <v>41.3</v>
      </c>
      <c r="R969" s="21" t="s">
        <v>131</v>
      </c>
      <c r="S969" s="8" t="s">
        <v>259</v>
      </c>
      <c r="T969" s="7">
        <v>7.936507936507925E-2</v>
      </c>
    </row>
    <row r="970" spans="1:20" ht="28">
      <c r="A970" s="106" t="s">
        <v>958</v>
      </c>
      <c r="B970" s="102" t="s">
        <v>1064</v>
      </c>
      <c r="C970" s="5"/>
      <c r="D970" s="5" t="s">
        <v>82</v>
      </c>
      <c r="E970" s="132">
        <f t="shared" si="613"/>
        <v>341.26666666666665</v>
      </c>
      <c r="F970" s="139">
        <f t="shared" si="614"/>
        <v>339.965873015873</v>
      </c>
      <c r="G970" s="149"/>
      <c r="H970" s="82" t="str">
        <f t="shared" si="589"/>
        <v>33.3 percent up in Visean international stage</v>
      </c>
      <c r="I970" s="142" t="str">
        <f t="shared" si="590"/>
        <v>41.3 percent up in Visean international stage</v>
      </c>
      <c r="J970" s="7">
        <v>0.33333333333333337</v>
      </c>
      <c r="K970" s="129">
        <f t="shared" si="591"/>
        <v>33.299999999999997</v>
      </c>
      <c r="L970" s="8" t="s">
        <v>131</v>
      </c>
      <c r="M970" s="5" t="s">
        <v>82</v>
      </c>
      <c r="N970" s="5" t="s">
        <v>82</v>
      </c>
      <c r="O970" s="83"/>
      <c r="P970" s="20">
        <v>0.41269841269841256</v>
      </c>
      <c r="Q970" s="143">
        <f t="shared" si="592"/>
        <v>41.3</v>
      </c>
      <c r="R970" s="21" t="s">
        <v>131</v>
      </c>
      <c r="S970" s="8" t="s">
        <v>259</v>
      </c>
      <c r="T970" s="7">
        <v>7.936507936507925E-2</v>
      </c>
    </row>
    <row r="971" spans="1:20" ht="28">
      <c r="A971" s="106" t="s">
        <v>958</v>
      </c>
      <c r="B971" s="102" t="s">
        <v>1065</v>
      </c>
      <c r="C971" s="5"/>
      <c r="D971" s="5" t="s">
        <v>888</v>
      </c>
      <c r="E971" s="132">
        <f t="shared" si="613"/>
        <v>341.42735294117648</v>
      </c>
      <c r="F971" s="139">
        <f t="shared" si="614"/>
        <v>337.76370588235295</v>
      </c>
      <c r="G971" s="149"/>
      <c r="H971" s="82" t="str">
        <f t="shared" si="589"/>
        <v>32.4 percent up in Visean international stage</v>
      </c>
      <c r="I971" s="142" t="str">
        <f t="shared" si="590"/>
        <v>54.7 percent up in Visean international stage</v>
      </c>
      <c r="J971" s="7">
        <v>0.32352941176470584</v>
      </c>
      <c r="K971" s="129">
        <f t="shared" si="591"/>
        <v>32.4</v>
      </c>
      <c r="L971" s="8" t="s">
        <v>131</v>
      </c>
      <c r="M971" s="5" t="s">
        <v>82</v>
      </c>
      <c r="N971" s="5" t="s">
        <v>82</v>
      </c>
      <c r="O971" s="83"/>
      <c r="P971" s="20">
        <v>0.54705882352941249</v>
      </c>
      <c r="Q971" s="143">
        <f t="shared" si="592"/>
        <v>54.7</v>
      </c>
      <c r="R971" s="21" t="s">
        <v>131</v>
      </c>
      <c r="S971" s="8" t="s">
        <v>259</v>
      </c>
      <c r="T971" s="7">
        <v>0.2235294117647075</v>
      </c>
    </row>
    <row r="972" spans="1:20" ht="28">
      <c r="A972" s="106" t="s">
        <v>958</v>
      </c>
      <c r="B972" s="102" t="s">
        <v>1066</v>
      </c>
      <c r="C972" s="5"/>
      <c r="D972" s="5" t="s">
        <v>244</v>
      </c>
      <c r="E972" s="132">
        <f t="shared" si="613"/>
        <v>342.13386243386242</v>
      </c>
      <c r="F972" s="139">
        <f t="shared" si="614"/>
        <v>336.06349206349205</v>
      </c>
      <c r="G972" s="149"/>
      <c r="H972" s="82" t="str">
        <f t="shared" si="589"/>
        <v>28 percent up in Visean international stage</v>
      </c>
      <c r="I972" s="142" t="str">
        <f t="shared" si="590"/>
        <v>65.1 percent up in Visean international stage</v>
      </c>
      <c r="J972" s="7">
        <v>0.28042328042328046</v>
      </c>
      <c r="K972" s="129">
        <f t="shared" si="591"/>
        <v>28</v>
      </c>
      <c r="L972" s="8" t="s">
        <v>131</v>
      </c>
      <c r="M972" s="5" t="s">
        <v>82</v>
      </c>
      <c r="N972" s="5" t="s">
        <v>82</v>
      </c>
      <c r="O972" s="83"/>
      <c r="P972" s="20">
        <v>0.65079365079365026</v>
      </c>
      <c r="Q972" s="143">
        <f t="shared" si="592"/>
        <v>65.099999999999994</v>
      </c>
      <c r="R972" s="21" t="s">
        <v>131</v>
      </c>
      <c r="S972" s="8" t="s">
        <v>259</v>
      </c>
      <c r="T972" s="7">
        <v>0.37037037037036985</v>
      </c>
    </row>
    <row r="973" spans="1:20" ht="28">
      <c r="A973" s="106" t="s">
        <v>958</v>
      </c>
      <c r="B973" s="102" t="s">
        <v>1067</v>
      </c>
      <c r="C973" s="5"/>
      <c r="D973" s="5" t="s">
        <v>270</v>
      </c>
      <c r="E973" s="132">
        <f t="shared" si="613"/>
        <v>343.00105820105819</v>
      </c>
      <c r="F973" s="139">
        <f t="shared" si="614"/>
        <v>341.26666666666665</v>
      </c>
      <c r="G973" s="149"/>
      <c r="H973" s="82" t="str">
        <f t="shared" si="589"/>
        <v>22.8 percent up in Visean international stage</v>
      </c>
      <c r="I973" s="142" t="str">
        <f t="shared" si="590"/>
        <v>33.3 percent up in Visean international stage</v>
      </c>
      <c r="J973" s="7">
        <v>0.22751322751322767</v>
      </c>
      <c r="K973" s="129">
        <f t="shared" si="591"/>
        <v>22.8</v>
      </c>
      <c r="L973" s="8" t="s">
        <v>131</v>
      </c>
      <c r="M973" s="5" t="s">
        <v>82</v>
      </c>
      <c r="N973" s="5" t="s">
        <v>82</v>
      </c>
      <c r="O973" s="83"/>
      <c r="P973" s="20">
        <v>0.33333333333333331</v>
      </c>
      <c r="Q973" s="143">
        <f t="shared" si="592"/>
        <v>33.299999999999997</v>
      </c>
      <c r="R973" s="21" t="s">
        <v>131</v>
      </c>
      <c r="S973" s="8" t="s">
        <v>259</v>
      </c>
      <c r="T973" s="7">
        <v>0.10582010582010566</v>
      </c>
    </row>
    <row r="974" spans="1:20" ht="28">
      <c r="A974" s="106" t="s">
        <v>958</v>
      </c>
      <c r="B974" s="102" t="s">
        <v>1068</v>
      </c>
      <c r="C974" s="5"/>
      <c r="D974" s="5" t="s">
        <v>270</v>
      </c>
      <c r="E974" s="132">
        <f t="shared" si="613"/>
        <v>343.00105820105819</v>
      </c>
      <c r="F974" s="139">
        <f t="shared" si="614"/>
        <v>336.06349206349205</v>
      </c>
      <c r="G974" s="149"/>
      <c r="H974" s="82" t="str">
        <f t="shared" si="589"/>
        <v>22.8 percent up in Visean international stage</v>
      </c>
      <c r="I974" s="142" t="str">
        <f t="shared" si="590"/>
        <v>65.1 percent up in Visean international stage</v>
      </c>
      <c r="J974" s="7">
        <v>0.22751322751322767</v>
      </c>
      <c r="K974" s="129">
        <f t="shared" si="591"/>
        <v>22.8</v>
      </c>
      <c r="L974" s="8" t="s">
        <v>131</v>
      </c>
      <c r="M974" s="5" t="s">
        <v>82</v>
      </c>
      <c r="N974" s="5" t="s">
        <v>82</v>
      </c>
      <c r="O974" s="83"/>
      <c r="P974" s="20">
        <v>0.65079365079365026</v>
      </c>
      <c r="Q974" s="143">
        <f t="shared" si="592"/>
        <v>65.099999999999994</v>
      </c>
      <c r="R974" s="21" t="s">
        <v>131</v>
      </c>
      <c r="S974" s="8" t="s">
        <v>259</v>
      </c>
      <c r="T974" s="7">
        <v>0.42328042328042265</v>
      </c>
    </row>
    <row r="975" spans="1:20" ht="28">
      <c r="A975" s="106" t="s">
        <v>958</v>
      </c>
      <c r="B975" s="102" t="s">
        <v>1069</v>
      </c>
      <c r="C975" s="5"/>
      <c r="D975" s="5" t="s">
        <v>82</v>
      </c>
      <c r="E975" s="132">
        <f t="shared" si="613"/>
        <v>343.00105820105819</v>
      </c>
      <c r="F975" s="139">
        <f t="shared" si="614"/>
        <v>341.26666666666665</v>
      </c>
      <c r="G975" s="149"/>
      <c r="H975" s="82" t="str">
        <f t="shared" si="589"/>
        <v>22.8 percent up in Visean international stage</v>
      </c>
      <c r="I975" s="142" t="str">
        <f t="shared" si="590"/>
        <v>33.3 percent up in Visean international stage</v>
      </c>
      <c r="J975" s="7">
        <v>0.22751322751322767</v>
      </c>
      <c r="K975" s="129">
        <f t="shared" si="591"/>
        <v>22.8</v>
      </c>
      <c r="L975" s="8" t="s">
        <v>131</v>
      </c>
      <c r="M975" s="5" t="s">
        <v>82</v>
      </c>
      <c r="N975" s="5" t="s">
        <v>82</v>
      </c>
      <c r="O975" s="83"/>
      <c r="P975" s="20">
        <v>0.33333333333333331</v>
      </c>
      <c r="Q975" s="143">
        <f t="shared" si="592"/>
        <v>33.299999999999997</v>
      </c>
      <c r="R975" s="21" t="s">
        <v>131</v>
      </c>
      <c r="S975" s="8" t="s">
        <v>259</v>
      </c>
      <c r="T975" s="7">
        <v>0.10582010582010566</v>
      </c>
    </row>
    <row r="976" spans="1:20" ht="28">
      <c r="A976" s="106" t="s">
        <v>958</v>
      </c>
      <c r="B976" s="102" t="s">
        <v>1070</v>
      </c>
      <c r="C976" s="5"/>
      <c r="D976" s="5" t="s">
        <v>888</v>
      </c>
      <c r="E976" s="132">
        <f t="shared" si="613"/>
        <v>344.51252941176472</v>
      </c>
      <c r="F976" s="139">
        <f t="shared" si="614"/>
        <v>341.42735294117648</v>
      </c>
      <c r="G976" s="149"/>
      <c r="H976" s="82" t="str">
        <f t="shared" si="589"/>
        <v>13.5 percent up in Visean international stage</v>
      </c>
      <c r="I976" s="142" t="str">
        <f t="shared" si="590"/>
        <v>32.4 percent up in Visean international stage</v>
      </c>
      <c r="J976" s="7">
        <v>0.13529411764705879</v>
      </c>
      <c r="K976" s="129">
        <f t="shared" si="591"/>
        <v>13.5</v>
      </c>
      <c r="L976" s="8" t="s">
        <v>131</v>
      </c>
      <c r="M976" s="5" t="s">
        <v>82</v>
      </c>
      <c r="N976" s="5" t="s">
        <v>82</v>
      </c>
      <c r="O976" s="83"/>
      <c r="P976" s="20">
        <v>0.32352941176470579</v>
      </c>
      <c r="Q976" s="143">
        <f t="shared" si="592"/>
        <v>32.4</v>
      </c>
      <c r="R976" s="21" t="s">
        <v>131</v>
      </c>
      <c r="S976" s="8" t="s">
        <v>259</v>
      </c>
      <c r="T976" s="7">
        <v>0.18823529411764842</v>
      </c>
    </row>
    <row r="977" spans="1:20" ht="28">
      <c r="A977" s="106" t="s">
        <v>958</v>
      </c>
      <c r="B977" s="102" t="s">
        <v>1071</v>
      </c>
      <c r="C977" s="5"/>
      <c r="D977" s="5" t="s">
        <v>248</v>
      </c>
      <c r="E977" s="132">
        <f t="shared" si="613"/>
        <v>346.46984126984125</v>
      </c>
      <c r="F977" s="139">
        <f t="shared" si="614"/>
        <v>336.06349206349205</v>
      </c>
      <c r="G977" s="149"/>
      <c r="H977" s="82" t="str">
        <f t="shared" si="589"/>
        <v>1.6 percent up in Visean international stage</v>
      </c>
      <c r="I977" s="142" t="str">
        <f t="shared" si="590"/>
        <v>65.1 percent up in Visean international stage</v>
      </c>
      <c r="J977" s="7">
        <v>1.5873015873016483E-2</v>
      </c>
      <c r="K977" s="129">
        <f t="shared" si="591"/>
        <v>1.6</v>
      </c>
      <c r="L977" s="8" t="s">
        <v>131</v>
      </c>
      <c r="M977" s="5" t="s">
        <v>82</v>
      </c>
      <c r="N977" s="5" t="s">
        <v>82</v>
      </c>
      <c r="O977" s="83"/>
      <c r="P977" s="20">
        <v>0.65079365079365026</v>
      </c>
      <c r="Q977" s="143">
        <f t="shared" si="592"/>
        <v>65.099999999999994</v>
      </c>
      <c r="R977" s="21" t="s">
        <v>131</v>
      </c>
      <c r="S977" s="8" t="s">
        <v>259</v>
      </c>
      <c r="T977" s="7">
        <v>0.634920634920634</v>
      </c>
    </row>
    <row r="978" spans="1:20" ht="28">
      <c r="A978" s="106" t="s">
        <v>958</v>
      </c>
      <c r="B978" s="102" t="s">
        <v>1072</v>
      </c>
      <c r="C978" s="5"/>
      <c r="D978" s="5" t="s">
        <v>270</v>
      </c>
      <c r="E978" s="132">
        <f t="shared" si="613"/>
        <v>346.73</v>
      </c>
      <c r="F978" s="139">
        <f t="shared" si="614"/>
        <v>343.00105820105819</v>
      </c>
      <c r="G978" s="149"/>
      <c r="H978" s="82" t="str">
        <f t="shared" si="589"/>
        <v>0 percent up in Visean international stage</v>
      </c>
      <c r="I978" s="142" t="str">
        <f t="shared" si="590"/>
        <v>22.8 percent up in Visean international stage</v>
      </c>
      <c r="J978" s="7">
        <v>0</v>
      </c>
      <c r="K978" s="129">
        <f t="shared" si="591"/>
        <v>0</v>
      </c>
      <c r="L978" s="8" t="s">
        <v>131</v>
      </c>
      <c r="M978" s="5" t="s">
        <v>82</v>
      </c>
      <c r="N978" s="5" t="s">
        <v>82</v>
      </c>
      <c r="O978" s="83"/>
      <c r="P978" s="20">
        <v>0.22751322751322769</v>
      </c>
      <c r="Q978" s="143">
        <f t="shared" si="592"/>
        <v>22.8</v>
      </c>
      <c r="R978" s="21" t="s">
        <v>131</v>
      </c>
      <c r="S978" s="8" t="s">
        <v>230</v>
      </c>
      <c r="T978" s="7" t="s">
        <v>226</v>
      </c>
    </row>
    <row r="979" spans="1:20" ht="42">
      <c r="A979" s="106" t="s">
        <v>958</v>
      </c>
      <c r="B979" s="102" t="s">
        <v>1073</v>
      </c>
      <c r="C979" s="5"/>
      <c r="D979" s="5" t="s">
        <v>270</v>
      </c>
      <c r="E979" s="132">
        <f t="shared" si="613"/>
        <v>346.73</v>
      </c>
      <c r="F979" s="139">
        <f>$O$954-P979*($O$954-$O$932)</f>
        <v>323.39999999999998</v>
      </c>
      <c r="G979" s="149"/>
      <c r="H979" s="82" t="str">
        <f t="shared" si="589"/>
        <v>0 percent up in Visean international stage</v>
      </c>
      <c r="I979" s="142" t="str">
        <f t="shared" si="590"/>
        <v>100 percent up in Serpukhovian international stage</v>
      </c>
      <c r="J979" s="7">
        <v>0</v>
      </c>
      <c r="K979" s="129">
        <f t="shared" si="591"/>
        <v>0</v>
      </c>
      <c r="L979" s="8" t="s">
        <v>131</v>
      </c>
      <c r="M979" s="5" t="s">
        <v>82</v>
      </c>
      <c r="N979" s="5" t="s">
        <v>82</v>
      </c>
      <c r="O979" s="83"/>
      <c r="P979" s="20">
        <v>1</v>
      </c>
      <c r="Q979" s="143">
        <f t="shared" si="592"/>
        <v>100</v>
      </c>
      <c r="R979" s="21" t="s">
        <v>129</v>
      </c>
      <c r="S979" s="8" t="s">
        <v>232</v>
      </c>
      <c r="T979" s="7" t="s">
        <v>226</v>
      </c>
    </row>
    <row r="980" spans="1:20" ht="28">
      <c r="A980" s="106" t="s">
        <v>958</v>
      </c>
      <c r="B980" s="102" t="s">
        <v>1074</v>
      </c>
      <c r="C980" s="5"/>
      <c r="D980" s="5" t="s">
        <v>248</v>
      </c>
      <c r="E980" s="132">
        <f t="shared" si="613"/>
        <v>346.73</v>
      </c>
      <c r="F980" s="139">
        <f>$O$997-P980*($O$997-$O$954)</f>
        <v>334.8713529411765</v>
      </c>
      <c r="G980" s="149"/>
      <c r="H980" s="82" t="str">
        <f t="shared" si="589"/>
        <v>0 percent up in Visean international stage</v>
      </c>
      <c r="I980" s="142" t="str">
        <f t="shared" si="590"/>
        <v>72.4 percent up in Visean international stage</v>
      </c>
      <c r="J980" s="7">
        <v>0</v>
      </c>
      <c r="K980" s="129">
        <f t="shared" si="591"/>
        <v>0</v>
      </c>
      <c r="L980" s="8" t="s">
        <v>131</v>
      </c>
      <c r="M980" s="5" t="s">
        <v>82</v>
      </c>
      <c r="N980" s="5" t="s">
        <v>82</v>
      </c>
      <c r="O980" s="83"/>
      <c r="P980" s="20">
        <v>0.7235294117647052</v>
      </c>
      <c r="Q980" s="143">
        <f t="shared" si="592"/>
        <v>72.400000000000006</v>
      </c>
      <c r="R980" s="21" t="s">
        <v>131</v>
      </c>
      <c r="S980" s="8" t="s">
        <v>230</v>
      </c>
      <c r="T980" s="7" t="s">
        <v>226</v>
      </c>
    </row>
    <row r="981" spans="1:20" ht="28">
      <c r="A981" s="106" t="s">
        <v>958</v>
      </c>
      <c r="B981" s="102" t="s">
        <v>1075</v>
      </c>
      <c r="C981" s="5"/>
      <c r="D981" s="5" t="s">
        <v>270</v>
      </c>
      <c r="E981" s="132">
        <f t="shared" si="613"/>
        <v>346.73</v>
      </c>
      <c r="F981" s="139">
        <f>$O$997-P981*($O$997-$O$954)</f>
        <v>343.00105820105819</v>
      </c>
      <c r="G981" s="149"/>
      <c r="H981" s="82" t="str">
        <f t="shared" si="589"/>
        <v>0 percent up in Visean international stage</v>
      </c>
      <c r="I981" s="142" t="str">
        <f t="shared" si="590"/>
        <v>22.8 percent up in Visean international stage</v>
      </c>
      <c r="J981" s="7">
        <v>0</v>
      </c>
      <c r="K981" s="129">
        <f t="shared" si="591"/>
        <v>0</v>
      </c>
      <c r="L981" s="8" t="s">
        <v>131</v>
      </c>
      <c r="M981" s="5" t="s">
        <v>82</v>
      </c>
      <c r="N981" s="5" t="s">
        <v>82</v>
      </c>
      <c r="O981" s="83"/>
      <c r="P981" s="20">
        <v>0.22751322751322769</v>
      </c>
      <c r="Q981" s="143">
        <f t="shared" si="592"/>
        <v>22.8</v>
      </c>
      <c r="R981" s="21" t="s">
        <v>131</v>
      </c>
      <c r="S981" s="8" t="s">
        <v>230</v>
      </c>
      <c r="T981" s="7" t="s">
        <v>226</v>
      </c>
    </row>
    <row r="982" spans="1:20" ht="28">
      <c r="A982" s="106" t="s">
        <v>958</v>
      </c>
      <c r="B982" s="102" t="s">
        <v>1076</v>
      </c>
      <c r="C982" s="5"/>
      <c r="D982" s="5" t="s">
        <v>888</v>
      </c>
      <c r="E982" s="132">
        <f t="shared" si="613"/>
        <v>346.73</v>
      </c>
      <c r="F982" s="139">
        <f>$O$997-P982*($O$997-$O$954)</f>
        <v>344.51252941176472</v>
      </c>
      <c r="G982" s="149"/>
      <c r="H982" s="82" t="str">
        <f t="shared" si="589"/>
        <v>0 percent up in Visean international stage</v>
      </c>
      <c r="I982" s="142" t="str">
        <f t="shared" si="590"/>
        <v>13.5 percent up in Visean international stage</v>
      </c>
      <c r="J982" s="7">
        <v>0</v>
      </c>
      <c r="K982" s="129">
        <f t="shared" si="591"/>
        <v>0</v>
      </c>
      <c r="L982" s="8" t="s">
        <v>131</v>
      </c>
      <c r="M982" s="5" t="s">
        <v>82</v>
      </c>
      <c r="N982" s="5" t="s">
        <v>82</v>
      </c>
      <c r="O982" s="83"/>
      <c r="P982" s="20">
        <v>0.13529411764705884</v>
      </c>
      <c r="Q982" s="143">
        <f t="shared" si="592"/>
        <v>13.5</v>
      </c>
      <c r="R982" s="21" t="s">
        <v>131</v>
      </c>
      <c r="S982" s="8" t="s">
        <v>230</v>
      </c>
      <c r="T982" s="7" t="s">
        <v>226</v>
      </c>
    </row>
    <row r="983" spans="1:20" ht="42">
      <c r="A983" s="106" t="s">
        <v>958</v>
      </c>
      <c r="B983" s="103" t="s">
        <v>1077</v>
      </c>
      <c r="C983" s="5"/>
      <c r="D983" s="5" t="s">
        <v>248</v>
      </c>
      <c r="E983" s="132">
        <f t="shared" si="613"/>
        <v>346.73</v>
      </c>
      <c r="F983" s="139">
        <f>$O$954-P983*($O$954-$O$932)</f>
        <v>323.39999999999998</v>
      </c>
      <c r="G983" s="149"/>
      <c r="H983" s="82" t="str">
        <f t="shared" si="589"/>
        <v>0 percent up in Visean international stage</v>
      </c>
      <c r="I983" s="142" t="str">
        <f t="shared" si="590"/>
        <v>100 percent up in Serpukhovian international stage</v>
      </c>
      <c r="J983" s="7">
        <v>0</v>
      </c>
      <c r="K983" s="129">
        <f t="shared" si="591"/>
        <v>0</v>
      </c>
      <c r="L983" s="8" t="s">
        <v>131</v>
      </c>
      <c r="M983" s="5" t="s">
        <v>82</v>
      </c>
      <c r="N983" s="5" t="s">
        <v>82</v>
      </c>
      <c r="O983" s="83"/>
      <c r="P983" s="20">
        <v>1</v>
      </c>
      <c r="Q983" s="143">
        <f t="shared" si="592"/>
        <v>100</v>
      </c>
      <c r="R983" s="21" t="s">
        <v>129</v>
      </c>
      <c r="S983" s="8" t="s">
        <v>232</v>
      </c>
      <c r="T983" s="7" t="s">
        <v>226</v>
      </c>
    </row>
    <row r="984" spans="1:20" ht="28">
      <c r="A984" s="106"/>
      <c r="B984" s="102" t="s">
        <v>1697</v>
      </c>
      <c r="C984" s="5"/>
      <c r="D984" s="5"/>
      <c r="E984" s="132">
        <f t="shared" si="613"/>
        <v>335.9126</v>
      </c>
      <c r="F984" s="139">
        <f t="shared" ref="F984:F993" si="621">$O$997-P984*($O$997-$O$954)</f>
        <v>330.34</v>
      </c>
      <c r="G984" s="149" t="s">
        <v>1667</v>
      </c>
      <c r="H984" s="82" t="str">
        <f t="shared" ref="H984:H986" si="622">CONCATENATE(K984," percent up in ",L984," international stage")</f>
        <v>66 percent up in Visean international stage</v>
      </c>
      <c r="I984" s="142" t="str">
        <f t="shared" ref="I984:I986" si="623">CONCATENATE(Q984," percent up in ",R984," international stage")</f>
        <v>100 percent up in Visean international stage</v>
      </c>
      <c r="J984" s="7">
        <v>0.66</v>
      </c>
      <c r="K984" s="129">
        <f t="shared" si="591"/>
        <v>66</v>
      </c>
      <c r="L984" s="8" t="s">
        <v>131</v>
      </c>
      <c r="M984" s="5"/>
      <c r="O984" s="83"/>
      <c r="P984" s="20">
        <v>1</v>
      </c>
      <c r="Q984" s="143">
        <f t="shared" si="592"/>
        <v>100</v>
      </c>
      <c r="R984" s="21" t="s">
        <v>131</v>
      </c>
      <c r="S984" s="151" t="s">
        <v>1667</v>
      </c>
    </row>
    <row r="985" spans="1:20" ht="28">
      <c r="A985" s="106"/>
      <c r="B985" s="102" t="s">
        <v>1698</v>
      </c>
      <c r="C985" s="5"/>
      <c r="D985" s="5"/>
      <c r="E985" s="132">
        <f t="shared" si="613"/>
        <v>341.32130000000001</v>
      </c>
      <c r="F985" s="139">
        <f t="shared" si="621"/>
        <v>335.9126</v>
      </c>
      <c r="G985" s="149" t="s">
        <v>1668</v>
      </c>
      <c r="H985" s="82" t="str">
        <f t="shared" si="622"/>
        <v>33 percent up in Visean international stage</v>
      </c>
      <c r="I985" s="142" t="str">
        <f t="shared" si="623"/>
        <v>66 percent up in Visean international stage</v>
      </c>
      <c r="J985" s="7">
        <v>0.33</v>
      </c>
      <c r="K985" s="129">
        <f t="shared" si="591"/>
        <v>33</v>
      </c>
      <c r="L985" s="8" t="s">
        <v>131</v>
      </c>
      <c r="M985" s="5"/>
      <c r="O985" s="83"/>
      <c r="P985" s="20">
        <v>0.66</v>
      </c>
      <c r="Q985" s="143">
        <f t="shared" si="592"/>
        <v>66</v>
      </c>
      <c r="R985" s="21" t="s">
        <v>131</v>
      </c>
      <c r="S985" s="151" t="s">
        <v>1668</v>
      </c>
    </row>
    <row r="986" spans="1:20" ht="28">
      <c r="A986" s="106"/>
      <c r="B986" s="102" t="s">
        <v>1699</v>
      </c>
      <c r="C986" s="5"/>
      <c r="D986" s="5"/>
      <c r="E986" s="132">
        <f t="shared" si="613"/>
        <v>346.73</v>
      </c>
      <c r="F986" s="139">
        <f t="shared" si="621"/>
        <v>341.32130000000001</v>
      </c>
      <c r="G986" s="149" t="s">
        <v>1669</v>
      </c>
      <c r="H986" s="82" t="str">
        <f t="shared" si="622"/>
        <v>0 percent up in Visean international stage</v>
      </c>
      <c r="I986" s="142" t="str">
        <f t="shared" si="623"/>
        <v>33 percent up in Visean international stage</v>
      </c>
      <c r="J986" s="7">
        <v>0</v>
      </c>
      <c r="K986" s="129">
        <f t="shared" si="591"/>
        <v>0</v>
      </c>
      <c r="L986" s="8" t="s">
        <v>131</v>
      </c>
      <c r="M986" s="5"/>
      <c r="O986" s="83"/>
      <c r="P986" s="20">
        <v>0.33</v>
      </c>
      <c r="Q986" s="143">
        <f t="shared" si="592"/>
        <v>33</v>
      </c>
      <c r="R986" s="21" t="s">
        <v>131</v>
      </c>
      <c r="S986" s="151" t="s">
        <v>1669</v>
      </c>
    </row>
    <row r="987" spans="1:20" ht="28">
      <c r="A987" s="106" t="s">
        <v>958</v>
      </c>
      <c r="B987" s="102" t="s">
        <v>1570</v>
      </c>
      <c r="C987" s="5"/>
      <c r="D987" s="5"/>
      <c r="E987" s="132">
        <f t="shared" ref="E987:E993" si="624">$O$997-J987*($O$997-$O$954)</f>
        <v>346.73</v>
      </c>
      <c r="F987" s="139">
        <f t="shared" si="621"/>
        <v>330.34</v>
      </c>
      <c r="G987" s="149" t="s">
        <v>1571</v>
      </c>
      <c r="H987" s="82" t="str">
        <f t="shared" si="589"/>
        <v>0 percent up in Visean international stage</v>
      </c>
      <c r="I987" s="142" t="str">
        <f t="shared" si="590"/>
        <v>100 percent up in Visean international stage</v>
      </c>
      <c r="J987" s="7">
        <v>0</v>
      </c>
      <c r="K987" s="129">
        <f t="shared" ref="K987:K993" si="625">ROUND(J987*100,1)</f>
        <v>0</v>
      </c>
      <c r="L987" s="8" t="s">
        <v>131</v>
      </c>
      <c r="M987" s="5"/>
      <c r="O987" s="83"/>
      <c r="P987" s="20">
        <v>1</v>
      </c>
      <c r="Q987" s="143">
        <f t="shared" ref="Q987:Q993" si="626">ROUND(P987*100,1)</f>
        <v>100</v>
      </c>
      <c r="R987" s="21" t="s">
        <v>131</v>
      </c>
      <c r="S987" s="8" t="s">
        <v>224</v>
      </c>
    </row>
    <row r="988" spans="1:20" ht="28">
      <c r="A988" s="106"/>
      <c r="B988" s="102" t="s">
        <v>2162</v>
      </c>
      <c r="C988" s="5"/>
      <c r="D988" s="5"/>
      <c r="E988" s="132">
        <f t="shared" si="624"/>
        <v>333.12629999999996</v>
      </c>
      <c r="F988" s="139">
        <f t="shared" si="621"/>
        <v>330.34</v>
      </c>
      <c r="G988" s="152" t="s">
        <v>1982</v>
      </c>
      <c r="H988" s="82" t="str">
        <f t="shared" si="589"/>
        <v>83 percent up in Visean international stage</v>
      </c>
      <c r="I988" s="142" t="str">
        <f t="shared" si="590"/>
        <v>100 percent up in Visean international stage</v>
      </c>
      <c r="J988" s="7">
        <v>0.83</v>
      </c>
      <c r="K988" s="129">
        <f t="shared" si="625"/>
        <v>83</v>
      </c>
      <c r="L988" s="8" t="s">
        <v>131</v>
      </c>
      <c r="M988" s="5"/>
      <c r="O988" s="83"/>
      <c r="P988" s="20">
        <v>1</v>
      </c>
      <c r="Q988" s="143">
        <f t="shared" si="626"/>
        <v>100</v>
      </c>
      <c r="R988" s="21" t="s">
        <v>131</v>
      </c>
      <c r="S988" s="8"/>
    </row>
    <row r="989" spans="1:20" ht="28">
      <c r="A989" s="106"/>
      <c r="B989" s="102" t="s">
        <v>1875</v>
      </c>
      <c r="C989" s="5"/>
      <c r="D989" s="5"/>
      <c r="E989" s="132">
        <f t="shared" ref="E989:E990" si="627">$O$997-J989*($O$997-$O$954)</f>
        <v>333.12629999999996</v>
      </c>
      <c r="F989" s="139">
        <f t="shared" ref="F989:F990" si="628">$O$997-P989*($O$997-$O$954)</f>
        <v>330.34</v>
      </c>
      <c r="G989" s="152" t="s">
        <v>1876</v>
      </c>
      <c r="H989" s="82" t="str">
        <f t="shared" ref="H989:H990" si="629">CONCATENATE(K989," percent up in ",L989," international stage")</f>
        <v>83 percent up in Visean international stage</v>
      </c>
      <c r="I989" s="142" t="str">
        <f t="shared" ref="I989:I990" si="630">CONCATENATE(Q989," percent up in ",R989," international stage")</f>
        <v>100 percent up in Visean international stage</v>
      </c>
      <c r="J989" s="7">
        <v>0.83</v>
      </c>
      <c r="K989" s="129">
        <f t="shared" ref="K989:K990" si="631">ROUND(J989*100,1)</f>
        <v>83</v>
      </c>
      <c r="L989" s="8" t="s">
        <v>131</v>
      </c>
      <c r="M989" s="5"/>
      <c r="O989" s="83"/>
      <c r="P989" s="20">
        <v>1</v>
      </c>
      <c r="Q989" s="143">
        <f t="shared" ref="Q989:Q990" si="632">ROUND(P989*100,1)</f>
        <v>100</v>
      </c>
      <c r="R989" s="21" t="s">
        <v>131</v>
      </c>
      <c r="S989" s="152" t="s">
        <v>1876</v>
      </c>
    </row>
    <row r="990" spans="1:20" ht="28">
      <c r="A990" s="106"/>
      <c r="B990" s="102" t="s">
        <v>1874</v>
      </c>
      <c r="C990" s="5"/>
      <c r="D990" s="5"/>
      <c r="E990" s="132">
        <f t="shared" si="627"/>
        <v>335.9126</v>
      </c>
      <c r="F990" s="139">
        <f t="shared" si="628"/>
        <v>333.12629999999996</v>
      </c>
      <c r="G990" s="152" t="s">
        <v>1877</v>
      </c>
      <c r="H990" s="82" t="str">
        <f t="shared" si="629"/>
        <v>66 percent up in Visean international stage</v>
      </c>
      <c r="I990" s="142" t="str">
        <f t="shared" si="630"/>
        <v>83 percent up in Visean international stage</v>
      </c>
      <c r="J990" s="7">
        <v>0.66</v>
      </c>
      <c r="K990" s="129">
        <f t="shared" si="631"/>
        <v>66</v>
      </c>
      <c r="L990" s="8" t="s">
        <v>131</v>
      </c>
      <c r="M990" s="5"/>
      <c r="O990" s="83"/>
      <c r="P990" s="20">
        <v>0.83</v>
      </c>
      <c r="Q990" s="143">
        <f t="shared" si="632"/>
        <v>83</v>
      </c>
      <c r="R990" s="21" t="s">
        <v>131</v>
      </c>
      <c r="S990" s="152" t="s">
        <v>1877</v>
      </c>
    </row>
    <row r="991" spans="1:20" ht="28">
      <c r="A991" s="106"/>
      <c r="B991" s="102" t="s">
        <v>1700</v>
      </c>
      <c r="C991" s="5"/>
      <c r="D991" s="5"/>
      <c r="E991" s="132">
        <f t="shared" si="624"/>
        <v>335.9126</v>
      </c>
      <c r="F991" s="139">
        <f t="shared" si="621"/>
        <v>330.34</v>
      </c>
      <c r="G991" s="149" t="s">
        <v>1667</v>
      </c>
      <c r="H991" s="82" t="str">
        <f t="shared" si="589"/>
        <v>66 percent up in Visean international stage</v>
      </c>
      <c r="I991" s="142" t="str">
        <f t="shared" si="590"/>
        <v>100 percent up in Visean international stage</v>
      </c>
      <c r="J991" s="7">
        <v>0.66</v>
      </c>
      <c r="K991" s="129">
        <f t="shared" si="625"/>
        <v>66</v>
      </c>
      <c r="L991" s="8" t="s">
        <v>131</v>
      </c>
      <c r="M991" s="5"/>
      <c r="O991" s="83"/>
      <c r="P991" s="20">
        <v>1</v>
      </c>
      <c r="Q991" s="143">
        <f t="shared" si="626"/>
        <v>100</v>
      </c>
      <c r="R991" s="21" t="s">
        <v>131</v>
      </c>
      <c r="S991" s="151" t="s">
        <v>1667</v>
      </c>
    </row>
    <row r="992" spans="1:20" ht="28">
      <c r="A992" s="106"/>
      <c r="B992" s="102" t="s">
        <v>1701</v>
      </c>
      <c r="C992" s="5"/>
      <c r="D992" s="5"/>
      <c r="E992" s="132">
        <f t="shared" si="624"/>
        <v>341.32130000000001</v>
      </c>
      <c r="F992" s="139">
        <f t="shared" si="621"/>
        <v>335.9126</v>
      </c>
      <c r="G992" s="149" t="s">
        <v>1668</v>
      </c>
      <c r="H992" s="82" t="str">
        <f t="shared" si="589"/>
        <v>33 percent up in Visean international stage</v>
      </c>
      <c r="I992" s="142" t="str">
        <f t="shared" si="590"/>
        <v>66 percent up in Visean international stage</v>
      </c>
      <c r="J992" s="7">
        <v>0.33</v>
      </c>
      <c r="K992" s="129">
        <f t="shared" si="625"/>
        <v>33</v>
      </c>
      <c r="L992" s="8" t="s">
        <v>131</v>
      </c>
      <c r="M992" s="5"/>
      <c r="O992" s="83"/>
      <c r="P992" s="20">
        <v>0.66</v>
      </c>
      <c r="Q992" s="143">
        <f t="shared" si="626"/>
        <v>66</v>
      </c>
      <c r="R992" s="21" t="s">
        <v>131</v>
      </c>
      <c r="S992" s="151" t="s">
        <v>1668</v>
      </c>
    </row>
    <row r="993" spans="1:20" ht="28">
      <c r="A993" s="106"/>
      <c r="B993" s="102" t="s">
        <v>1702</v>
      </c>
      <c r="C993" s="5"/>
      <c r="D993" s="5"/>
      <c r="E993" s="132">
        <f t="shared" si="624"/>
        <v>346.73</v>
      </c>
      <c r="F993" s="139">
        <f t="shared" si="621"/>
        <v>341.32130000000001</v>
      </c>
      <c r="G993" s="149" t="s">
        <v>1669</v>
      </c>
      <c r="H993" s="82" t="str">
        <f t="shared" si="589"/>
        <v>0 percent up in Visean international stage</v>
      </c>
      <c r="I993" s="142" t="str">
        <f t="shared" si="590"/>
        <v>33 percent up in Visean international stage</v>
      </c>
      <c r="J993" s="7">
        <v>0</v>
      </c>
      <c r="K993" s="129">
        <f t="shared" si="625"/>
        <v>0</v>
      </c>
      <c r="L993" s="8" t="s">
        <v>131</v>
      </c>
      <c r="M993" s="5"/>
      <c r="O993" s="83"/>
      <c r="P993" s="20">
        <v>0.33</v>
      </c>
      <c r="Q993" s="143">
        <f t="shared" si="626"/>
        <v>33</v>
      </c>
      <c r="R993" s="21" t="s">
        <v>131</v>
      </c>
      <c r="S993" s="151" t="s">
        <v>1669</v>
      </c>
    </row>
    <row r="994" spans="1:20" ht="28">
      <c r="A994" s="106"/>
      <c r="B994" s="102" t="s">
        <v>2161</v>
      </c>
      <c r="C994" s="5"/>
      <c r="D994" s="5"/>
      <c r="E994" s="132">
        <f t="shared" ref="E994" si="633">$O$997-J994*($O$997-$O$954)</f>
        <v>346.73</v>
      </c>
      <c r="F994" s="139">
        <f t="shared" ref="F994" si="634">$O$997-P994*($O$997-$O$954)</f>
        <v>343.94370000000004</v>
      </c>
      <c r="G994" s="152" t="s">
        <v>1983</v>
      </c>
      <c r="H994" s="82" t="str">
        <f t="shared" ref="H994" si="635">CONCATENATE(K994," percent up in ",L994," international stage")</f>
        <v>0 percent up in Visean international stage</v>
      </c>
      <c r="I994" s="142" t="str">
        <f t="shared" ref="I994" si="636">CONCATENATE(Q994," percent up in ",R994," international stage")</f>
        <v>17 percent up in Visean international stage</v>
      </c>
      <c r="J994" s="7">
        <v>0</v>
      </c>
      <c r="K994" s="129">
        <f t="shared" ref="K994" si="637">ROUND(J994*100,1)</f>
        <v>0</v>
      </c>
      <c r="L994" s="8" t="s">
        <v>131</v>
      </c>
      <c r="M994" s="5"/>
      <c r="O994" s="83"/>
      <c r="P994" s="20">
        <v>0.17</v>
      </c>
      <c r="Q994" s="143">
        <f t="shared" ref="Q994" si="638">ROUND(P994*100,1)</f>
        <v>17</v>
      </c>
      <c r="R994" s="21" t="s">
        <v>131</v>
      </c>
      <c r="S994" s="151"/>
    </row>
    <row r="995" spans="1:20" ht="28">
      <c r="A995" s="106" t="s">
        <v>958</v>
      </c>
      <c r="B995" s="102" t="s">
        <v>131</v>
      </c>
      <c r="C995" s="135"/>
      <c r="D995" s="135" t="s">
        <v>222</v>
      </c>
      <c r="E995" s="132">
        <f t="shared" si="613"/>
        <v>346.73</v>
      </c>
      <c r="F995" s="139">
        <f>$O$997-P995*($O$997-$O$954)</f>
        <v>330.34</v>
      </c>
      <c r="G995" s="149"/>
      <c r="H995" s="82" t="str">
        <f t="shared" si="589"/>
        <v>0 percent up in Visean international stage</v>
      </c>
      <c r="I995" s="142" t="str">
        <f t="shared" si="590"/>
        <v>100 percent up in Visean international stage</v>
      </c>
      <c r="J995" s="7">
        <v>0</v>
      </c>
      <c r="K995" s="129">
        <f t="shared" si="591"/>
        <v>0</v>
      </c>
      <c r="L995" s="8" t="s">
        <v>131</v>
      </c>
      <c r="M995" s="5" t="s">
        <v>224</v>
      </c>
      <c r="N995" s="5" t="s">
        <v>1078</v>
      </c>
      <c r="O995" s="84">
        <f>Master_Chronostrat!I117</f>
        <v>346.73</v>
      </c>
      <c r="P995" s="20">
        <v>1</v>
      </c>
      <c r="Q995" s="143">
        <f t="shared" si="592"/>
        <v>100</v>
      </c>
      <c r="R995" s="21" t="s">
        <v>131</v>
      </c>
      <c r="S995" s="8" t="s">
        <v>224</v>
      </c>
      <c r="T995" s="7" t="s">
        <v>226</v>
      </c>
    </row>
    <row r="996" spans="1:20" ht="42">
      <c r="A996" s="106"/>
      <c r="B996" s="102" t="s">
        <v>1693</v>
      </c>
      <c r="C996" s="5"/>
      <c r="D996" s="5"/>
      <c r="E996" s="132">
        <f t="shared" ref="E996" si="639">$O$997-J996*($O$997-$O$954)</f>
        <v>346.73</v>
      </c>
      <c r="F996" s="139">
        <f t="shared" ref="F996" si="640">$O$997-P996*($O$997-$O$954)</f>
        <v>330.34</v>
      </c>
      <c r="G996" s="149" t="s">
        <v>1694</v>
      </c>
      <c r="H996" s="82" t="str">
        <f t="shared" ref="H996" si="641">CONCATENATE(K996," percent up in ",L996," international stage")</f>
        <v>0 percent up in Visean international stage</v>
      </c>
      <c r="I996" s="142" t="str">
        <f t="shared" ref="I996" si="642">CONCATENATE(Q996," percent up in ",R996," international stage")</f>
        <v>100 percent up in Visean international stage</v>
      </c>
      <c r="J996" s="7">
        <v>0</v>
      </c>
      <c r="K996" s="129">
        <f t="shared" ref="K996" si="643">ROUND(J996*100,1)</f>
        <v>0</v>
      </c>
      <c r="L996" s="8" t="s">
        <v>131</v>
      </c>
      <c r="M996" s="5"/>
      <c r="O996" s="84"/>
      <c r="P996" s="20">
        <v>1</v>
      </c>
      <c r="Q996" s="143">
        <f t="shared" ref="Q996" si="644">ROUND(P996*100,1)</f>
        <v>100</v>
      </c>
      <c r="R996" s="21" t="s">
        <v>131</v>
      </c>
      <c r="S996" s="149" t="s">
        <v>1694</v>
      </c>
    </row>
    <row r="997" spans="1:20" ht="34">
      <c r="A997" s="106" t="s">
        <v>958</v>
      </c>
      <c r="B997" s="102" t="s">
        <v>1079</v>
      </c>
      <c r="C997" s="135"/>
      <c r="D997" s="135" t="s">
        <v>222</v>
      </c>
      <c r="E997" s="132">
        <f t="shared" si="613"/>
        <v>346.73</v>
      </c>
      <c r="F997" s="139">
        <f t="shared" ref="F997:F1001" si="645">$O$997-P997*($O$997-$O$954)</f>
        <v>330.34</v>
      </c>
      <c r="G997" s="149"/>
      <c r="H997" s="82" t="str">
        <f t="shared" si="589"/>
        <v>0 percent up in Visean international stage</v>
      </c>
      <c r="I997" s="142" t="str">
        <f t="shared" si="590"/>
        <v>100 percent up in Visean international stage</v>
      </c>
      <c r="J997" s="7">
        <v>0</v>
      </c>
      <c r="K997" s="129">
        <f t="shared" si="591"/>
        <v>0</v>
      </c>
      <c r="L997" s="8" t="s">
        <v>131</v>
      </c>
      <c r="M997" s="5" t="s">
        <v>224</v>
      </c>
      <c r="N997" s="5" t="s">
        <v>1078</v>
      </c>
      <c r="O997" s="84">
        <f>Master_Chronostrat!I117</f>
        <v>346.73</v>
      </c>
      <c r="P997" s="20">
        <v>1</v>
      </c>
      <c r="Q997" s="143">
        <f t="shared" si="592"/>
        <v>100</v>
      </c>
      <c r="R997" s="21" t="s">
        <v>131</v>
      </c>
      <c r="S997" s="8" t="s">
        <v>224</v>
      </c>
      <c r="T997" s="7" t="s">
        <v>226</v>
      </c>
    </row>
    <row r="998" spans="1:20" ht="28">
      <c r="A998" s="106" t="s">
        <v>958</v>
      </c>
      <c r="B998" s="102" t="s">
        <v>1080</v>
      </c>
      <c r="C998" s="5"/>
      <c r="D998" s="5" t="s">
        <v>82</v>
      </c>
      <c r="E998" s="132">
        <f t="shared" ref="E998:E1017" si="646">$O$1025-J998*($O$1025-$O$997)</f>
        <v>349.17165467625898</v>
      </c>
      <c r="F998" s="139">
        <f t="shared" si="645"/>
        <v>330.34</v>
      </c>
      <c r="G998" s="149"/>
      <c r="H998" s="82" t="str">
        <f t="shared" si="589"/>
        <v>80.6 percent up in Tournaisian international stage</v>
      </c>
      <c r="I998" s="142" t="str">
        <f t="shared" si="590"/>
        <v>100 percent up in Tournaisian international stage</v>
      </c>
      <c r="J998" s="7">
        <v>0.80575539568345378</v>
      </c>
      <c r="K998" s="129">
        <f t="shared" si="591"/>
        <v>80.599999999999994</v>
      </c>
      <c r="L998" s="8" t="s">
        <v>135</v>
      </c>
      <c r="M998" s="5" t="s">
        <v>82</v>
      </c>
      <c r="N998" s="5" t="s">
        <v>82</v>
      </c>
      <c r="O998" s="83"/>
      <c r="P998" s="20">
        <v>1</v>
      </c>
      <c r="Q998" s="143">
        <f t="shared" si="592"/>
        <v>100</v>
      </c>
      <c r="R998" s="21" t="s">
        <v>135</v>
      </c>
      <c r="S998" s="8" t="s">
        <v>272</v>
      </c>
      <c r="T998" s="7" t="s">
        <v>226</v>
      </c>
    </row>
    <row r="999" spans="1:20" ht="28">
      <c r="A999" s="106" t="s">
        <v>958</v>
      </c>
      <c r="B999" s="102" t="s">
        <v>1081</v>
      </c>
      <c r="C999" s="5"/>
      <c r="D999" s="5" t="s">
        <v>82</v>
      </c>
      <c r="E999" s="132">
        <f t="shared" si="646"/>
        <v>349.17165467625898</v>
      </c>
      <c r="F999" s="139">
        <f t="shared" si="645"/>
        <v>330.34</v>
      </c>
      <c r="G999" s="149"/>
      <c r="H999" s="82" t="str">
        <f t="shared" si="589"/>
        <v>80.6 percent up in Tournaisian international stage</v>
      </c>
      <c r="I999" s="142" t="str">
        <f t="shared" si="590"/>
        <v>100 percent up in Tournaisian international stage</v>
      </c>
      <c r="J999" s="7">
        <v>0.80575539568345378</v>
      </c>
      <c r="K999" s="129">
        <f t="shared" si="591"/>
        <v>80.599999999999994</v>
      </c>
      <c r="L999" s="8" t="s">
        <v>135</v>
      </c>
      <c r="M999" s="5" t="s">
        <v>82</v>
      </c>
      <c r="N999" s="5" t="s">
        <v>82</v>
      </c>
      <c r="O999" s="83"/>
      <c r="P999" s="20">
        <v>1</v>
      </c>
      <c r="Q999" s="143">
        <f t="shared" si="592"/>
        <v>100</v>
      </c>
      <c r="R999" s="21" t="s">
        <v>135</v>
      </c>
      <c r="S999" s="8" t="s">
        <v>272</v>
      </c>
      <c r="T999" s="7" t="s">
        <v>226</v>
      </c>
    </row>
    <row r="1000" spans="1:20" ht="28">
      <c r="A1000" s="106" t="s">
        <v>958</v>
      </c>
      <c r="B1000" s="102" t="s">
        <v>1082</v>
      </c>
      <c r="C1000" s="5"/>
      <c r="D1000" s="5" t="s">
        <v>888</v>
      </c>
      <c r="E1000" s="132">
        <f t="shared" si="646"/>
        <v>349.17165467625898</v>
      </c>
      <c r="F1000" s="139">
        <f t="shared" si="645"/>
        <v>330.34</v>
      </c>
      <c r="G1000" s="149"/>
      <c r="H1000" s="82" t="str">
        <f t="shared" si="589"/>
        <v>80.6 percent up in Tournaisian international stage</v>
      </c>
      <c r="I1000" s="142" t="str">
        <f t="shared" si="590"/>
        <v>100 percent up in Tournaisian international stage</v>
      </c>
      <c r="J1000" s="7">
        <v>0.80575539568345378</v>
      </c>
      <c r="K1000" s="129">
        <f t="shared" si="591"/>
        <v>80.599999999999994</v>
      </c>
      <c r="L1000" s="8" t="s">
        <v>135</v>
      </c>
      <c r="M1000" s="5" t="s">
        <v>82</v>
      </c>
      <c r="N1000" s="5" t="s">
        <v>82</v>
      </c>
      <c r="O1000" s="83"/>
      <c r="P1000" s="20">
        <v>1</v>
      </c>
      <c r="Q1000" s="143">
        <f t="shared" si="592"/>
        <v>100</v>
      </c>
      <c r="R1000" s="21" t="s">
        <v>135</v>
      </c>
      <c r="S1000" s="8" t="s">
        <v>272</v>
      </c>
      <c r="T1000" s="7" t="s">
        <v>226</v>
      </c>
    </row>
    <row r="1001" spans="1:20" ht="28">
      <c r="A1001" s="106" t="s">
        <v>958</v>
      </c>
      <c r="B1001" s="102" t="s">
        <v>1083</v>
      </c>
      <c r="C1001" s="5"/>
      <c r="D1001" s="5" t="s">
        <v>244</v>
      </c>
      <c r="E1001" s="132">
        <f t="shared" si="646"/>
        <v>349.17165467625898</v>
      </c>
      <c r="F1001" s="139">
        <f t="shared" si="645"/>
        <v>342.13386243386242</v>
      </c>
      <c r="G1001" s="149"/>
      <c r="H1001" s="82" t="str">
        <f t="shared" si="589"/>
        <v>80.6 percent up in Tournaisian international stage</v>
      </c>
      <c r="I1001" s="142" t="str">
        <f t="shared" si="590"/>
        <v>28 percent up in Visean international stage</v>
      </c>
      <c r="J1001" s="7">
        <v>0.80575539568345378</v>
      </c>
      <c r="K1001" s="129">
        <f t="shared" si="591"/>
        <v>80.599999999999994</v>
      </c>
      <c r="L1001" s="8" t="s">
        <v>135</v>
      </c>
      <c r="M1001" s="5" t="s">
        <v>82</v>
      </c>
      <c r="N1001" s="5" t="s">
        <v>82</v>
      </c>
      <c r="O1001" s="83"/>
      <c r="P1001" s="20">
        <v>0.28042328042328052</v>
      </c>
      <c r="Q1001" s="143">
        <f t="shared" si="592"/>
        <v>28</v>
      </c>
      <c r="R1001" s="21" t="s">
        <v>131</v>
      </c>
      <c r="S1001" s="8" t="s">
        <v>246</v>
      </c>
      <c r="T1001" s="7" t="s">
        <v>226</v>
      </c>
    </row>
    <row r="1002" spans="1:20" ht="28">
      <c r="A1002" s="106" t="s">
        <v>958</v>
      </c>
      <c r="B1002" s="102" t="s">
        <v>1084</v>
      </c>
      <c r="C1002" s="5"/>
      <c r="D1002" s="5" t="s">
        <v>888</v>
      </c>
      <c r="E1002" s="132">
        <f t="shared" si="646"/>
        <v>350.07597122302161</v>
      </c>
      <c r="F1002" s="139">
        <f t="shared" ref="F1002" si="647">$O$1025-P1002*($O$1025-$O$997)</f>
        <v>349.17165467625898</v>
      </c>
      <c r="G1002" s="149"/>
      <c r="H1002" s="82" t="str">
        <f t="shared" si="589"/>
        <v>73.4 percent up in Tournaisian international stage</v>
      </c>
      <c r="I1002" s="142" t="str">
        <f t="shared" si="590"/>
        <v>80.6 percent up in Tournaisian international stage</v>
      </c>
      <c r="J1002" s="7">
        <v>0.73381294964028809</v>
      </c>
      <c r="K1002" s="129">
        <f t="shared" si="591"/>
        <v>73.400000000000006</v>
      </c>
      <c r="L1002" s="8" t="s">
        <v>135</v>
      </c>
      <c r="M1002" s="5" t="s">
        <v>82</v>
      </c>
      <c r="N1002" s="5" t="s">
        <v>82</v>
      </c>
      <c r="O1002" s="83"/>
      <c r="P1002" s="20">
        <v>0.80575539568345378</v>
      </c>
      <c r="Q1002" s="143">
        <f t="shared" si="592"/>
        <v>80.599999999999994</v>
      </c>
      <c r="R1002" s="21" t="s">
        <v>135</v>
      </c>
      <c r="S1002" s="8" t="s">
        <v>259</v>
      </c>
      <c r="T1002" s="7">
        <v>7.1942446043165229E-2</v>
      </c>
    </row>
    <row r="1003" spans="1:20" ht="28">
      <c r="A1003" s="106" t="s">
        <v>958</v>
      </c>
      <c r="B1003" s="102" t="s">
        <v>1085</v>
      </c>
      <c r="C1003" s="5"/>
      <c r="D1003" s="5" t="s">
        <v>248</v>
      </c>
      <c r="E1003" s="132">
        <f t="shared" si="646"/>
        <v>350.52812949640287</v>
      </c>
      <c r="F1003" s="139">
        <f>$O$997-P1003*($O$997-$O$954)</f>
        <v>346.46984126984125</v>
      </c>
      <c r="G1003" s="149"/>
      <c r="H1003" s="82" t="str">
        <f t="shared" si="589"/>
        <v>69.8 percent up in Tournaisian international stage</v>
      </c>
      <c r="I1003" s="142" t="str">
        <f t="shared" si="590"/>
        <v>1.6 percent up in Visean international stage</v>
      </c>
      <c r="J1003" s="7">
        <v>0.69784172661870536</v>
      </c>
      <c r="K1003" s="129">
        <f t="shared" si="591"/>
        <v>69.8</v>
      </c>
      <c r="L1003" s="8" t="s">
        <v>135</v>
      </c>
      <c r="M1003" s="5" t="s">
        <v>82</v>
      </c>
      <c r="N1003" s="5" t="s">
        <v>82</v>
      </c>
      <c r="O1003" s="83"/>
      <c r="P1003" s="20">
        <v>1.5873015873016445E-2</v>
      </c>
      <c r="Q1003" s="143">
        <f t="shared" si="592"/>
        <v>1.6</v>
      </c>
      <c r="R1003" s="21" t="s">
        <v>131</v>
      </c>
      <c r="S1003" s="8" t="s">
        <v>246</v>
      </c>
      <c r="T1003" s="7" t="s">
        <v>226</v>
      </c>
    </row>
    <row r="1004" spans="1:20" ht="28">
      <c r="A1004" s="106" t="s">
        <v>958</v>
      </c>
      <c r="B1004" s="105" t="s">
        <v>1086</v>
      </c>
      <c r="C1004" s="5"/>
      <c r="D1004" s="5" t="s">
        <v>82</v>
      </c>
      <c r="E1004" s="132">
        <f t="shared" si="646"/>
        <v>350.98028776978418</v>
      </c>
      <c r="F1004" s="139">
        <f>$O$855-P1004*($O$855-$O$843)</f>
        <v>299.97813636363634</v>
      </c>
      <c r="G1004" s="149"/>
      <c r="H1004" s="82" t="str">
        <f t="shared" si="589"/>
        <v>66.2 percent up in Tournaisian international stage</v>
      </c>
      <c r="I1004" s="142" t="str">
        <f t="shared" si="590"/>
        <v>77.3 percent up in Gzhelian international stage</v>
      </c>
      <c r="J1004" s="7">
        <v>0.66187050359712263</v>
      </c>
      <c r="K1004" s="129">
        <f t="shared" si="591"/>
        <v>66.2</v>
      </c>
      <c r="L1004" s="8" t="s">
        <v>135</v>
      </c>
      <c r="M1004" s="5" t="s">
        <v>82</v>
      </c>
      <c r="N1004" s="5" t="s">
        <v>82</v>
      </c>
      <c r="O1004" s="83"/>
      <c r="P1004" s="20">
        <v>0.7727272727272696</v>
      </c>
      <c r="Q1004" s="143">
        <f t="shared" si="592"/>
        <v>77.3</v>
      </c>
      <c r="R1004" s="21" t="s">
        <v>120</v>
      </c>
      <c r="S1004" s="8" t="s">
        <v>246</v>
      </c>
      <c r="T1004" s="7" t="s">
        <v>226</v>
      </c>
    </row>
    <row r="1005" spans="1:20" ht="28">
      <c r="A1005" s="106" t="s">
        <v>958</v>
      </c>
      <c r="B1005" s="102" t="s">
        <v>1087</v>
      </c>
      <c r="C1005" s="5"/>
      <c r="D1005" s="5" t="s">
        <v>888</v>
      </c>
      <c r="E1005" s="132">
        <f t="shared" si="646"/>
        <v>351.88460431654676</v>
      </c>
      <c r="F1005" s="139">
        <f t="shared" ref="F1005:F1009" si="648">$O$1025-P1005*($O$1025-$O$997)</f>
        <v>350.07597122302161</v>
      </c>
      <c r="G1005" s="149"/>
      <c r="H1005" s="82" t="str">
        <f t="shared" si="589"/>
        <v>59 percent up in Tournaisian international stage</v>
      </c>
      <c r="I1005" s="142" t="str">
        <f t="shared" si="590"/>
        <v>73.4 percent up in Tournaisian international stage</v>
      </c>
      <c r="J1005" s="7">
        <v>0.58992805755395694</v>
      </c>
      <c r="K1005" s="129">
        <f t="shared" si="591"/>
        <v>59</v>
      </c>
      <c r="L1005" s="8" t="s">
        <v>135</v>
      </c>
      <c r="M1005" s="5" t="s">
        <v>82</v>
      </c>
      <c r="N1005" s="5" t="s">
        <v>82</v>
      </c>
      <c r="O1005" s="83"/>
      <c r="P1005" s="20">
        <v>0.7338129496402882</v>
      </c>
      <c r="Q1005" s="143">
        <f t="shared" si="592"/>
        <v>73.400000000000006</v>
      </c>
      <c r="R1005" s="21" t="s">
        <v>135</v>
      </c>
      <c r="S1005" s="8" t="s">
        <v>259</v>
      </c>
      <c r="T1005" s="7">
        <v>0.14388489208633046</v>
      </c>
    </row>
    <row r="1006" spans="1:20" ht="28">
      <c r="A1006" s="106" t="s">
        <v>958</v>
      </c>
      <c r="B1006" s="102" t="s">
        <v>1088</v>
      </c>
      <c r="C1006" s="5"/>
      <c r="D1006" s="5" t="s">
        <v>888</v>
      </c>
      <c r="E1006" s="132">
        <f t="shared" si="646"/>
        <v>353.06021582733814</v>
      </c>
      <c r="F1006" s="139">
        <f t="shared" si="648"/>
        <v>351.88460431654676</v>
      </c>
      <c r="G1006" s="149"/>
      <c r="H1006" s="82" t="str">
        <f t="shared" si="589"/>
        <v>49.6 percent up in Tournaisian international stage</v>
      </c>
      <c r="I1006" s="142" t="str">
        <f t="shared" si="590"/>
        <v>59 percent up in Tournaisian international stage</v>
      </c>
      <c r="J1006" s="7">
        <v>0.49640287769784086</v>
      </c>
      <c r="K1006" s="129">
        <f t="shared" si="591"/>
        <v>49.6</v>
      </c>
      <c r="L1006" s="8" t="s">
        <v>135</v>
      </c>
      <c r="M1006" s="5" t="s">
        <v>82</v>
      </c>
      <c r="N1006" s="5" t="s">
        <v>82</v>
      </c>
      <c r="O1006" s="83"/>
      <c r="P1006" s="20">
        <v>0.58992805755395694</v>
      </c>
      <c r="Q1006" s="143">
        <f t="shared" si="592"/>
        <v>59</v>
      </c>
      <c r="R1006" s="21" t="s">
        <v>135</v>
      </c>
      <c r="S1006" s="8" t="s">
        <v>259</v>
      </c>
      <c r="T1006" s="7">
        <v>9.3525179856118995E-2</v>
      </c>
    </row>
    <row r="1007" spans="1:20" ht="28">
      <c r="A1007" s="106" t="s">
        <v>958</v>
      </c>
      <c r="B1007" s="102" t="s">
        <v>1089</v>
      </c>
      <c r="C1007" s="5"/>
      <c r="D1007" s="5" t="s">
        <v>888</v>
      </c>
      <c r="E1007" s="132">
        <f t="shared" si="646"/>
        <v>355.50187050359716</v>
      </c>
      <c r="F1007" s="139">
        <f t="shared" si="648"/>
        <v>353.06021582733814</v>
      </c>
      <c r="G1007" s="149"/>
      <c r="H1007" s="82" t="str">
        <f t="shared" si="589"/>
        <v>30.2 percent up in Tournaisian international stage</v>
      </c>
      <c r="I1007" s="142" t="str">
        <f t="shared" si="590"/>
        <v>49.6 percent up in Tournaisian international stage</v>
      </c>
      <c r="J1007" s="7">
        <v>0.30215827338129464</v>
      </c>
      <c r="K1007" s="129">
        <f t="shared" si="591"/>
        <v>30.2</v>
      </c>
      <c r="L1007" s="8" t="s">
        <v>135</v>
      </c>
      <c r="M1007" s="5" t="s">
        <v>82</v>
      </c>
      <c r="N1007" s="5" t="s">
        <v>82</v>
      </c>
      <c r="O1007" s="83"/>
      <c r="P1007" s="20">
        <v>0.49640287769784092</v>
      </c>
      <c r="Q1007" s="143">
        <f t="shared" si="592"/>
        <v>49.6</v>
      </c>
      <c r="R1007" s="21" t="s">
        <v>135</v>
      </c>
      <c r="S1007" s="8" t="s">
        <v>259</v>
      </c>
      <c r="T1007" s="7">
        <v>0.19424460431654195</v>
      </c>
    </row>
    <row r="1008" spans="1:20" ht="28">
      <c r="A1008" s="106" t="s">
        <v>958</v>
      </c>
      <c r="B1008" s="102" t="s">
        <v>1090</v>
      </c>
      <c r="C1008" s="5"/>
      <c r="D1008" s="5" t="s">
        <v>888</v>
      </c>
      <c r="E1008" s="132">
        <f t="shared" si="646"/>
        <v>357.49136690647481</v>
      </c>
      <c r="F1008" s="139">
        <f t="shared" si="648"/>
        <v>355.50187050359716</v>
      </c>
      <c r="G1008" s="149"/>
      <c r="H1008" s="82" t="str">
        <f t="shared" si="589"/>
        <v>14.4 percent up in Tournaisian international stage</v>
      </c>
      <c r="I1008" s="142" t="str">
        <f t="shared" si="590"/>
        <v>30.2 percent up in Tournaisian international stage</v>
      </c>
      <c r="J1008" s="7">
        <v>0.14388489208633115</v>
      </c>
      <c r="K1008" s="129">
        <f t="shared" si="591"/>
        <v>14.4</v>
      </c>
      <c r="L1008" s="8" t="s">
        <v>135</v>
      </c>
      <c r="M1008" s="5" t="s">
        <v>82</v>
      </c>
      <c r="N1008" s="5" t="s">
        <v>82</v>
      </c>
      <c r="O1008" s="83"/>
      <c r="P1008" s="20">
        <v>0.30215827338129464</v>
      </c>
      <c r="Q1008" s="143">
        <f t="shared" si="592"/>
        <v>30.2</v>
      </c>
      <c r="R1008" s="21" t="s">
        <v>135</v>
      </c>
      <c r="S1008" s="8" t="s">
        <v>259</v>
      </c>
      <c r="T1008" s="7">
        <v>0.15827338129496632</v>
      </c>
    </row>
    <row r="1009" spans="1:20" ht="28">
      <c r="A1009" s="106" t="s">
        <v>958</v>
      </c>
      <c r="B1009" s="102" t="s">
        <v>1091</v>
      </c>
      <c r="C1009" s="5"/>
      <c r="D1009" s="5" t="s">
        <v>248</v>
      </c>
      <c r="E1009" s="132">
        <f t="shared" si="646"/>
        <v>359.3</v>
      </c>
      <c r="F1009" s="139">
        <f t="shared" si="648"/>
        <v>346.73</v>
      </c>
      <c r="G1009" s="149"/>
      <c r="H1009" s="82" t="str">
        <f t="shared" si="589"/>
        <v>0 percent up in Tournaisian international stage</v>
      </c>
      <c r="I1009" s="142" t="str">
        <f t="shared" si="590"/>
        <v>100 percent up in Tournaisian international stage</v>
      </c>
      <c r="J1009" s="7">
        <v>0</v>
      </c>
      <c r="K1009" s="129">
        <f t="shared" si="591"/>
        <v>0</v>
      </c>
      <c r="L1009" s="8" t="s">
        <v>135</v>
      </c>
      <c r="M1009" s="5" t="s">
        <v>82</v>
      </c>
      <c r="N1009" s="5" t="s">
        <v>82</v>
      </c>
      <c r="O1009" s="83"/>
      <c r="P1009" s="20">
        <v>1</v>
      </c>
      <c r="Q1009" s="143">
        <f t="shared" si="592"/>
        <v>100</v>
      </c>
      <c r="R1009" s="21" t="s">
        <v>135</v>
      </c>
      <c r="S1009" s="8" t="s">
        <v>232</v>
      </c>
      <c r="T1009" s="7" t="s">
        <v>226</v>
      </c>
    </row>
    <row r="1010" spans="1:20" ht="28">
      <c r="A1010" s="106" t="s">
        <v>958</v>
      </c>
      <c r="B1010" s="102" t="s">
        <v>1092</v>
      </c>
      <c r="C1010" s="5"/>
      <c r="D1010" s="5" t="s">
        <v>82</v>
      </c>
      <c r="E1010" s="132">
        <f t="shared" si="646"/>
        <v>359.3</v>
      </c>
      <c r="F1010" s="139">
        <f t="shared" ref="F1010:F1024" si="649">$O$1025-P1010*($O$1025-$O$997)</f>
        <v>349.17165467625898</v>
      </c>
      <c r="G1010" s="149"/>
      <c r="H1010" s="82" t="str">
        <f t="shared" si="589"/>
        <v>0 percent up in Tournaisian international stage</v>
      </c>
      <c r="I1010" s="142" t="str">
        <f t="shared" si="590"/>
        <v>80.6 percent up in Tournaisian international stage</v>
      </c>
      <c r="J1010" s="7">
        <v>0</v>
      </c>
      <c r="K1010" s="129">
        <f t="shared" si="591"/>
        <v>0</v>
      </c>
      <c r="L1010" s="8" t="s">
        <v>135</v>
      </c>
      <c r="M1010" s="5" t="s">
        <v>82</v>
      </c>
      <c r="N1010" s="5" t="s">
        <v>82</v>
      </c>
      <c r="O1010" s="83"/>
      <c r="P1010" s="20">
        <v>0.80575539568345378</v>
      </c>
      <c r="Q1010" s="143">
        <f t="shared" si="592"/>
        <v>80.599999999999994</v>
      </c>
      <c r="R1010" s="21" t="s">
        <v>135</v>
      </c>
      <c r="S1010" s="8" t="s">
        <v>230</v>
      </c>
      <c r="T1010" s="7" t="s">
        <v>226</v>
      </c>
    </row>
    <row r="1011" spans="1:20" ht="28">
      <c r="A1011" s="106" t="s">
        <v>958</v>
      </c>
      <c r="B1011" s="102" t="s">
        <v>1093</v>
      </c>
      <c r="C1011" s="5"/>
      <c r="D1011" s="5" t="s">
        <v>82</v>
      </c>
      <c r="E1011" s="132">
        <f t="shared" si="646"/>
        <v>359.3</v>
      </c>
      <c r="F1011" s="139">
        <f t="shared" si="649"/>
        <v>346.73</v>
      </c>
      <c r="G1011" s="149"/>
      <c r="H1011" s="82" t="str">
        <f t="shared" si="589"/>
        <v>0 percent up in Tournaisian international stage</v>
      </c>
      <c r="I1011" s="142" t="str">
        <f t="shared" si="590"/>
        <v>100 percent up in Tournaisian international stage</v>
      </c>
      <c r="J1011" s="7">
        <v>0</v>
      </c>
      <c r="K1011" s="129">
        <f t="shared" si="591"/>
        <v>0</v>
      </c>
      <c r="L1011" s="8" t="s">
        <v>135</v>
      </c>
      <c r="M1011" s="5" t="s">
        <v>82</v>
      </c>
      <c r="N1011" s="5" t="s">
        <v>82</v>
      </c>
      <c r="O1011" s="83"/>
      <c r="P1011" s="20">
        <v>1</v>
      </c>
      <c r="Q1011" s="143">
        <f t="shared" si="592"/>
        <v>100</v>
      </c>
      <c r="R1011" s="21" t="s">
        <v>135</v>
      </c>
      <c r="S1011" s="8" t="s">
        <v>232</v>
      </c>
      <c r="T1011" s="7" t="s">
        <v>226</v>
      </c>
    </row>
    <row r="1012" spans="1:20" ht="28">
      <c r="A1012" s="106" t="s">
        <v>958</v>
      </c>
      <c r="B1012" s="102" t="s">
        <v>1094</v>
      </c>
      <c r="C1012" s="5"/>
      <c r="D1012" s="5" t="s">
        <v>82</v>
      </c>
      <c r="E1012" s="132">
        <f t="shared" si="646"/>
        <v>359.3</v>
      </c>
      <c r="F1012" s="139">
        <f t="shared" si="649"/>
        <v>346.73</v>
      </c>
      <c r="G1012" s="149"/>
      <c r="H1012" s="82" t="str">
        <f t="shared" si="589"/>
        <v>0 percent up in Tournaisian international stage</v>
      </c>
      <c r="I1012" s="142" t="str">
        <f t="shared" si="590"/>
        <v>100 percent up in Visean international stage</v>
      </c>
      <c r="J1012" s="7">
        <v>0</v>
      </c>
      <c r="K1012" s="129">
        <f t="shared" si="591"/>
        <v>0</v>
      </c>
      <c r="L1012" s="8" t="s">
        <v>135</v>
      </c>
      <c r="M1012" s="5" t="s">
        <v>82</v>
      </c>
      <c r="N1012" s="5" t="s">
        <v>82</v>
      </c>
      <c r="O1012" s="83"/>
      <c r="P1012" s="20">
        <v>1</v>
      </c>
      <c r="Q1012" s="143">
        <f t="shared" si="592"/>
        <v>100</v>
      </c>
      <c r="R1012" s="21" t="s">
        <v>131</v>
      </c>
      <c r="S1012" s="8" t="s">
        <v>232</v>
      </c>
      <c r="T1012" s="7" t="s">
        <v>226</v>
      </c>
    </row>
    <row r="1013" spans="1:20" ht="28">
      <c r="A1013" s="106" t="s">
        <v>958</v>
      </c>
      <c r="B1013" s="102" t="s">
        <v>1095</v>
      </c>
      <c r="C1013" s="5"/>
      <c r="D1013" s="5" t="s">
        <v>888</v>
      </c>
      <c r="E1013" s="132">
        <f t="shared" si="646"/>
        <v>359.3</v>
      </c>
      <c r="F1013" s="139">
        <f t="shared" si="649"/>
        <v>357.49136690647481</v>
      </c>
      <c r="G1013" s="149"/>
      <c r="H1013" s="82" t="str">
        <f t="shared" si="589"/>
        <v>0 percent up in Tournaisian international stage</v>
      </c>
      <c r="I1013" s="142" t="str">
        <f t="shared" si="590"/>
        <v>14.4 percent up in Tournaisian international stage</v>
      </c>
      <c r="J1013" s="7">
        <v>0</v>
      </c>
      <c r="K1013" s="129">
        <f t="shared" si="591"/>
        <v>0</v>
      </c>
      <c r="L1013" s="8" t="s">
        <v>135</v>
      </c>
      <c r="M1013" s="5" t="s">
        <v>82</v>
      </c>
      <c r="N1013" s="5" t="s">
        <v>82</v>
      </c>
      <c r="O1013" s="83"/>
      <c r="P1013" s="20">
        <v>0.14388489208633118</v>
      </c>
      <c r="Q1013" s="143">
        <f t="shared" si="592"/>
        <v>14.4</v>
      </c>
      <c r="R1013" s="21" t="s">
        <v>135</v>
      </c>
      <c r="S1013" s="8" t="s">
        <v>230</v>
      </c>
      <c r="T1013" s="7" t="s">
        <v>226</v>
      </c>
    </row>
    <row r="1014" spans="1:20" ht="28">
      <c r="A1014" s="106"/>
      <c r="B1014" s="102" t="s">
        <v>1706</v>
      </c>
      <c r="C1014" s="5"/>
      <c r="D1014" s="5"/>
      <c r="E1014" s="132">
        <f t="shared" si="646"/>
        <v>352.51220000000001</v>
      </c>
      <c r="F1014" s="139">
        <f t="shared" si="649"/>
        <v>349.17165467625898</v>
      </c>
      <c r="G1014" s="149" t="s">
        <v>1667</v>
      </c>
      <c r="H1014" s="82" t="str">
        <f t="shared" ref="H1014:H1016" si="650">CONCATENATE(K1014," percent up in ",L1014," international stage")</f>
        <v>54 percent up in Tournaisian international stage</v>
      </c>
      <c r="I1014" s="142" t="str">
        <f t="shared" ref="I1014:I1016" si="651">CONCATENATE(Q1014," percent up in ",R1014," international stage")</f>
        <v>80.6 percent up in Tournaisian international stage</v>
      </c>
      <c r="J1014" s="7">
        <v>0.54</v>
      </c>
      <c r="K1014" s="129">
        <f t="shared" ref="K1014:K1016" si="652">ROUND(J1014*100,1)</f>
        <v>54</v>
      </c>
      <c r="L1014" s="8" t="s">
        <v>135</v>
      </c>
      <c r="M1014" s="5" t="s">
        <v>82</v>
      </c>
      <c r="N1014" s="5" t="s">
        <v>82</v>
      </c>
      <c r="O1014" s="83"/>
      <c r="P1014" s="20">
        <v>0.80575539568345378</v>
      </c>
      <c r="Q1014" s="143">
        <f t="shared" ref="Q1014:Q1016" si="653">ROUND(P1014*100,1)</f>
        <v>80.599999999999994</v>
      </c>
      <c r="R1014" s="21" t="s">
        <v>135</v>
      </c>
      <c r="S1014" s="151" t="s">
        <v>1667</v>
      </c>
    </row>
    <row r="1015" spans="1:20" ht="28">
      <c r="A1015" s="106"/>
      <c r="B1015" s="102" t="s">
        <v>1707</v>
      </c>
      <c r="C1015" s="5"/>
      <c r="D1015" s="5"/>
      <c r="E1015" s="132">
        <f t="shared" si="646"/>
        <v>355.90610000000004</v>
      </c>
      <c r="F1015" s="139">
        <f t="shared" si="649"/>
        <v>352.51220000000001</v>
      </c>
      <c r="G1015" s="149" t="s">
        <v>1668</v>
      </c>
      <c r="H1015" s="82" t="str">
        <f t="shared" si="650"/>
        <v>27 percent up in Tournaisian international stage</v>
      </c>
      <c r="I1015" s="142" t="str">
        <f t="shared" si="651"/>
        <v>54 percent up in Tournaisian international stage</v>
      </c>
      <c r="J1015" s="7">
        <v>0.27</v>
      </c>
      <c r="K1015" s="129">
        <f t="shared" si="652"/>
        <v>27</v>
      </c>
      <c r="L1015" s="8" t="s">
        <v>135</v>
      </c>
      <c r="M1015" s="5" t="s">
        <v>82</v>
      </c>
      <c r="N1015" s="5" t="s">
        <v>82</v>
      </c>
      <c r="O1015" s="83"/>
      <c r="P1015" s="20">
        <v>0.54</v>
      </c>
      <c r="Q1015" s="143">
        <f t="shared" si="653"/>
        <v>54</v>
      </c>
      <c r="R1015" s="21" t="s">
        <v>135</v>
      </c>
      <c r="S1015" s="151" t="s">
        <v>1668</v>
      </c>
    </row>
    <row r="1016" spans="1:20" ht="28">
      <c r="A1016" s="106"/>
      <c r="B1016" s="102" t="s">
        <v>1708</v>
      </c>
      <c r="C1016" s="5"/>
      <c r="D1016" s="5"/>
      <c r="E1016" s="132">
        <f t="shared" si="646"/>
        <v>359.3</v>
      </c>
      <c r="F1016" s="139">
        <f t="shared" si="649"/>
        <v>355.90610000000004</v>
      </c>
      <c r="G1016" s="149" t="s">
        <v>1669</v>
      </c>
      <c r="H1016" s="82" t="str">
        <f t="shared" si="650"/>
        <v>0 percent up in Tournaisian international stage</v>
      </c>
      <c r="I1016" s="142" t="str">
        <f t="shared" si="651"/>
        <v>27 percent up in Tournaisian international stage</v>
      </c>
      <c r="J1016" s="7">
        <v>0</v>
      </c>
      <c r="K1016" s="129">
        <f t="shared" si="652"/>
        <v>0</v>
      </c>
      <c r="L1016" s="8" t="s">
        <v>135</v>
      </c>
      <c r="M1016" s="5" t="s">
        <v>82</v>
      </c>
      <c r="N1016" s="5" t="s">
        <v>82</v>
      </c>
      <c r="O1016" s="83"/>
      <c r="P1016" s="20">
        <v>0.27</v>
      </c>
      <c r="Q1016" s="143">
        <f t="shared" si="653"/>
        <v>27</v>
      </c>
      <c r="R1016" s="21" t="s">
        <v>135</v>
      </c>
      <c r="S1016" s="151" t="s">
        <v>1669</v>
      </c>
    </row>
    <row r="1017" spans="1:20" ht="28">
      <c r="A1017" s="106" t="s">
        <v>958</v>
      </c>
      <c r="B1017" s="102" t="s">
        <v>1096</v>
      </c>
      <c r="C1017" s="5"/>
      <c r="D1017" s="5" t="s">
        <v>270</v>
      </c>
      <c r="E1017" s="132">
        <f t="shared" si="646"/>
        <v>359.3</v>
      </c>
      <c r="F1017" s="139">
        <f t="shared" si="649"/>
        <v>349.17165467625898</v>
      </c>
      <c r="G1017" s="149"/>
      <c r="H1017" s="82" t="str">
        <f t="shared" ref="H1017:H1115" si="654">CONCATENATE(K1017," percent up in ",L1017," international stage")</f>
        <v>0 percent up in Tournaisian international stage</v>
      </c>
      <c r="I1017" s="142" t="str">
        <f t="shared" ref="I1017:I1115" si="655">CONCATENATE(Q1017," percent up in ",R1017," international stage")</f>
        <v>80.6 percent up in Tournaisian international stage</v>
      </c>
      <c r="J1017" s="7">
        <v>0</v>
      </c>
      <c r="K1017" s="129">
        <f t="shared" ref="K1017:K1115" si="656">ROUND(J1017*100,1)</f>
        <v>0</v>
      </c>
      <c r="L1017" s="8" t="s">
        <v>135</v>
      </c>
      <c r="M1017" s="5" t="s">
        <v>82</v>
      </c>
      <c r="N1017" s="5" t="s">
        <v>82</v>
      </c>
      <c r="O1017" s="83"/>
      <c r="P1017" s="20">
        <v>0.80575539568345378</v>
      </c>
      <c r="Q1017" s="143">
        <f t="shared" ref="Q1017:Q1115" si="657">ROUND(P1017*100,1)</f>
        <v>80.599999999999994</v>
      </c>
      <c r="R1017" s="21" t="s">
        <v>135</v>
      </c>
      <c r="S1017" s="8" t="s">
        <v>230</v>
      </c>
      <c r="T1017" s="7" t="s">
        <v>226</v>
      </c>
    </row>
    <row r="1018" spans="1:20" ht="28">
      <c r="A1018" s="106" t="s">
        <v>958</v>
      </c>
      <c r="B1018" s="102" t="s">
        <v>1097</v>
      </c>
      <c r="C1018" s="5"/>
      <c r="D1018" s="5" t="s">
        <v>244</v>
      </c>
      <c r="E1018" s="132">
        <f t="shared" ref="E1018:E1024" si="658">$O$1025-J1018*($O$1025-$O$997)</f>
        <v>359.3</v>
      </c>
      <c r="F1018" s="139">
        <f t="shared" si="649"/>
        <v>349.17165467625898</v>
      </c>
      <c r="G1018" s="149"/>
      <c r="H1018" s="82" t="str">
        <f t="shared" si="654"/>
        <v>0 percent up in Tournaisian international stage</v>
      </c>
      <c r="I1018" s="142" t="str">
        <f t="shared" si="655"/>
        <v>80.6 percent up in Tournaisian international stage</v>
      </c>
      <c r="J1018" s="7">
        <v>0</v>
      </c>
      <c r="K1018" s="129">
        <f t="shared" si="656"/>
        <v>0</v>
      </c>
      <c r="L1018" s="8" t="s">
        <v>135</v>
      </c>
      <c r="M1018" s="5" t="s">
        <v>82</v>
      </c>
      <c r="N1018" s="5" t="s">
        <v>82</v>
      </c>
      <c r="O1018" s="83"/>
      <c r="P1018" s="20">
        <v>0.80575539568345378</v>
      </c>
      <c r="Q1018" s="143">
        <f t="shared" si="657"/>
        <v>80.599999999999994</v>
      </c>
      <c r="R1018" s="21" t="s">
        <v>135</v>
      </c>
      <c r="S1018" s="8" t="s">
        <v>230</v>
      </c>
      <c r="T1018" s="7" t="s">
        <v>226</v>
      </c>
    </row>
    <row r="1019" spans="1:20" ht="28">
      <c r="A1019" s="106" t="s">
        <v>958</v>
      </c>
      <c r="B1019" s="102" t="s">
        <v>1098</v>
      </c>
      <c r="C1019" s="5"/>
      <c r="D1019" s="5" t="s">
        <v>248</v>
      </c>
      <c r="E1019" s="132">
        <f t="shared" si="658"/>
        <v>359.3</v>
      </c>
      <c r="F1019" s="139">
        <f t="shared" si="649"/>
        <v>350.52812949640287</v>
      </c>
      <c r="G1019" s="149"/>
      <c r="H1019" s="82" t="str">
        <f t="shared" si="654"/>
        <v>0 percent up in Tournaisian international stage</v>
      </c>
      <c r="I1019" s="142" t="str">
        <f t="shared" si="655"/>
        <v>69.8 percent up in Tournaisian international stage</v>
      </c>
      <c r="J1019" s="7">
        <v>0</v>
      </c>
      <c r="K1019" s="129">
        <f t="shared" si="656"/>
        <v>0</v>
      </c>
      <c r="L1019" s="8" t="s">
        <v>135</v>
      </c>
      <c r="M1019" s="5" t="s">
        <v>82</v>
      </c>
      <c r="N1019" s="5" t="s">
        <v>82</v>
      </c>
      <c r="O1019" s="83"/>
      <c r="P1019" s="20">
        <v>0.69784172661870536</v>
      </c>
      <c r="Q1019" s="143">
        <f t="shared" si="657"/>
        <v>69.8</v>
      </c>
      <c r="R1019" s="21" t="s">
        <v>135</v>
      </c>
      <c r="S1019" s="8" t="s">
        <v>230</v>
      </c>
      <c r="T1019" s="7" t="s">
        <v>226</v>
      </c>
    </row>
    <row r="1020" spans="1:20" ht="28">
      <c r="A1020" s="106" t="s">
        <v>958</v>
      </c>
      <c r="B1020" s="103" t="s">
        <v>1099</v>
      </c>
      <c r="C1020" s="5"/>
      <c r="D1020" s="5" t="s">
        <v>248</v>
      </c>
      <c r="E1020" s="132">
        <f t="shared" si="658"/>
        <v>359.3</v>
      </c>
      <c r="F1020" s="139">
        <f t="shared" si="649"/>
        <v>346.73</v>
      </c>
      <c r="G1020" s="149"/>
      <c r="H1020" s="82" t="str">
        <f>CONCATENATE(K1020," percent up in ",L1020," international stage")</f>
        <v>0 percent up in Tournaisian international stage</v>
      </c>
      <c r="I1020" s="142" t="str">
        <f>CONCATENATE(Q1020," percent up in ",R1020," international stage")</f>
        <v>100 percent up in Tournaisian international stage</v>
      </c>
      <c r="J1020" s="7">
        <v>0</v>
      </c>
      <c r="K1020" s="129">
        <f>ROUND(J1020*100,1)</f>
        <v>0</v>
      </c>
      <c r="L1020" s="8" t="s">
        <v>135</v>
      </c>
      <c r="M1020" s="5" t="s">
        <v>82</v>
      </c>
      <c r="N1020" s="5" t="s">
        <v>82</v>
      </c>
      <c r="O1020" s="83"/>
      <c r="P1020" s="20">
        <v>1</v>
      </c>
      <c r="Q1020" s="143">
        <f>ROUND(P1020*100,1)</f>
        <v>100</v>
      </c>
      <c r="R1020" s="21" t="s">
        <v>135</v>
      </c>
      <c r="S1020" s="8" t="s">
        <v>232</v>
      </c>
      <c r="T1020" s="7" t="s">
        <v>226</v>
      </c>
    </row>
    <row r="1021" spans="1:20" ht="34">
      <c r="A1021" s="106"/>
      <c r="B1021" s="103" t="s">
        <v>1984</v>
      </c>
      <c r="C1021" s="5"/>
      <c r="D1021" s="5"/>
      <c r="E1021" s="132">
        <f t="shared" si="658"/>
        <v>351.00380000000001</v>
      </c>
      <c r="F1021" s="139">
        <f t="shared" si="649"/>
        <v>348.86690000000004</v>
      </c>
      <c r="G1021" s="149" t="s">
        <v>1985</v>
      </c>
      <c r="H1021" s="82" t="str">
        <f>CONCATENATE(K1021," percent up in ",L1021," international stage")</f>
        <v>66 percent up in Tournaisian international stage</v>
      </c>
      <c r="I1021" s="142" t="str">
        <f>CONCATENATE(Q1021," percent up in ",R1021," international stage")</f>
        <v>83 percent up in Tournaisian international stage</v>
      </c>
      <c r="J1021" s="7">
        <v>0.66</v>
      </c>
      <c r="K1021" s="129">
        <f>ROUND(J1021*100,1)</f>
        <v>66</v>
      </c>
      <c r="L1021" s="8" t="s">
        <v>135</v>
      </c>
      <c r="M1021" s="5" t="s">
        <v>82</v>
      </c>
      <c r="N1021" s="5" t="s">
        <v>82</v>
      </c>
      <c r="O1021" s="83"/>
      <c r="P1021" s="20">
        <v>0.83</v>
      </c>
      <c r="Q1021" s="143">
        <f>ROUND(P1021*100,1)</f>
        <v>83</v>
      </c>
      <c r="R1021" s="21" t="s">
        <v>135</v>
      </c>
      <c r="S1021" s="8"/>
    </row>
    <row r="1022" spans="1:20" ht="28">
      <c r="A1022" s="106"/>
      <c r="B1022" s="103" t="s">
        <v>1703</v>
      </c>
      <c r="C1022" s="5"/>
      <c r="D1022" s="5"/>
      <c r="E1022" s="132">
        <f t="shared" si="658"/>
        <v>351.00380000000001</v>
      </c>
      <c r="F1022" s="139">
        <f t="shared" si="649"/>
        <v>346.73</v>
      </c>
      <c r="G1022" s="149" t="s">
        <v>1667</v>
      </c>
      <c r="H1022" s="82" t="str">
        <f>CONCATENATE(K1022," percent up in ",L1022," international stage")</f>
        <v>66 percent up in Tournaisian international stage</v>
      </c>
      <c r="I1022" s="142" t="str">
        <f>CONCATENATE(Q1022," percent up in ",R1022," international stage")</f>
        <v>100 percent up in Tournaisian international stage</v>
      </c>
      <c r="J1022" s="7">
        <v>0.66</v>
      </c>
      <c r="K1022" s="129">
        <f>ROUND(J1022*100,1)</f>
        <v>66</v>
      </c>
      <c r="L1022" s="8" t="s">
        <v>135</v>
      </c>
      <c r="M1022" s="5" t="s">
        <v>82</v>
      </c>
      <c r="N1022" s="5" t="s">
        <v>82</v>
      </c>
      <c r="O1022" s="83"/>
      <c r="P1022" s="20">
        <v>1</v>
      </c>
      <c r="Q1022" s="143">
        <f>ROUND(P1022*100,1)</f>
        <v>100</v>
      </c>
      <c r="R1022" s="21" t="s">
        <v>135</v>
      </c>
      <c r="S1022" s="151" t="s">
        <v>1667</v>
      </c>
    </row>
    <row r="1023" spans="1:20" ht="28">
      <c r="A1023" s="106"/>
      <c r="B1023" s="103" t="s">
        <v>1704</v>
      </c>
      <c r="C1023" s="5"/>
      <c r="D1023" s="5"/>
      <c r="E1023" s="132">
        <f t="shared" si="658"/>
        <v>355.15190000000001</v>
      </c>
      <c r="F1023" s="139">
        <f t="shared" si="649"/>
        <v>351.00380000000001</v>
      </c>
      <c r="G1023" s="149" t="s">
        <v>1668</v>
      </c>
      <c r="H1023" s="82" t="str">
        <f>CONCATENATE(K1023," percent up in ",L1023," international stage")</f>
        <v>33 percent up in Tournaisian international stage</v>
      </c>
      <c r="I1023" s="142" t="str">
        <f>CONCATENATE(Q1023," percent up in ",R1023," international stage")</f>
        <v>66 percent up in Tournaisian international stage</v>
      </c>
      <c r="J1023" s="7">
        <v>0.33</v>
      </c>
      <c r="K1023" s="129">
        <f>ROUND(J1023*100,1)</f>
        <v>33</v>
      </c>
      <c r="L1023" s="8" t="s">
        <v>135</v>
      </c>
      <c r="M1023" s="5" t="s">
        <v>82</v>
      </c>
      <c r="N1023" s="5" t="s">
        <v>82</v>
      </c>
      <c r="O1023" s="83"/>
      <c r="P1023" s="20">
        <v>0.66</v>
      </c>
      <c r="Q1023" s="143">
        <f>ROUND(P1023*100,1)</f>
        <v>66</v>
      </c>
      <c r="R1023" s="21" t="s">
        <v>135</v>
      </c>
      <c r="S1023" s="151" t="s">
        <v>1668</v>
      </c>
    </row>
    <row r="1024" spans="1:20" ht="28">
      <c r="A1024" s="106"/>
      <c r="B1024" s="103" t="s">
        <v>1705</v>
      </c>
      <c r="C1024" s="5"/>
      <c r="D1024" s="5"/>
      <c r="E1024" s="132">
        <f t="shared" si="658"/>
        <v>359.3</v>
      </c>
      <c r="F1024" s="139">
        <f t="shared" si="649"/>
        <v>355.15190000000001</v>
      </c>
      <c r="G1024" s="149" t="s">
        <v>1669</v>
      </c>
      <c r="H1024" s="82" t="str">
        <f>CONCATENATE(K1024," percent up in ",L1024," international stage")</f>
        <v>0 percent up in Tournaisian international stage</v>
      </c>
      <c r="I1024" s="142" t="str">
        <f>CONCATENATE(Q1024," percent up in ",R1024," international stage")</f>
        <v>33 percent up in Tournaisian international stage</v>
      </c>
      <c r="J1024" s="7">
        <v>0</v>
      </c>
      <c r="K1024" s="129">
        <f>ROUND(J1024*100,1)</f>
        <v>0</v>
      </c>
      <c r="L1024" s="8" t="s">
        <v>135</v>
      </c>
      <c r="M1024" s="5" t="s">
        <v>82</v>
      </c>
      <c r="N1024" s="5" t="s">
        <v>82</v>
      </c>
      <c r="O1024" s="83"/>
      <c r="P1024" s="20">
        <v>0.33</v>
      </c>
      <c r="Q1024" s="143">
        <f>ROUND(P1024*100,1)</f>
        <v>33</v>
      </c>
      <c r="R1024" s="21" t="s">
        <v>135</v>
      </c>
      <c r="S1024" s="151" t="s">
        <v>1669</v>
      </c>
    </row>
    <row r="1025" spans="1:20" ht="28">
      <c r="A1025" s="106" t="s">
        <v>958</v>
      </c>
      <c r="B1025" s="102" t="s">
        <v>135</v>
      </c>
      <c r="C1025" s="135"/>
      <c r="D1025" s="135" t="s">
        <v>222</v>
      </c>
      <c r="E1025" s="132">
        <f>$O$1025-J1025*($O$1025-$O$997)</f>
        <v>359.3</v>
      </c>
      <c r="F1025" s="139">
        <f>$O$1025-P1025*($O$1025-$O$997)</f>
        <v>346.73</v>
      </c>
      <c r="G1025" s="149"/>
      <c r="H1025" s="82" t="str">
        <f t="shared" si="654"/>
        <v>0 percent up in Tournaisian international stage</v>
      </c>
      <c r="I1025" s="142" t="str">
        <f t="shared" si="655"/>
        <v>100 percent up in Tournaisian international stage</v>
      </c>
      <c r="J1025" s="7">
        <v>0</v>
      </c>
      <c r="K1025" s="129">
        <f t="shared" si="656"/>
        <v>0</v>
      </c>
      <c r="L1025" s="8" t="s">
        <v>135</v>
      </c>
      <c r="M1025" s="5" t="s">
        <v>224</v>
      </c>
      <c r="N1025" s="5" t="s">
        <v>1100</v>
      </c>
      <c r="O1025" s="84">
        <f>Master_Chronostrat!I118</f>
        <v>359.3</v>
      </c>
      <c r="P1025" s="20">
        <v>1</v>
      </c>
      <c r="Q1025" s="143">
        <f t="shared" si="657"/>
        <v>100</v>
      </c>
      <c r="R1025" s="21" t="s">
        <v>135</v>
      </c>
      <c r="S1025" s="8" t="s">
        <v>224</v>
      </c>
      <c r="T1025" s="7" t="s">
        <v>226</v>
      </c>
    </row>
    <row r="1026" spans="1:20" ht="56">
      <c r="A1026" s="106"/>
      <c r="B1026" s="102" t="s">
        <v>1695</v>
      </c>
      <c r="C1026" s="5"/>
      <c r="D1026" s="5" t="s">
        <v>82</v>
      </c>
      <c r="E1026" s="132">
        <f t="shared" ref="E1026" si="659">$O$1030-J1026*($O$1030-$O$997)</f>
        <v>359.3</v>
      </c>
      <c r="F1026" s="139">
        <f>$O$1025-P1026*($O$1025-$O$997)</f>
        <v>346.73</v>
      </c>
      <c r="G1026" s="149" t="s">
        <v>1696</v>
      </c>
      <c r="H1026" s="82" t="str">
        <f t="shared" ref="H1026" si="660">CONCATENATE(K1026," percent up in ",L1026," international stage")</f>
        <v>0 percent up in Tournaisian international stage</v>
      </c>
      <c r="I1026" s="142" t="str">
        <f t="shared" ref="I1026" si="661">CONCATENATE(Q1026," percent up in ",R1026," international stage")</f>
        <v>100 percent up in Tournaisian international stage</v>
      </c>
      <c r="J1026" s="7">
        <v>0</v>
      </c>
      <c r="K1026" s="129">
        <f t="shared" ref="K1026" si="662">ROUND(J1026*100,1)</f>
        <v>0</v>
      </c>
      <c r="L1026" s="8" t="s">
        <v>135</v>
      </c>
      <c r="M1026" s="5"/>
      <c r="O1026" s="84"/>
      <c r="P1026" s="20">
        <v>1</v>
      </c>
      <c r="Q1026" s="143">
        <f t="shared" ref="Q1026" si="663">ROUND(P1026*100,1)</f>
        <v>100</v>
      </c>
      <c r="R1026" s="21" t="s">
        <v>135</v>
      </c>
      <c r="S1026" s="151" t="s">
        <v>1696</v>
      </c>
    </row>
    <row r="1027" spans="1:20" ht="34">
      <c r="A1027" s="106" t="s">
        <v>958</v>
      </c>
      <c r="B1027" s="102" t="s">
        <v>1101</v>
      </c>
      <c r="C1027" s="135"/>
      <c r="D1027" s="135" t="s">
        <v>222</v>
      </c>
      <c r="E1027" s="132">
        <f t="shared" ref="E1027:E1030" si="664">$O$1030-J1027*($O$1030-$O$997)</f>
        <v>359.3</v>
      </c>
      <c r="F1027" s="139">
        <f>$O$1025-P1027*($O$1025-$O$997)</f>
        <v>346.73</v>
      </c>
      <c r="G1027" s="149"/>
      <c r="H1027" s="82" t="str">
        <f t="shared" si="654"/>
        <v>0 percent up in Tournaisian international stage</v>
      </c>
      <c r="I1027" s="142" t="str">
        <f t="shared" si="655"/>
        <v>100 percent up in Tournaisian international stage</v>
      </c>
      <c r="J1027" s="7">
        <v>0</v>
      </c>
      <c r="K1027" s="129">
        <f t="shared" si="656"/>
        <v>0</v>
      </c>
      <c r="L1027" s="8" t="s">
        <v>135</v>
      </c>
      <c r="M1027" s="5" t="s">
        <v>224</v>
      </c>
      <c r="N1027" s="5" t="s">
        <v>1102</v>
      </c>
      <c r="O1027" s="84">
        <f>Master_Chronostrat!I118</f>
        <v>359.3</v>
      </c>
      <c r="P1027" s="20">
        <v>1</v>
      </c>
      <c r="Q1027" s="143">
        <f t="shared" si="657"/>
        <v>100</v>
      </c>
      <c r="R1027" s="21" t="s">
        <v>135</v>
      </c>
      <c r="S1027" s="8" t="s">
        <v>224</v>
      </c>
      <c r="T1027" s="7" t="s">
        <v>226</v>
      </c>
    </row>
    <row r="1028" spans="1:20" ht="42">
      <c r="A1028" s="106" t="s">
        <v>958</v>
      </c>
      <c r="B1028" s="102" t="s">
        <v>133</v>
      </c>
      <c r="C1028" s="135"/>
      <c r="D1028" s="135" t="s">
        <v>222</v>
      </c>
      <c r="E1028" s="132">
        <f t="shared" si="664"/>
        <v>359.3</v>
      </c>
      <c r="F1028" s="139">
        <f>$O$954-P1028*($O$954-$O$932)</f>
        <v>323.39999999999998</v>
      </c>
      <c r="G1028" s="149"/>
      <c r="H1028" s="82" t="str">
        <f t="shared" si="654"/>
        <v>0 percent up in Tournaisian international stage</v>
      </c>
      <c r="I1028" s="142" t="str">
        <f t="shared" si="655"/>
        <v>100 percent up in Serpukhovian international stage</v>
      </c>
      <c r="J1028" s="7">
        <v>0</v>
      </c>
      <c r="K1028" s="129">
        <f t="shared" si="656"/>
        <v>0</v>
      </c>
      <c r="L1028" s="8" t="s">
        <v>135</v>
      </c>
      <c r="M1028" s="5" t="s">
        <v>224</v>
      </c>
      <c r="N1028" s="5" t="s">
        <v>1100</v>
      </c>
      <c r="O1028" s="84">
        <f>Master_Chronostrat!I118</f>
        <v>359.3</v>
      </c>
      <c r="P1028" s="20">
        <v>1</v>
      </c>
      <c r="Q1028" s="143">
        <f t="shared" si="657"/>
        <v>100</v>
      </c>
      <c r="R1028" s="21" t="s">
        <v>129</v>
      </c>
      <c r="S1028" s="8" t="s">
        <v>239</v>
      </c>
      <c r="T1028" s="7" t="s">
        <v>226</v>
      </c>
    </row>
    <row r="1029" spans="1:20" ht="42">
      <c r="A1029" s="106" t="s">
        <v>958</v>
      </c>
      <c r="B1029" s="102" t="s">
        <v>1103</v>
      </c>
      <c r="C1029" s="5"/>
      <c r="D1029" s="5" t="s">
        <v>82</v>
      </c>
      <c r="E1029" s="132">
        <f t="shared" si="664"/>
        <v>359.3</v>
      </c>
      <c r="F1029" s="139">
        <f>$O$954-P1029*($O$954-$O$932)</f>
        <v>323.39999999999998</v>
      </c>
      <c r="G1029" s="149"/>
      <c r="H1029" s="82" t="str">
        <f t="shared" si="654"/>
        <v>0 percent up in Tournaisian international stage</v>
      </c>
      <c r="I1029" s="142" t="str">
        <f t="shared" si="655"/>
        <v>100 percent up in Serpukhovian international stage</v>
      </c>
      <c r="J1029" s="7">
        <v>0</v>
      </c>
      <c r="K1029" s="129">
        <f t="shared" si="656"/>
        <v>0</v>
      </c>
      <c r="L1029" s="8" t="s">
        <v>135</v>
      </c>
      <c r="M1029" s="5" t="s">
        <v>82</v>
      </c>
      <c r="N1029" s="5" t="s">
        <v>82</v>
      </c>
      <c r="O1029" s="84">
        <f>Master_Chronostrat!I118</f>
        <v>359.3</v>
      </c>
      <c r="P1029" s="20">
        <v>1</v>
      </c>
      <c r="Q1029" s="143">
        <f t="shared" si="657"/>
        <v>100</v>
      </c>
      <c r="R1029" s="21" t="s">
        <v>129</v>
      </c>
      <c r="S1029" s="8" t="s">
        <v>232</v>
      </c>
      <c r="T1029" s="7" t="s">
        <v>226</v>
      </c>
    </row>
    <row r="1030" spans="1:20" ht="28">
      <c r="A1030" s="106" t="s">
        <v>958</v>
      </c>
      <c r="B1030" s="102" t="s">
        <v>132</v>
      </c>
      <c r="C1030" s="135"/>
      <c r="D1030" s="135" t="s">
        <v>222</v>
      </c>
      <c r="E1030" s="132">
        <f t="shared" si="664"/>
        <v>359.3</v>
      </c>
      <c r="F1030" s="139">
        <f>$O$855-P1030*($O$855-$O$843)</f>
        <v>298.89</v>
      </c>
      <c r="G1030" s="149"/>
      <c r="H1030" s="82" t="str">
        <f t="shared" si="654"/>
        <v>0 percent up in Tournaisian international stage</v>
      </c>
      <c r="I1030" s="142" t="str">
        <f t="shared" si="655"/>
        <v>100 percent up in Gzhelian international stage</v>
      </c>
      <c r="J1030" s="7">
        <v>0</v>
      </c>
      <c r="K1030" s="129">
        <f t="shared" si="656"/>
        <v>0</v>
      </c>
      <c r="L1030" s="8" t="s">
        <v>135</v>
      </c>
      <c r="M1030" s="5" t="s">
        <v>224</v>
      </c>
      <c r="N1030" s="5" t="s">
        <v>1104</v>
      </c>
      <c r="O1030" s="84">
        <f>Master_Chronostrat!I118</f>
        <v>359.3</v>
      </c>
      <c r="P1030" s="20">
        <v>1</v>
      </c>
      <c r="Q1030" s="143">
        <f t="shared" si="657"/>
        <v>100</v>
      </c>
      <c r="R1030" s="21" t="s">
        <v>120</v>
      </c>
      <c r="S1030" s="8" t="s">
        <v>239</v>
      </c>
      <c r="T1030" s="7" t="s">
        <v>226</v>
      </c>
    </row>
    <row r="1031" spans="1:20" ht="28">
      <c r="A1031" s="107" t="s">
        <v>1105</v>
      </c>
      <c r="B1031" s="108" t="s">
        <v>1106</v>
      </c>
      <c r="C1031" s="5"/>
      <c r="D1031" s="5" t="s">
        <v>82</v>
      </c>
      <c r="E1031" s="132">
        <f t="shared" ref="E1031:E1048" si="665">$O$1048-J1031*($O$1048-$O$1030)</f>
        <v>362.25000000000006</v>
      </c>
      <c r="F1031" s="139">
        <f>$O$1048-P1031*($O$1048-$O$1030)</f>
        <v>359.3</v>
      </c>
      <c r="G1031" s="149"/>
      <c r="H1031" s="82" t="str">
        <f t="shared" si="654"/>
        <v>75 percent up in Famennian international stage</v>
      </c>
      <c r="I1031" s="142" t="str">
        <f t="shared" si="655"/>
        <v>100 percent up in Famennian international stage</v>
      </c>
      <c r="J1031" s="7">
        <v>0.74999999999999722</v>
      </c>
      <c r="K1031" s="129">
        <f t="shared" si="656"/>
        <v>75</v>
      </c>
      <c r="L1031" s="8" t="s">
        <v>137</v>
      </c>
      <c r="M1031" s="5" t="s">
        <v>82</v>
      </c>
      <c r="N1031" s="5" t="s">
        <v>82</v>
      </c>
      <c r="O1031" s="83"/>
      <c r="P1031" s="20">
        <v>1</v>
      </c>
      <c r="Q1031" s="143">
        <f t="shared" si="657"/>
        <v>100</v>
      </c>
      <c r="R1031" s="21" t="s">
        <v>137</v>
      </c>
      <c r="S1031" s="8" t="s">
        <v>272</v>
      </c>
      <c r="T1031" s="7" t="s">
        <v>226</v>
      </c>
    </row>
    <row r="1032" spans="1:20" ht="28">
      <c r="A1032" s="107" t="s">
        <v>1105</v>
      </c>
      <c r="B1032" s="108" t="s">
        <v>1107</v>
      </c>
      <c r="C1032" s="5"/>
      <c r="D1032" s="5" t="s">
        <v>82</v>
      </c>
      <c r="E1032" s="132">
        <f t="shared" si="665"/>
        <v>365.20000000000005</v>
      </c>
      <c r="F1032" s="139">
        <f t="shared" ref="F1032:F1040" si="666">$O$1048-P1032*($O$1048-$O$1030)</f>
        <v>362.25000000000006</v>
      </c>
      <c r="G1032" s="149"/>
      <c r="H1032" s="82" t="str">
        <f t="shared" si="654"/>
        <v>50 percent up in Famennian international stage</v>
      </c>
      <c r="I1032" s="142" t="str">
        <f t="shared" si="655"/>
        <v>75 percent up in Famennian international stage</v>
      </c>
      <c r="J1032" s="7">
        <v>0.49999999999999811</v>
      </c>
      <c r="K1032" s="129">
        <f t="shared" si="656"/>
        <v>50</v>
      </c>
      <c r="L1032" s="8" t="s">
        <v>137</v>
      </c>
      <c r="M1032" s="5" t="s">
        <v>82</v>
      </c>
      <c r="N1032" s="5" t="s">
        <v>82</v>
      </c>
      <c r="O1032" s="83"/>
      <c r="P1032" s="20">
        <v>0.74999999999999722</v>
      </c>
      <c r="Q1032" s="143">
        <f t="shared" si="657"/>
        <v>75</v>
      </c>
      <c r="R1032" s="21" t="s">
        <v>137</v>
      </c>
      <c r="S1032" s="8" t="s">
        <v>259</v>
      </c>
      <c r="T1032" s="7">
        <v>0.24999999999999895</v>
      </c>
    </row>
    <row r="1033" spans="1:20" ht="28">
      <c r="A1033" s="107" t="s">
        <v>1105</v>
      </c>
      <c r="B1033" s="108" t="s">
        <v>1108</v>
      </c>
      <c r="C1033" s="5"/>
      <c r="D1033" s="5" t="s">
        <v>1109</v>
      </c>
      <c r="E1033" s="132">
        <f t="shared" si="665"/>
        <v>367.62941176470588</v>
      </c>
      <c r="F1033" s="139">
        <f t="shared" si="666"/>
        <v>363.46470588235297</v>
      </c>
      <c r="G1033" s="149"/>
      <c r="H1033" s="82" t="str">
        <f t="shared" si="654"/>
        <v>29.4 percent up in Famennian international stage</v>
      </c>
      <c r="I1033" s="142" t="str">
        <f t="shared" si="655"/>
        <v>64.7 percent up in Famennian international stage</v>
      </c>
      <c r="J1033" s="7">
        <v>0.29411764705882326</v>
      </c>
      <c r="K1033" s="129">
        <f t="shared" si="656"/>
        <v>29.4</v>
      </c>
      <c r="L1033" s="8" t="s">
        <v>137</v>
      </c>
      <c r="M1033" s="5" t="s">
        <v>82</v>
      </c>
      <c r="N1033" s="5" t="s">
        <v>82</v>
      </c>
      <c r="O1033" s="83"/>
      <c r="P1033" s="20">
        <v>0.6470588235294098</v>
      </c>
      <c r="Q1033" s="143">
        <f t="shared" si="657"/>
        <v>64.7</v>
      </c>
      <c r="R1033" s="21" t="s">
        <v>137</v>
      </c>
      <c r="S1033" s="8" t="s">
        <v>259</v>
      </c>
      <c r="T1033" s="7">
        <v>0.35294117647058321</v>
      </c>
    </row>
    <row r="1034" spans="1:20" ht="28">
      <c r="A1034" s="107" t="s">
        <v>1105</v>
      </c>
      <c r="B1034" s="109" t="s">
        <v>1110</v>
      </c>
      <c r="C1034" s="5"/>
      <c r="D1034" s="5" t="s">
        <v>244</v>
      </c>
      <c r="E1034" s="132">
        <f t="shared" si="665"/>
        <v>367.62941176470588</v>
      </c>
      <c r="F1034" s="139">
        <f t="shared" si="666"/>
        <v>359.3</v>
      </c>
      <c r="G1034" s="149"/>
      <c r="H1034" s="82" t="str">
        <f t="shared" si="654"/>
        <v>29.4 percent up in Famennian international stage</v>
      </c>
      <c r="I1034" s="142" t="str">
        <f t="shared" si="655"/>
        <v>100 percent up in Famennian international stage</v>
      </c>
      <c r="J1034" s="7">
        <v>0.29411764705882326</v>
      </c>
      <c r="K1034" s="129">
        <f t="shared" si="656"/>
        <v>29.4</v>
      </c>
      <c r="L1034" s="8" t="s">
        <v>137</v>
      </c>
      <c r="M1034" s="5" t="s">
        <v>82</v>
      </c>
      <c r="N1034" s="5" t="s">
        <v>82</v>
      </c>
      <c r="O1034" s="83"/>
      <c r="P1034" s="20">
        <v>1</v>
      </c>
      <c r="Q1034" s="143">
        <f t="shared" si="657"/>
        <v>100</v>
      </c>
      <c r="R1034" s="21" t="s">
        <v>137</v>
      </c>
      <c r="S1034" s="8" t="s">
        <v>272</v>
      </c>
      <c r="T1034" s="7" t="s">
        <v>226</v>
      </c>
    </row>
    <row r="1035" spans="1:20" ht="28">
      <c r="A1035" s="107" t="s">
        <v>1105</v>
      </c>
      <c r="B1035" s="108" t="s">
        <v>1111</v>
      </c>
      <c r="C1035" s="5"/>
      <c r="D1035" s="5" t="s">
        <v>1109</v>
      </c>
      <c r="E1035" s="132">
        <f t="shared" si="665"/>
        <v>367.62941176470588</v>
      </c>
      <c r="F1035" s="139">
        <f t="shared" si="666"/>
        <v>359.3</v>
      </c>
      <c r="G1035" s="149"/>
      <c r="H1035" s="82" t="str">
        <f t="shared" si="654"/>
        <v>29.4 percent up in Famennian international stage</v>
      </c>
      <c r="I1035" s="142" t="str">
        <f t="shared" si="655"/>
        <v>100 percent up in Famennian international stage</v>
      </c>
      <c r="J1035" s="7">
        <v>0.29411764705882326</v>
      </c>
      <c r="K1035" s="129">
        <f t="shared" si="656"/>
        <v>29.4</v>
      </c>
      <c r="L1035" s="8" t="s">
        <v>137</v>
      </c>
      <c r="M1035" s="5" t="s">
        <v>82</v>
      </c>
      <c r="N1035" s="5" t="s">
        <v>82</v>
      </c>
      <c r="O1035" s="83"/>
      <c r="P1035" s="20">
        <v>1</v>
      </c>
      <c r="Q1035" s="143">
        <f t="shared" si="657"/>
        <v>100</v>
      </c>
      <c r="R1035" s="21" t="s">
        <v>137</v>
      </c>
      <c r="S1035" s="8" t="s">
        <v>272</v>
      </c>
      <c r="T1035" s="7" t="s">
        <v>226</v>
      </c>
    </row>
    <row r="1036" spans="1:20" ht="28">
      <c r="A1036" s="107" t="s">
        <v>1105</v>
      </c>
      <c r="B1036" s="108" t="s">
        <v>1112</v>
      </c>
      <c r="C1036" s="5"/>
      <c r="D1036" s="5" t="s">
        <v>82</v>
      </c>
      <c r="E1036" s="132">
        <f t="shared" si="665"/>
        <v>368.15000000000003</v>
      </c>
      <c r="F1036" s="139">
        <f t="shared" si="666"/>
        <v>365.20000000000005</v>
      </c>
      <c r="G1036" s="149"/>
      <c r="H1036" s="82" t="str">
        <f t="shared" si="654"/>
        <v>25 percent up in Famennian international stage</v>
      </c>
      <c r="I1036" s="142" t="str">
        <f t="shared" si="655"/>
        <v>50 percent up in Famennian international stage</v>
      </c>
      <c r="J1036" s="7">
        <v>0.24999999999999911</v>
      </c>
      <c r="K1036" s="129">
        <f t="shared" si="656"/>
        <v>25</v>
      </c>
      <c r="L1036" s="8" t="s">
        <v>137</v>
      </c>
      <c r="M1036" s="5" t="s">
        <v>82</v>
      </c>
      <c r="N1036" s="5" t="s">
        <v>82</v>
      </c>
      <c r="O1036" s="83"/>
      <c r="P1036" s="20">
        <v>0.49999999999999817</v>
      </c>
      <c r="Q1036" s="143">
        <f t="shared" si="657"/>
        <v>50</v>
      </c>
      <c r="R1036" s="21" t="s">
        <v>137</v>
      </c>
      <c r="S1036" s="8" t="s">
        <v>259</v>
      </c>
      <c r="T1036" s="7">
        <v>0.24999999999999895</v>
      </c>
    </row>
    <row r="1037" spans="1:20" ht="28">
      <c r="A1037" s="107" t="s">
        <v>1105</v>
      </c>
      <c r="B1037" s="109" t="s">
        <v>1113</v>
      </c>
      <c r="C1037" s="5"/>
      <c r="D1037" s="5" t="s">
        <v>82</v>
      </c>
      <c r="E1037" s="132">
        <f t="shared" si="665"/>
        <v>371.1</v>
      </c>
      <c r="F1037" s="139">
        <f t="shared" si="666"/>
        <v>359.3</v>
      </c>
      <c r="G1037" s="149"/>
      <c r="H1037" s="82" t="str">
        <f t="shared" si="654"/>
        <v>0 percent up in Famennian international stage</v>
      </c>
      <c r="I1037" s="142" t="str">
        <f t="shared" si="655"/>
        <v>100 percent up in Famennian international stage</v>
      </c>
      <c r="J1037" s="7">
        <v>0</v>
      </c>
      <c r="K1037" s="129">
        <f t="shared" si="656"/>
        <v>0</v>
      </c>
      <c r="L1037" s="8" t="s">
        <v>137</v>
      </c>
      <c r="M1037" s="5" t="s">
        <v>82</v>
      </c>
      <c r="N1037" s="5" t="s">
        <v>82</v>
      </c>
      <c r="O1037" s="83"/>
      <c r="P1037" s="20">
        <v>1</v>
      </c>
      <c r="Q1037" s="143">
        <f t="shared" si="657"/>
        <v>100</v>
      </c>
      <c r="R1037" s="21" t="s">
        <v>137</v>
      </c>
      <c r="S1037" s="8" t="s">
        <v>232</v>
      </c>
      <c r="T1037" s="7" t="s">
        <v>226</v>
      </c>
    </row>
    <row r="1038" spans="1:20" ht="28">
      <c r="A1038" s="107" t="s">
        <v>1105</v>
      </c>
      <c r="B1038" s="109" t="s">
        <v>1114</v>
      </c>
      <c r="C1038" s="5"/>
      <c r="D1038" s="5" t="s">
        <v>82</v>
      </c>
      <c r="E1038" s="132">
        <f t="shared" si="665"/>
        <v>371.1</v>
      </c>
      <c r="F1038" s="139">
        <f t="shared" si="666"/>
        <v>359.3</v>
      </c>
      <c r="G1038" s="149"/>
      <c r="H1038" s="82" t="str">
        <f t="shared" si="654"/>
        <v>0 percent up in Famennian international stage</v>
      </c>
      <c r="I1038" s="142" t="str">
        <f t="shared" si="655"/>
        <v>100 percent up in Famennian international stage</v>
      </c>
      <c r="J1038" s="7">
        <v>0</v>
      </c>
      <c r="K1038" s="129">
        <f t="shared" si="656"/>
        <v>0</v>
      </c>
      <c r="L1038" s="8" t="s">
        <v>137</v>
      </c>
      <c r="M1038" s="5" t="s">
        <v>82</v>
      </c>
      <c r="N1038" s="5" t="s">
        <v>82</v>
      </c>
      <c r="O1038" s="83"/>
      <c r="P1038" s="20">
        <v>1</v>
      </c>
      <c r="Q1038" s="143">
        <f t="shared" si="657"/>
        <v>100</v>
      </c>
      <c r="R1038" s="21" t="s">
        <v>137</v>
      </c>
      <c r="S1038" s="8" t="s">
        <v>232</v>
      </c>
      <c r="T1038" s="7" t="s">
        <v>226</v>
      </c>
    </row>
    <row r="1039" spans="1:20" ht="28">
      <c r="A1039" s="107" t="s">
        <v>1105</v>
      </c>
      <c r="B1039" s="109" t="s">
        <v>1115</v>
      </c>
      <c r="C1039" s="5"/>
      <c r="D1039" s="5" t="s">
        <v>82</v>
      </c>
      <c r="E1039" s="132">
        <f t="shared" si="665"/>
        <v>371.1</v>
      </c>
      <c r="F1039" s="139">
        <f t="shared" si="666"/>
        <v>359.3</v>
      </c>
      <c r="G1039" s="149"/>
      <c r="H1039" s="82" t="str">
        <f t="shared" si="654"/>
        <v>0 percent up in Famennian international stage</v>
      </c>
      <c r="I1039" s="142" t="str">
        <f t="shared" si="655"/>
        <v>100 percent up in Famennian international stage</v>
      </c>
      <c r="J1039" s="7">
        <v>0</v>
      </c>
      <c r="K1039" s="129">
        <f t="shared" si="656"/>
        <v>0</v>
      </c>
      <c r="L1039" s="8" t="s">
        <v>137</v>
      </c>
      <c r="M1039" s="5" t="s">
        <v>82</v>
      </c>
      <c r="N1039" s="5" t="s">
        <v>82</v>
      </c>
      <c r="O1039" s="83"/>
      <c r="P1039" s="20">
        <v>1</v>
      </c>
      <c r="Q1039" s="143">
        <f t="shared" si="657"/>
        <v>100</v>
      </c>
      <c r="R1039" s="21" t="s">
        <v>137</v>
      </c>
      <c r="S1039" s="8" t="s">
        <v>232</v>
      </c>
      <c r="T1039" s="7" t="s">
        <v>226</v>
      </c>
    </row>
    <row r="1040" spans="1:20" ht="28">
      <c r="A1040" s="107" t="s">
        <v>1105</v>
      </c>
      <c r="B1040" s="108" t="s">
        <v>1116</v>
      </c>
      <c r="C1040" s="5"/>
      <c r="D1040" s="5" t="s">
        <v>82</v>
      </c>
      <c r="E1040" s="132">
        <f t="shared" si="665"/>
        <v>371.1</v>
      </c>
      <c r="F1040" s="139">
        <f t="shared" si="666"/>
        <v>368.15000000000003</v>
      </c>
      <c r="G1040" s="149"/>
      <c r="H1040" s="82" t="str">
        <f t="shared" si="654"/>
        <v>0 percent up in Famennian international stage</v>
      </c>
      <c r="I1040" s="142" t="str">
        <f t="shared" si="655"/>
        <v>25 percent up in Famennian international stage</v>
      </c>
      <c r="J1040" s="7">
        <v>0</v>
      </c>
      <c r="K1040" s="129">
        <f t="shared" si="656"/>
        <v>0</v>
      </c>
      <c r="L1040" s="8" t="s">
        <v>137</v>
      </c>
      <c r="M1040" s="5" t="s">
        <v>82</v>
      </c>
      <c r="N1040" s="5" t="s">
        <v>82</v>
      </c>
      <c r="O1040" s="83"/>
      <c r="P1040" s="20">
        <v>0.24999999999999908</v>
      </c>
      <c r="Q1040" s="143">
        <f t="shared" si="657"/>
        <v>25</v>
      </c>
      <c r="R1040" s="21" t="s">
        <v>137</v>
      </c>
      <c r="S1040" s="8" t="s">
        <v>230</v>
      </c>
      <c r="T1040" s="7" t="s">
        <v>226</v>
      </c>
    </row>
    <row r="1041" spans="1:20" ht="28">
      <c r="A1041" s="107" t="s">
        <v>1105</v>
      </c>
      <c r="B1041" s="109" t="s">
        <v>1117</v>
      </c>
      <c r="C1041" s="5"/>
      <c r="D1041" s="5" t="s">
        <v>270</v>
      </c>
      <c r="E1041" s="132">
        <f t="shared" si="665"/>
        <v>371.1</v>
      </c>
      <c r="F1041" s="139">
        <f>$O$997-P1041*($O$997-$O$954)</f>
        <v>330.34</v>
      </c>
      <c r="G1041" s="149"/>
      <c r="H1041" s="82" t="str">
        <f t="shared" si="654"/>
        <v>0 percent up in Famennian international stage</v>
      </c>
      <c r="I1041" s="142" t="str">
        <f t="shared" si="655"/>
        <v>100 percent up in Tournaisian international stage</v>
      </c>
      <c r="J1041" s="7">
        <v>0</v>
      </c>
      <c r="K1041" s="129">
        <f t="shared" si="656"/>
        <v>0</v>
      </c>
      <c r="L1041" s="8" t="s">
        <v>137</v>
      </c>
      <c r="M1041" s="5" t="s">
        <v>82</v>
      </c>
      <c r="N1041" s="5" t="s">
        <v>82</v>
      </c>
      <c r="O1041" s="83"/>
      <c r="P1041" s="20">
        <v>1</v>
      </c>
      <c r="Q1041" s="143">
        <f t="shared" si="657"/>
        <v>100</v>
      </c>
      <c r="R1041" s="21" t="s">
        <v>135</v>
      </c>
      <c r="S1041" s="8" t="s">
        <v>232</v>
      </c>
      <c r="T1041" s="7" t="s">
        <v>226</v>
      </c>
    </row>
    <row r="1042" spans="1:20" ht="28">
      <c r="A1042" s="107" t="s">
        <v>1105</v>
      </c>
      <c r="B1042" s="109" t="s">
        <v>1118</v>
      </c>
      <c r="C1042" s="5"/>
      <c r="D1042" s="5" t="s">
        <v>248</v>
      </c>
      <c r="E1042" s="132">
        <f t="shared" si="665"/>
        <v>371.1</v>
      </c>
      <c r="F1042" s="139">
        <f t="shared" ref="F1042:F1049" si="667">$O$1048-P1042*($O$1048-$O$1030)</f>
        <v>359.3</v>
      </c>
      <c r="G1042" s="149"/>
      <c r="H1042" s="82" t="str">
        <f t="shared" si="654"/>
        <v>0 percent up in Famennian international stage</v>
      </c>
      <c r="I1042" s="142" t="str">
        <f t="shared" si="655"/>
        <v>100 percent up in Famennian international stage</v>
      </c>
      <c r="J1042" s="7">
        <v>0</v>
      </c>
      <c r="K1042" s="129">
        <f t="shared" si="656"/>
        <v>0</v>
      </c>
      <c r="L1042" s="8" t="s">
        <v>137</v>
      </c>
      <c r="M1042" s="5" t="s">
        <v>82</v>
      </c>
      <c r="N1042" s="5" t="s">
        <v>82</v>
      </c>
      <c r="O1042" s="83"/>
      <c r="P1042" s="20">
        <v>1</v>
      </c>
      <c r="Q1042" s="143">
        <f t="shared" si="657"/>
        <v>100</v>
      </c>
      <c r="R1042" s="21" t="s">
        <v>137</v>
      </c>
      <c r="S1042" s="8" t="s">
        <v>232</v>
      </c>
      <c r="T1042" s="7" t="s">
        <v>226</v>
      </c>
    </row>
    <row r="1043" spans="1:20" ht="34">
      <c r="A1043" s="107"/>
      <c r="B1043" s="109" t="s">
        <v>1711</v>
      </c>
      <c r="C1043" s="5"/>
      <c r="D1043" s="5"/>
      <c r="E1043" s="132">
        <f t="shared" ref="E1043" si="668">$O$1048-J1043*($O$1048-$O$1030)</f>
        <v>371.1</v>
      </c>
      <c r="F1043" s="139">
        <f t="shared" si="667"/>
        <v>359.3</v>
      </c>
      <c r="G1043" s="149"/>
      <c r="H1043" s="82" t="str">
        <f t="shared" ref="H1043" si="669">CONCATENATE(K1043," percent up in ",L1043," international stage")</f>
        <v>0 percent up in Famennian international stage</v>
      </c>
      <c r="I1043" s="142" t="str">
        <f t="shared" ref="I1043" si="670">CONCATENATE(Q1043," percent up in ",R1043," international stage")</f>
        <v>100 percent up in Famennian international stage</v>
      </c>
      <c r="J1043" s="7">
        <v>0</v>
      </c>
      <c r="K1043" s="129">
        <f t="shared" ref="K1043" si="671">ROUND(J1043*100,1)</f>
        <v>0</v>
      </c>
      <c r="L1043" s="8" t="s">
        <v>137</v>
      </c>
      <c r="M1043" s="5" t="s">
        <v>82</v>
      </c>
      <c r="N1043" s="5" t="s">
        <v>82</v>
      </c>
      <c r="O1043" s="83"/>
      <c r="P1043" s="20">
        <v>1</v>
      </c>
      <c r="Q1043" s="143">
        <f t="shared" ref="Q1043" si="672">ROUND(P1043*100,1)</f>
        <v>100</v>
      </c>
      <c r="R1043" s="21" t="s">
        <v>137</v>
      </c>
      <c r="S1043" s="8" t="s">
        <v>232</v>
      </c>
    </row>
    <row r="1044" spans="1:20" ht="42">
      <c r="A1044" s="107"/>
      <c r="B1044" s="109" t="s">
        <v>1712</v>
      </c>
      <c r="C1044" s="5"/>
      <c r="D1044" s="5"/>
      <c r="E1044" s="132">
        <f t="shared" ref="E1044:E1047" si="673">$O$1048-J1044*($O$1048-$O$1030)</f>
        <v>365.20000000000005</v>
      </c>
      <c r="F1044" s="139">
        <f t="shared" si="667"/>
        <v>359.3</v>
      </c>
      <c r="G1044" s="149" t="s">
        <v>1709</v>
      </c>
      <c r="H1044" s="82" t="str">
        <f t="shared" ref="H1044:H1047" si="674">CONCATENATE(K1044," percent up in ",L1044," international stage")</f>
        <v>50 percent up in Famennian international stage</v>
      </c>
      <c r="I1044" s="142" t="str">
        <f t="shared" ref="I1044:I1047" si="675">CONCATENATE(Q1044," percent up in ",R1044," international stage")</f>
        <v>100 percent up in Famennian international stage</v>
      </c>
      <c r="J1044" s="7">
        <v>0.5</v>
      </c>
      <c r="K1044" s="129">
        <f t="shared" ref="K1044:K1047" si="676">ROUND(J1044*100,1)</f>
        <v>50</v>
      </c>
      <c r="L1044" s="8" t="s">
        <v>137</v>
      </c>
      <c r="M1044" s="5" t="s">
        <v>82</v>
      </c>
      <c r="N1044" s="5" t="s">
        <v>82</v>
      </c>
      <c r="O1044" s="83"/>
      <c r="P1044" s="20">
        <v>1</v>
      </c>
      <c r="Q1044" s="143">
        <f t="shared" ref="Q1044:Q1047" si="677">ROUND(P1044*100,1)</f>
        <v>100</v>
      </c>
      <c r="R1044" s="21" t="s">
        <v>137</v>
      </c>
      <c r="S1044" s="149" t="s">
        <v>1709</v>
      </c>
    </row>
    <row r="1045" spans="1:20" ht="42">
      <c r="A1045" s="107"/>
      <c r="B1045" s="109" t="s">
        <v>1980</v>
      </c>
      <c r="C1045" s="5"/>
      <c r="D1045" s="5"/>
      <c r="E1045" s="132">
        <f t="shared" si="673"/>
        <v>366.97</v>
      </c>
      <c r="F1045" s="139">
        <f t="shared" si="667"/>
        <v>363.43</v>
      </c>
      <c r="G1045" s="149" t="s">
        <v>1981</v>
      </c>
      <c r="H1045" s="82" t="str">
        <f t="shared" si="674"/>
        <v>35 percent up in Famennian international stage</v>
      </c>
      <c r="I1045" s="142" t="str">
        <f t="shared" si="675"/>
        <v>65 percent up in Famennian international stage</v>
      </c>
      <c r="J1045" s="7">
        <v>0.35</v>
      </c>
      <c r="K1045" s="129">
        <f t="shared" si="676"/>
        <v>35</v>
      </c>
      <c r="L1045" s="8" t="s">
        <v>137</v>
      </c>
      <c r="M1045" s="5"/>
      <c r="O1045" s="83"/>
      <c r="P1045" s="20">
        <v>0.65</v>
      </c>
      <c r="Q1045" s="143">
        <f t="shared" si="677"/>
        <v>65</v>
      </c>
      <c r="R1045" s="21" t="s">
        <v>137</v>
      </c>
      <c r="S1045" s="149"/>
    </row>
    <row r="1046" spans="1:20" ht="34">
      <c r="A1046" s="107"/>
      <c r="B1046" s="109" t="s">
        <v>1882</v>
      </c>
      <c r="C1046" s="5"/>
      <c r="D1046" s="5"/>
      <c r="E1046" s="132">
        <f t="shared" ref="E1046" si="678">$O$1048-J1046*($O$1048-$O$1030)</f>
        <v>371.1</v>
      </c>
      <c r="F1046" s="139">
        <f t="shared" ref="F1046" si="679">$O$1048-P1046*($O$1048-$O$1030)</f>
        <v>368.15000000000003</v>
      </c>
      <c r="G1046" s="149" t="s">
        <v>1883</v>
      </c>
      <c r="H1046" s="82" t="str">
        <f t="shared" ref="H1046" si="680">CONCATENATE(K1046," percent up in ",L1046," international stage")</f>
        <v>0 percent up in Famennian international stage</v>
      </c>
      <c r="I1046" s="142" t="str">
        <f t="shared" ref="I1046" si="681">CONCATENATE(Q1046," percent up in ",R1046," international stage")</f>
        <v>25 percent up in Famennian international stage</v>
      </c>
      <c r="J1046" s="7">
        <v>0</v>
      </c>
      <c r="K1046" s="129">
        <f t="shared" ref="K1046" si="682">ROUND(J1046*100,1)</f>
        <v>0</v>
      </c>
      <c r="L1046" s="8" t="s">
        <v>137</v>
      </c>
      <c r="M1046" s="5" t="s">
        <v>82</v>
      </c>
      <c r="N1046" s="5" t="s">
        <v>82</v>
      </c>
      <c r="O1046" s="83"/>
      <c r="P1046" s="20">
        <v>0.25</v>
      </c>
      <c r="Q1046" s="143">
        <f t="shared" ref="Q1046" si="683">ROUND(P1046*100,1)</f>
        <v>25</v>
      </c>
      <c r="R1046" s="21" t="s">
        <v>137</v>
      </c>
      <c r="S1046" s="149" t="s">
        <v>1883</v>
      </c>
    </row>
    <row r="1047" spans="1:20" ht="28">
      <c r="A1047" s="107"/>
      <c r="B1047" s="109" t="s">
        <v>1713</v>
      </c>
      <c r="C1047" s="5"/>
      <c r="D1047" s="5"/>
      <c r="E1047" s="132">
        <f t="shared" si="673"/>
        <v>371.1</v>
      </c>
      <c r="F1047" s="139">
        <f t="shared" si="667"/>
        <v>365.20000000000005</v>
      </c>
      <c r="G1047" s="149" t="s">
        <v>1710</v>
      </c>
      <c r="H1047" s="82" t="str">
        <f t="shared" si="674"/>
        <v>0 percent up in Famennian international stage</v>
      </c>
      <c r="I1047" s="142" t="str">
        <f t="shared" si="675"/>
        <v>50 percent up in Famennian international stage</v>
      </c>
      <c r="J1047" s="7">
        <v>0</v>
      </c>
      <c r="K1047" s="129">
        <f t="shared" si="676"/>
        <v>0</v>
      </c>
      <c r="L1047" s="8" t="s">
        <v>137</v>
      </c>
      <c r="M1047" s="5" t="s">
        <v>82</v>
      </c>
      <c r="N1047" s="5" t="s">
        <v>82</v>
      </c>
      <c r="O1047" s="83"/>
      <c r="P1047" s="20">
        <v>0.5</v>
      </c>
      <c r="Q1047" s="143">
        <f t="shared" si="677"/>
        <v>50</v>
      </c>
      <c r="R1047" s="21" t="s">
        <v>137</v>
      </c>
      <c r="S1047" s="149" t="s">
        <v>1710</v>
      </c>
    </row>
    <row r="1048" spans="1:20" ht="28">
      <c r="A1048" s="107" t="s">
        <v>1105</v>
      </c>
      <c r="B1048" s="109" t="s">
        <v>137</v>
      </c>
      <c r="C1048" s="135"/>
      <c r="D1048" s="135" t="s">
        <v>222</v>
      </c>
      <c r="E1048" s="132">
        <f t="shared" si="665"/>
        <v>371.1</v>
      </c>
      <c r="F1048" s="139">
        <f t="shared" si="667"/>
        <v>359.3</v>
      </c>
      <c r="G1048" s="149"/>
      <c r="H1048" s="82" t="str">
        <f t="shared" si="654"/>
        <v>0 percent up in Famennian international stage</v>
      </c>
      <c r="I1048" s="142" t="str">
        <f t="shared" si="655"/>
        <v>100 percent up in Famennian international stage</v>
      </c>
      <c r="J1048" s="7">
        <v>0</v>
      </c>
      <c r="K1048" s="129">
        <f t="shared" si="656"/>
        <v>0</v>
      </c>
      <c r="L1048" s="8" t="s">
        <v>137</v>
      </c>
      <c r="M1048" s="5" t="s">
        <v>224</v>
      </c>
      <c r="N1048" s="5" t="s">
        <v>1119</v>
      </c>
      <c r="O1048" s="84">
        <f>Master_Chronostrat!I122</f>
        <v>371.1</v>
      </c>
      <c r="P1048" s="20">
        <v>1</v>
      </c>
      <c r="Q1048" s="143">
        <f t="shared" si="657"/>
        <v>100</v>
      </c>
      <c r="R1048" s="21" t="s">
        <v>137</v>
      </c>
      <c r="S1048" s="8" t="s">
        <v>224</v>
      </c>
      <c r="T1048" s="7" t="s">
        <v>226</v>
      </c>
    </row>
    <row r="1049" spans="1:20" ht="28">
      <c r="A1049" s="107" t="s">
        <v>1105</v>
      </c>
      <c r="B1049" s="108" t="s">
        <v>1120</v>
      </c>
      <c r="C1049" s="5"/>
      <c r="D1049" s="5" t="s">
        <v>1109</v>
      </c>
      <c r="E1049" s="132">
        <f t="shared" ref="E1049:E1058" si="684">$O$1058-J1049*($O$1058-$O$1048)</f>
        <v>374.35</v>
      </c>
      <c r="F1049" s="139">
        <f t="shared" si="667"/>
        <v>367.62941176470588</v>
      </c>
      <c r="G1049" s="149"/>
      <c r="H1049" s="82" t="str">
        <f t="shared" si="654"/>
        <v>58.3 percent up in Frasnian international stage</v>
      </c>
      <c r="I1049" s="142" t="str">
        <f t="shared" si="655"/>
        <v>29.4 percent up in Famennian international stage</v>
      </c>
      <c r="J1049" s="7">
        <v>0.5833333333333337</v>
      </c>
      <c r="K1049" s="129">
        <f t="shared" si="656"/>
        <v>58.3</v>
      </c>
      <c r="L1049" s="8" t="s">
        <v>138</v>
      </c>
      <c r="M1049" s="5" t="s">
        <v>82</v>
      </c>
      <c r="N1049" s="5" t="s">
        <v>82</v>
      </c>
      <c r="O1049" s="83"/>
      <c r="P1049" s="20">
        <v>0.29411764705882332</v>
      </c>
      <c r="Q1049" s="143">
        <f t="shared" si="657"/>
        <v>29.4</v>
      </c>
      <c r="R1049" s="21" t="s">
        <v>137</v>
      </c>
      <c r="S1049" s="8" t="s">
        <v>246</v>
      </c>
      <c r="T1049" s="7" t="s">
        <v>226</v>
      </c>
    </row>
    <row r="1050" spans="1:20" ht="28">
      <c r="A1050" s="107" t="s">
        <v>1105</v>
      </c>
      <c r="B1050" s="108" t="s">
        <v>1121</v>
      </c>
      <c r="C1050" s="5"/>
      <c r="D1050" s="5" t="s">
        <v>82</v>
      </c>
      <c r="E1050" s="132">
        <f t="shared" si="684"/>
        <v>378.9</v>
      </c>
      <c r="F1050" s="139">
        <f t="shared" ref="F1050:F1057" si="685">$O$1058-P1050*($O$1058-$O$1048)</f>
        <v>371.1</v>
      </c>
      <c r="G1050" s="149"/>
      <c r="H1050" s="82" t="str">
        <f t="shared" si="654"/>
        <v>0 percent up in Frasnian international stage</v>
      </c>
      <c r="I1050" s="142" t="str">
        <f t="shared" si="655"/>
        <v>100 percent up in Frasnian international stage</v>
      </c>
      <c r="J1050" s="7">
        <v>0</v>
      </c>
      <c r="K1050" s="129">
        <f t="shared" si="656"/>
        <v>0</v>
      </c>
      <c r="L1050" s="8" t="s">
        <v>138</v>
      </c>
      <c r="M1050" s="5" t="s">
        <v>82</v>
      </c>
      <c r="N1050" s="5" t="s">
        <v>82</v>
      </c>
      <c r="O1050" s="83"/>
      <c r="P1050" s="20">
        <v>1</v>
      </c>
      <c r="Q1050" s="143">
        <f t="shared" si="657"/>
        <v>100</v>
      </c>
      <c r="R1050" s="21" t="s">
        <v>138</v>
      </c>
      <c r="S1050" s="8" t="s">
        <v>232</v>
      </c>
      <c r="T1050" s="7" t="s">
        <v>226</v>
      </c>
    </row>
    <row r="1051" spans="1:20" ht="28">
      <c r="A1051" s="107" t="s">
        <v>1105</v>
      </c>
      <c r="B1051" s="109" t="s">
        <v>1122</v>
      </c>
      <c r="C1051" s="5"/>
      <c r="D1051" s="5" t="s">
        <v>248</v>
      </c>
      <c r="E1051" s="132">
        <f t="shared" si="684"/>
        <v>378.9</v>
      </c>
      <c r="F1051" s="139">
        <f t="shared" si="685"/>
        <v>371.1</v>
      </c>
      <c r="G1051" s="149"/>
      <c r="H1051" s="82" t="str">
        <f t="shared" si="654"/>
        <v>0 percent up in Frasnian international stage</v>
      </c>
      <c r="I1051" s="142" t="str">
        <f t="shared" si="655"/>
        <v>100 percent up in Frasnian international stage</v>
      </c>
      <c r="J1051" s="7">
        <v>0</v>
      </c>
      <c r="K1051" s="129">
        <f t="shared" si="656"/>
        <v>0</v>
      </c>
      <c r="L1051" s="8" t="s">
        <v>138</v>
      </c>
      <c r="M1051" s="5" t="s">
        <v>82</v>
      </c>
      <c r="N1051" s="5" t="s">
        <v>82</v>
      </c>
      <c r="O1051" s="83"/>
      <c r="P1051" s="20">
        <v>1</v>
      </c>
      <c r="Q1051" s="143">
        <f t="shared" si="657"/>
        <v>100</v>
      </c>
      <c r="R1051" s="21" t="s">
        <v>138</v>
      </c>
      <c r="S1051" s="8" t="s">
        <v>232</v>
      </c>
      <c r="T1051" s="7" t="s">
        <v>226</v>
      </c>
    </row>
    <row r="1052" spans="1:20" ht="28">
      <c r="A1052" s="107" t="s">
        <v>1105</v>
      </c>
      <c r="B1052" s="109" t="s">
        <v>1123</v>
      </c>
      <c r="C1052" s="5"/>
      <c r="D1052" s="5" t="s">
        <v>82</v>
      </c>
      <c r="E1052" s="132">
        <f t="shared" si="684"/>
        <v>378.9</v>
      </c>
      <c r="F1052" s="139">
        <f t="shared" si="685"/>
        <v>371.1</v>
      </c>
      <c r="G1052" s="149"/>
      <c r="H1052" s="82" t="str">
        <f t="shared" si="654"/>
        <v>0 percent up in Frasnian international stage</v>
      </c>
      <c r="I1052" s="142" t="str">
        <f t="shared" si="655"/>
        <v>100 percent up in Frasnian international stage</v>
      </c>
      <c r="J1052" s="7">
        <v>0</v>
      </c>
      <c r="K1052" s="129">
        <f t="shared" si="656"/>
        <v>0</v>
      </c>
      <c r="L1052" s="8" t="s">
        <v>138</v>
      </c>
      <c r="M1052" s="5" t="s">
        <v>82</v>
      </c>
      <c r="N1052" s="5" t="s">
        <v>82</v>
      </c>
      <c r="O1052" s="83"/>
      <c r="P1052" s="20">
        <v>1</v>
      </c>
      <c r="Q1052" s="143">
        <f t="shared" si="657"/>
        <v>100</v>
      </c>
      <c r="R1052" s="21" t="s">
        <v>138</v>
      </c>
      <c r="S1052" s="8" t="s">
        <v>232</v>
      </c>
      <c r="T1052" s="7" t="s">
        <v>226</v>
      </c>
    </row>
    <row r="1053" spans="1:20" ht="28">
      <c r="A1053" s="107" t="s">
        <v>1105</v>
      </c>
      <c r="B1053" s="109" t="s">
        <v>1124</v>
      </c>
      <c r="C1053" s="5"/>
      <c r="D1053" s="5" t="s">
        <v>82</v>
      </c>
      <c r="E1053" s="132">
        <f t="shared" si="684"/>
        <v>378.9</v>
      </c>
      <c r="F1053" s="139">
        <f t="shared" si="685"/>
        <v>371.1</v>
      </c>
      <c r="G1053" s="149"/>
      <c r="H1053" s="82" t="str">
        <f t="shared" si="654"/>
        <v>0 percent up in Frasnian international stage</v>
      </c>
      <c r="I1053" s="142" t="str">
        <f t="shared" si="655"/>
        <v>100 percent up in Frasnian international stage</v>
      </c>
      <c r="J1053" s="7">
        <v>0</v>
      </c>
      <c r="K1053" s="129">
        <f t="shared" si="656"/>
        <v>0</v>
      </c>
      <c r="L1053" s="8" t="s">
        <v>138</v>
      </c>
      <c r="M1053" s="5" t="s">
        <v>82</v>
      </c>
      <c r="N1053" s="5" t="s">
        <v>82</v>
      </c>
      <c r="O1053" s="83"/>
      <c r="P1053" s="20">
        <v>1</v>
      </c>
      <c r="Q1053" s="143">
        <f t="shared" si="657"/>
        <v>100</v>
      </c>
      <c r="R1053" s="21" t="s">
        <v>138</v>
      </c>
      <c r="S1053" s="8" t="s">
        <v>232</v>
      </c>
      <c r="T1053" s="7" t="s">
        <v>226</v>
      </c>
    </row>
    <row r="1054" spans="1:20" ht="28">
      <c r="A1054" s="107"/>
      <c r="B1054" s="109" t="s">
        <v>1714</v>
      </c>
      <c r="C1054" s="5"/>
      <c r="D1054" s="5"/>
      <c r="E1054" s="132">
        <f t="shared" ref="E1054:E1056" si="686">$O$1058-J1054*($O$1058-$O$1048)</f>
        <v>373.44</v>
      </c>
      <c r="F1054" s="139">
        <f t="shared" si="685"/>
        <v>371.1</v>
      </c>
      <c r="G1054" s="149" t="s">
        <v>1717</v>
      </c>
      <c r="H1054" s="82" t="str">
        <f t="shared" ref="H1054:H1056" si="687">CONCATENATE(K1054," percent up in ",L1054," international stage")</f>
        <v>70 percent up in Frasnian international stage</v>
      </c>
      <c r="I1054" s="142" t="str">
        <f t="shared" ref="I1054:I1056" si="688">CONCATENATE(Q1054," percent up in ",R1054," international stage")</f>
        <v>100 percent up in Frasnian international stage</v>
      </c>
      <c r="J1054" s="7">
        <v>0.7</v>
      </c>
      <c r="K1054" s="129">
        <f t="shared" ref="K1054:K1056" si="689">ROUND(J1054*100,1)</f>
        <v>70</v>
      </c>
      <c r="L1054" s="8" t="s">
        <v>138</v>
      </c>
      <c r="M1054" s="5"/>
      <c r="O1054" s="83"/>
      <c r="P1054" s="20">
        <v>1</v>
      </c>
      <c r="Q1054" s="143">
        <f t="shared" ref="Q1054:Q1056" si="690">ROUND(P1054*100,1)</f>
        <v>100</v>
      </c>
      <c r="R1054" s="21" t="s">
        <v>138</v>
      </c>
      <c r="S1054" s="151" t="s">
        <v>1667</v>
      </c>
    </row>
    <row r="1055" spans="1:20" ht="28">
      <c r="A1055" s="107"/>
      <c r="B1055" s="109" t="s">
        <v>1715</v>
      </c>
      <c r="C1055" s="5"/>
      <c r="D1055" s="5"/>
      <c r="E1055" s="132">
        <f t="shared" si="686"/>
        <v>376.32599999999996</v>
      </c>
      <c r="F1055" s="139">
        <f t="shared" si="685"/>
        <v>373.44</v>
      </c>
      <c r="G1055" s="149" t="s">
        <v>1668</v>
      </c>
      <c r="H1055" s="82" t="str">
        <f t="shared" si="687"/>
        <v>33 percent up in Frasnian international stage</v>
      </c>
      <c r="I1055" s="142" t="str">
        <f t="shared" si="688"/>
        <v>70 percent up in Frasnian international stage</v>
      </c>
      <c r="J1055" s="7">
        <v>0.33</v>
      </c>
      <c r="K1055" s="129">
        <f t="shared" si="689"/>
        <v>33</v>
      </c>
      <c r="L1055" s="8" t="s">
        <v>138</v>
      </c>
      <c r="M1055" s="5"/>
      <c r="O1055" s="83"/>
      <c r="P1055" s="20">
        <v>0.7</v>
      </c>
      <c r="Q1055" s="143">
        <f t="shared" si="690"/>
        <v>70</v>
      </c>
      <c r="R1055" s="21" t="s">
        <v>138</v>
      </c>
      <c r="S1055" s="151" t="s">
        <v>1668</v>
      </c>
    </row>
    <row r="1056" spans="1:20" ht="28">
      <c r="A1056" s="107"/>
      <c r="B1056" s="109" t="s">
        <v>1716</v>
      </c>
      <c r="C1056" s="5"/>
      <c r="D1056" s="5"/>
      <c r="E1056" s="132">
        <f t="shared" si="686"/>
        <v>378.9</v>
      </c>
      <c r="F1056" s="139">
        <f t="shared" si="685"/>
        <v>376.32599999999996</v>
      </c>
      <c r="G1056" s="149" t="s">
        <v>1669</v>
      </c>
      <c r="H1056" s="82" t="str">
        <f t="shared" si="687"/>
        <v>0 percent up in Frasnian international stage</v>
      </c>
      <c r="I1056" s="142" t="str">
        <f t="shared" si="688"/>
        <v>33 percent up in Frasnian international stage</v>
      </c>
      <c r="J1056" s="7">
        <v>0</v>
      </c>
      <c r="K1056" s="129">
        <f t="shared" si="689"/>
        <v>0</v>
      </c>
      <c r="L1056" s="8" t="s">
        <v>138</v>
      </c>
      <c r="M1056" s="5"/>
      <c r="O1056" s="83"/>
      <c r="P1056" s="20">
        <v>0.33</v>
      </c>
      <c r="Q1056" s="143">
        <f t="shared" si="690"/>
        <v>33</v>
      </c>
      <c r="R1056" s="21" t="s">
        <v>138</v>
      </c>
      <c r="S1056" s="151" t="s">
        <v>1669</v>
      </c>
    </row>
    <row r="1057" spans="1:20" ht="28">
      <c r="A1057" s="107" t="s">
        <v>1105</v>
      </c>
      <c r="B1057" s="109" t="s">
        <v>138</v>
      </c>
      <c r="C1057" s="135"/>
      <c r="D1057" s="135" t="s">
        <v>222</v>
      </c>
      <c r="E1057" s="132">
        <f t="shared" si="684"/>
        <v>378.9</v>
      </c>
      <c r="F1057" s="139">
        <f t="shared" si="685"/>
        <v>371.1</v>
      </c>
      <c r="G1057" s="149"/>
      <c r="H1057" s="82" t="str">
        <f t="shared" si="654"/>
        <v>0 percent up in Frasnian international stage</v>
      </c>
      <c r="I1057" s="142" t="str">
        <f t="shared" si="655"/>
        <v>100 percent up in Frasnian international stage</v>
      </c>
      <c r="J1057" s="7">
        <v>0</v>
      </c>
      <c r="K1057" s="129">
        <f t="shared" si="656"/>
        <v>0</v>
      </c>
      <c r="L1057" s="8" t="s">
        <v>138</v>
      </c>
      <c r="M1057" s="5" t="s">
        <v>224</v>
      </c>
      <c r="N1057" s="5" t="s">
        <v>1125</v>
      </c>
      <c r="O1057" s="84">
        <f>Master_Chronostrat!I125</f>
        <v>378.9</v>
      </c>
      <c r="P1057" s="20">
        <v>1</v>
      </c>
      <c r="Q1057" s="143">
        <f t="shared" si="657"/>
        <v>100</v>
      </c>
      <c r="R1057" s="21" t="s">
        <v>138</v>
      </c>
      <c r="S1057" s="8" t="s">
        <v>224</v>
      </c>
      <c r="T1057" s="7" t="s">
        <v>226</v>
      </c>
    </row>
    <row r="1058" spans="1:20" ht="28">
      <c r="A1058" s="107" t="s">
        <v>1105</v>
      </c>
      <c r="B1058" s="109" t="s">
        <v>1126</v>
      </c>
      <c r="C1058" s="135"/>
      <c r="D1058" s="135" t="s">
        <v>222</v>
      </c>
      <c r="E1058" s="132">
        <f t="shared" si="684"/>
        <v>378.9</v>
      </c>
      <c r="F1058" s="139">
        <f>$O$1048-P1058*($O$1048-$O$1030)</f>
        <v>359.3</v>
      </c>
      <c r="G1058" s="149"/>
      <c r="H1058" s="82" t="str">
        <f t="shared" si="654"/>
        <v>0 percent up in Frasnian international stage</v>
      </c>
      <c r="I1058" s="142" t="str">
        <f t="shared" si="655"/>
        <v>100 percent up in Famennian international stage</v>
      </c>
      <c r="J1058" s="7">
        <v>0</v>
      </c>
      <c r="K1058" s="129">
        <f t="shared" si="656"/>
        <v>0</v>
      </c>
      <c r="L1058" s="8" t="s">
        <v>138</v>
      </c>
      <c r="M1058" s="5" t="s">
        <v>224</v>
      </c>
      <c r="N1058" s="5" t="s">
        <v>1127</v>
      </c>
      <c r="O1058" s="84">
        <f>Master_Chronostrat!I125</f>
        <v>378.9</v>
      </c>
      <c r="P1058" s="20">
        <v>1</v>
      </c>
      <c r="Q1058" s="143">
        <f t="shared" si="657"/>
        <v>100</v>
      </c>
      <c r="R1058" s="21" t="s">
        <v>137</v>
      </c>
      <c r="S1058" s="8" t="s">
        <v>239</v>
      </c>
      <c r="T1058" s="7" t="s">
        <v>226</v>
      </c>
    </row>
    <row r="1059" spans="1:20" ht="28">
      <c r="A1059" s="107" t="s">
        <v>1105</v>
      </c>
      <c r="B1059" s="108" t="s">
        <v>1128</v>
      </c>
      <c r="C1059" s="5"/>
      <c r="D1059" s="5" t="s">
        <v>1109</v>
      </c>
      <c r="E1059" s="132">
        <f t="shared" ref="E1059:E1070" si="691">$O$1070-J1059*($O$1070-$O$1058)</f>
        <v>381.55846153846153</v>
      </c>
      <c r="F1059" s="139">
        <f>$O$1058-P1059*($O$1058-$O$1048)</f>
        <v>374.35</v>
      </c>
      <c r="G1059" s="149"/>
      <c r="H1059" s="82" t="str">
        <f t="shared" si="654"/>
        <v>58.5 percent up in Givetian international stage</v>
      </c>
      <c r="I1059" s="142" t="str">
        <f t="shared" si="655"/>
        <v>58.3 percent up in Frasnian international stage</v>
      </c>
      <c r="J1059" s="7">
        <v>0.58461538461538631</v>
      </c>
      <c r="K1059" s="129">
        <f t="shared" si="656"/>
        <v>58.5</v>
      </c>
      <c r="L1059" s="8" t="s">
        <v>139</v>
      </c>
      <c r="M1059" s="5" t="s">
        <v>82</v>
      </c>
      <c r="N1059" s="5" t="s">
        <v>82</v>
      </c>
      <c r="O1059" s="83"/>
      <c r="P1059" s="20">
        <v>0.58333333333333381</v>
      </c>
      <c r="Q1059" s="143">
        <f t="shared" si="657"/>
        <v>58.3</v>
      </c>
      <c r="R1059" s="21" t="s">
        <v>138</v>
      </c>
      <c r="S1059" s="8" t="s">
        <v>246</v>
      </c>
      <c r="T1059" s="7" t="s">
        <v>226</v>
      </c>
    </row>
    <row r="1060" spans="1:20" ht="28">
      <c r="A1060" s="107" t="s">
        <v>1105</v>
      </c>
      <c r="B1060" s="109" t="s">
        <v>1129</v>
      </c>
      <c r="C1060" s="5"/>
      <c r="D1060" s="5" t="s">
        <v>244</v>
      </c>
      <c r="E1060" s="132">
        <f t="shared" si="691"/>
        <v>381.55846153846153</v>
      </c>
      <c r="F1060" s="139">
        <f>$O$1048-P1060*($O$1048-$O$1030)</f>
        <v>367.62941176470588</v>
      </c>
      <c r="G1060" s="149"/>
      <c r="H1060" s="82" t="str">
        <f t="shared" si="654"/>
        <v>58.5 percent up in Givetian international stage</v>
      </c>
      <c r="I1060" s="142" t="str">
        <f t="shared" si="655"/>
        <v>29.4 percent up in Famennian international stage</v>
      </c>
      <c r="J1060" s="7">
        <v>0.58461538461538631</v>
      </c>
      <c r="K1060" s="129">
        <f t="shared" si="656"/>
        <v>58.5</v>
      </c>
      <c r="L1060" s="8" t="s">
        <v>139</v>
      </c>
      <c r="M1060" s="5" t="s">
        <v>82</v>
      </c>
      <c r="N1060" s="5" t="s">
        <v>82</v>
      </c>
      <c r="O1060" s="83"/>
      <c r="P1060" s="20">
        <v>0.29411764705882332</v>
      </c>
      <c r="Q1060" s="143">
        <f t="shared" si="657"/>
        <v>29.4</v>
      </c>
      <c r="R1060" s="21" t="s">
        <v>137</v>
      </c>
      <c r="S1060" s="8" t="s">
        <v>246</v>
      </c>
      <c r="T1060" s="7" t="s">
        <v>226</v>
      </c>
    </row>
    <row r="1061" spans="1:20" ht="28">
      <c r="A1061" s="107" t="s">
        <v>1105</v>
      </c>
      <c r="B1061" s="109" t="s">
        <v>1130</v>
      </c>
      <c r="C1061" s="5"/>
      <c r="D1061" s="5" t="s">
        <v>248</v>
      </c>
      <c r="E1061" s="132">
        <f t="shared" si="691"/>
        <v>384.90615384615381</v>
      </c>
      <c r="F1061" s="139">
        <f t="shared" ref="F1061:F1072" si="692">$O$1070-P1061*($O$1070-$O$1058)</f>
        <v>378.9</v>
      </c>
      <c r="G1061" s="149"/>
      <c r="H1061" s="82" t="str">
        <f t="shared" si="654"/>
        <v>6.2 percent up in Givetian international stage</v>
      </c>
      <c r="I1061" s="142" t="str">
        <f t="shared" si="655"/>
        <v>100 percent up in Givetian international stage</v>
      </c>
      <c r="J1061" s="7">
        <v>6.153846153846676E-2</v>
      </c>
      <c r="K1061" s="129">
        <f t="shared" si="656"/>
        <v>6.2</v>
      </c>
      <c r="L1061" s="8" t="s">
        <v>139</v>
      </c>
      <c r="M1061" s="5" t="s">
        <v>82</v>
      </c>
      <c r="N1061" s="5" t="s">
        <v>82</v>
      </c>
      <c r="O1061" s="83"/>
      <c r="P1061" s="20">
        <v>1</v>
      </c>
      <c r="Q1061" s="143">
        <f t="shared" si="657"/>
        <v>100</v>
      </c>
      <c r="R1061" s="21" t="s">
        <v>139</v>
      </c>
      <c r="S1061" s="8" t="s">
        <v>272</v>
      </c>
      <c r="T1061" s="7" t="s">
        <v>226</v>
      </c>
    </row>
    <row r="1062" spans="1:20" ht="28">
      <c r="A1062" s="107" t="s">
        <v>1105</v>
      </c>
      <c r="B1062" s="109" t="s">
        <v>1131</v>
      </c>
      <c r="C1062" s="5"/>
      <c r="D1062" s="5" t="s">
        <v>244</v>
      </c>
      <c r="E1062" s="132">
        <f t="shared" si="691"/>
        <v>385.3</v>
      </c>
      <c r="F1062" s="139">
        <f t="shared" si="692"/>
        <v>381.55846153846153</v>
      </c>
      <c r="G1062" s="149"/>
      <c r="H1062" s="82" t="str">
        <f t="shared" si="654"/>
        <v>0 percent up in Givetian international stage</v>
      </c>
      <c r="I1062" s="142" t="str">
        <f t="shared" si="655"/>
        <v>58.5 percent up in Givetian international stage</v>
      </c>
      <c r="J1062" s="7">
        <v>0</v>
      </c>
      <c r="K1062" s="129">
        <f t="shared" si="656"/>
        <v>0</v>
      </c>
      <c r="L1062" s="8" t="s">
        <v>139</v>
      </c>
      <c r="M1062" s="5" t="s">
        <v>82</v>
      </c>
      <c r="N1062" s="5" t="s">
        <v>82</v>
      </c>
      <c r="O1062" s="83"/>
      <c r="P1062" s="20">
        <v>0.58461538461538631</v>
      </c>
      <c r="Q1062" s="143">
        <f t="shared" si="657"/>
        <v>58.5</v>
      </c>
      <c r="R1062" s="21" t="s">
        <v>139</v>
      </c>
      <c r="S1062" s="8" t="s">
        <v>230</v>
      </c>
      <c r="T1062" s="7" t="s">
        <v>226</v>
      </c>
    </row>
    <row r="1063" spans="1:20" ht="28">
      <c r="A1063" s="107" t="s">
        <v>1105</v>
      </c>
      <c r="B1063" s="109" t="s">
        <v>1132</v>
      </c>
      <c r="C1063" s="5"/>
      <c r="D1063" s="5" t="s">
        <v>82</v>
      </c>
      <c r="E1063" s="132">
        <f t="shared" si="691"/>
        <v>385.3</v>
      </c>
      <c r="F1063" s="139">
        <f t="shared" si="692"/>
        <v>378.9</v>
      </c>
      <c r="G1063" s="149"/>
      <c r="H1063" s="82" t="str">
        <f t="shared" si="654"/>
        <v>0 percent up in Givetian international stage</v>
      </c>
      <c r="I1063" s="142" t="str">
        <f t="shared" si="655"/>
        <v>100 percent up in Givetian international stage</v>
      </c>
      <c r="J1063" s="7">
        <v>0</v>
      </c>
      <c r="K1063" s="129">
        <f t="shared" si="656"/>
        <v>0</v>
      </c>
      <c r="L1063" s="8" t="s">
        <v>139</v>
      </c>
      <c r="M1063" s="5" t="s">
        <v>82</v>
      </c>
      <c r="N1063" s="5" t="s">
        <v>82</v>
      </c>
      <c r="O1063" s="83"/>
      <c r="P1063" s="20">
        <v>1</v>
      </c>
      <c r="Q1063" s="143">
        <f t="shared" si="657"/>
        <v>100</v>
      </c>
      <c r="R1063" s="21" t="s">
        <v>139</v>
      </c>
      <c r="S1063" s="8" t="s">
        <v>232</v>
      </c>
      <c r="T1063" s="7" t="s">
        <v>226</v>
      </c>
    </row>
    <row r="1064" spans="1:20" ht="28">
      <c r="A1064" s="107" t="s">
        <v>1105</v>
      </c>
      <c r="B1064" s="109" t="s">
        <v>1133</v>
      </c>
      <c r="C1064" s="5"/>
      <c r="D1064" s="5" t="s">
        <v>82</v>
      </c>
      <c r="E1064" s="132">
        <f t="shared" si="691"/>
        <v>385.3</v>
      </c>
      <c r="F1064" s="139">
        <f t="shared" si="692"/>
        <v>378.9</v>
      </c>
      <c r="G1064" s="149"/>
      <c r="H1064" s="82" t="str">
        <f t="shared" si="654"/>
        <v>0 percent up in Givetian international stage</v>
      </c>
      <c r="I1064" s="142" t="str">
        <f t="shared" si="655"/>
        <v>100 percent up in Givetian international stage</v>
      </c>
      <c r="J1064" s="7">
        <v>0</v>
      </c>
      <c r="K1064" s="129">
        <f t="shared" si="656"/>
        <v>0</v>
      </c>
      <c r="L1064" s="8" t="s">
        <v>139</v>
      </c>
      <c r="M1064" s="5" t="s">
        <v>82</v>
      </c>
      <c r="N1064" s="5" t="s">
        <v>82</v>
      </c>
      <c r="O1064" s="83"/>
      <c r="P1064" s="20">
        <v>1</v>
      </c>
      <c r="Q1064" s="143">
        <f t="shared" si="657"/>
        <v>100</v>
      </c>
      <c r="R1064" s="21" t="s">
        <v>139</v>
      </c>
      <c r="S1064" s="8" t="s">
        <v>232</v>
      </c>
      <c r="T1064" s="7" t="s">
        <v>226</v>
      </c>
    </row>
    <row r="1065" spans="1:20" ht="28">
      <c r="A1065" s="107" t="s">
        <v>1105</v>
      </c>
      <c r="B1065" s="109" t="s">
        <v>1134</v>
      </c>
      <c r="C1065" s="5"/>
      <c r="D1065" s="5" t="s">
        <v>82</v>
      </c>
      <c r="E1065" s="132">
        <f t="shared" si="691"/>
        <v>385.3</v>
      </c>
      <c r="F1065" s="139">
        <f t="shared" si="692"/>
        <v>378.9</v>
      </c>
      <c r="G1065" s="149"/>
      <c r="H1065" s="82" t="str">
        <f t="shared" si="654"/>
        <v>0 percent up in Givetian international stage</v>
      </c>
      <c r="I1065" s="142" t="str">
        <f t="shared" si="655"/>
        <v>100 percent up in Givetian international stage</v>
      </c>
      <c r="J1065" s="7">
        <v>0</v>
      </c>
      <c r="K1065" s="129">
        <f t="shared" si="656"/>
        <v>0</v>
      </c>
      <c r="L1065" s="8" t="s">
        <v>139</v>
      </c>
      <c r="M1065" s="5" t="s">
        <v>82</v>
      </c>
      <c r="N1065" s="5" t="s">
        <v>82</v>
      </c>
      <c r="O1065" s="83"/>
      <c r="P1065" s="20">
        <v>1</v>
      </c>
      <c r="Q1065" s="143">
        <f t="shared" si="657"/>
        <v>100</v>
      </c>
      <c r="R1065" s="21" t="s">
        <v>139</v>
      </c>
      <c r="S1065" s="8" t="s">
        <v>232</v>
      </c>
      <c r="T1065" s="7" t="s">
        <v>226</v>
      </c>
    </row>
    <row r="1066" spans="1:20" ht="34">
      <c r="A1066" s="107"/>
      <c r="B1066" s="109" t="s">
        <v>1724</v>
      </c>
      <c r="C1066" s="5"/>
      <c r="D1066" s="5"/>
      <c r="E1066" s="132">
        <f t="shared" ref="E1066" si="693">$O$1070-J1066*($O$1070-$O$1058)</f>
        <v>385.3</v>
      </c>
      <c r="F1066" s="139">
        <f t="shared" ref="F1066" si="694">$O$1070-P1066*($O$1070-$O$1058)</f>
        <v>378.9</v>
      </c>
      <c r="G1066" s="149" t="s">
        <v>1725</v>
      </c>
      <c r="H1066" s="82" t="str">
        <f t="shared" ref="H1066" si="695">CONCATENATE(K1066," percent up in ",L1066," international stage")</f>
        <v>0 percent up in Givetian international stage</v>
      </c>
      <c r="I1066" s="142" t="str">
        <f t="shared" ref="I1066" si="696">CONCATENATE(Q1066," percent up in ",R1066," international stage")</f>
        <v>100 percent up in Givetian international stage</v>
      </c>
      <c r="J1066" s="7">
        <v>0</v>
      </c>
      <c r="K1066" s="129">
        <f t="shared" ref="K1066" si="697">ROUND(J1066*100,1)</f>
        <v>0</v>
      </c>
      <c r="L1066" s="8" t="s">
        <v>139</v>
      </c>
      <c r="M1066" s="5"/>
      <c r="O1066" s="83"/>
      <c r="P1066" s="20">
        <v>1</v>
      </c>
      <c r="Q1066" s="143">
        <f t="shared" si="657"/>
        <v>100</v>
      </c>
      <c r="R1066" s="21" t="s">
        <v>139</v>
      </c>
      <c r="S1066" s="150" t="s">
        <v>232</v>
      </c>
    </row>
    <row r="1067" spans="1:20" ht="28">
      <c r="A1067" s="107"/>
      <c r="B1067" s="109" t="s">
        <v>1718</v>
      </c>
      <c r="C1067" s="5"/>
      <c r="D1067" s="5"/>
      <c r="E1067" s="132">
        <f t="shared" ref="E1067:E1069" si="698">$O$1070-J1067*($O$1070-$O$1058)</f>
        <v>380.30799999999999</v>
      </c>
      <c r="F1067" s="139">
        <f t="shared" ref="F1067:F1069" si="699">$O$1070-P1067*($O$1070-$O$1058)</f>
        <v>378.9</v>
      </c>
      <c r="G1067" s="149" t="s">
        <v>1717</v>
      </c>
      <c r="H1067" s="82" t="str">
        <f t="shared" ref="H1067:H1069" si="700">CONCATENATE(K1067," percent up in ",L1067," international stage")</f>
        <v>78 percent up in Givetian international stage</v>
      </c>
      <c r="I1067" s="142" t="str">
        <f t="shared" ref="I1067:I1069" si="701">CONCATENATE(Q1067," percent up in ",R1067," international stage")</f>
        <v>100 percent up in Givetian international stage</v>
      </c>
      <c r="J1067" s="7">
        <v>0.78</v>
      </c>
      <c r="K1067" s="129">
        <f t="shared" ref="K1067:K1069" si="702">ROUND(J1067*100,1)</f>
        <v>78</v>
      </c>
      <c r="L1067" s="8" t="s">
        <v>139</v>
      </c>
      <c r="M1067" s="5"/>
      <c r="O1067" s="83"/>
      <c r="P1067" s="20">
        <v>1</v>
      </c>
      <c r="Q1067" s="143">
        <f t="shared" ref="Q1067:Q1069" si="703">ROUND(P1067*100,1)</f>
        <v>100</v>
      </c>
      <c r="R1067" s="21" t="s">
        <v>139</v>
      </c>
      <c r="S1067" s="151" t="s">
        <v>1721</v>
      </c>
    </row>
    <row r="1068" spans="1:20" ht="28">
      <c r="A1068" s="107"/>
      <c r="B1068" s="109" t="s">
        <v>1719</v>
      </c>
      <c r="C1068" s="5"/>
      <c r="D1068" s="5"/>
      <c r="E1068" s="132">
        <f t="shared" si="698"/>
        <v>383.06</v>
      </c>
      <c r="F1068" s="139">
        <f t="shared" si="699"/>
        <v>380.30799999999999</v>
      </c>
      <c r="G1068" s="149" t="s">
        <v>1668</v>
      </c>
      <c r="H1068" s="82" t="str">
        <f t="shared" si="700"/>
        <v>35 percent up in Givetian international stage</v>
      </c>
      <c r="I1068" s="142" t="str">
        <f t="shared" si="701"/>
        <v>78 percent up in Givetian international stage</v>
      </c>
      <c r="J1068" s="7">
        <v>0.35</v>
      </c>
      <c r="K1068" s="129">
        <f t="shared" si="702"/>
        <v>35</v>
      </c>
      <c r="L1068" s="8" t="s">
        <v>139</v>
      </c>
      <c r="M1068" s="5"/>
      <c r="O1068" s="83"/>
      <c r="P1068" s="20">
        <v>0.78</v>
      </c>
      <c r="Q1068" s="143">
        <f t="shared" si="703"/>
        <v>78</v>
      </c>
      <c r="R1068" s="21" t="s">
        <v>139</v>
      </c>
      <c r="S1068" s="151" t="s">
        <v>1668</v>
      </c>
    </row>
    <row r="1069" spans="1:20" ht="28">
      <c r="A1069" s="107"/>
      <c r="B1069" s="109" t="s">
        <v>1720</v>
      </c>
      <c r="C1069" s="5"/>
      <c r="D1069" s="5"/>
      <c r="E1069" s="132">
        <f t="shared" si="698"/>
        <v>385.3</v>
      </c>
      <c r="F1069" s="139">
        <f t="shared" si="699"/>
        <v>383.06</v>
      </c>
      <c r="G1069" s="149" t="s">
        <v>1723</v>
      </c>
      <c r="H1069" s="82" t="str">
        <f t="shared" si="700"/>
        <v>0 percent up in Givetian international stage</v>
      </c>
      <c r="I1069" s="142" t="str">
        <f t="shared" si="701"/>
        <v>35 percent up in Givetian international stage</v>
      </c>
      <c r="J1069" s="7">
        <v>0</v>
      </c>
      <c r="K1069" s="129">
        <f t="shared" si="702"/>
        <v>0</v>
      </c>
      <c r="L1069" s="8" t="s">
        <v>139</v>
      </c>
      <c r="M1069" s="5"/>
      <c r="O1069" s="83"/>
      <c r="P1069" s="20">
        <v>0.35</v>
      </c>
      <c r="Q1069" s="143">
        <f t="shared" si="703"/>
        <v>35</v>
      </c>
      <c r="R1069" s="21" t="s">
        <v>139</v>
      </c>
      <c r="S1069" s="151" t="s">
        <v>1722</v>
      </c>
    </row>
    <row r="1070" spans="1:20" ht="28">
      <c r="A1070" s="107" t="s">
        <v>1105</v>
      </c>
      <c r="B1070" s="109" t="s">
        <v>139</v>
      </c>
      <c r="C1070" s="135"/>
      <c r="D1070" s="135" t="s">
        <v>222</v>
      </c>
      <c r="E1070" s="132">
        <f t="shared" si="691"/>
        <v>385.3</v>
      </c>
      <c r="F1070" s="139">
        <f t="shared" si="692"/>
        <v>378.9</v>
      </c>
      <c r="G1070" s="149"/>
      <c r="H1070" s="82" t="str">
        <f t="shared" si="654"/>
        <v>0 percent up in Givetian international stage</v>
      </c>
      <c r="I1070" s="142" t="str">
        <f t="shared" si="655"/>
        <v>100 percent up in Givetian international stage</v>
      </c>
      <c r="J1070" s="7">
        <v>0</v>
      </c>
      <c r="K1070" s="129">
        <f t="shared" si="656"/>
        <v>0</v>
      </c>
      <c r="L1070" s="8" t="s">
        <v>139</v>
      </c>
      <c r="M1070" s="5" t="s">
        <v>224</v>
      </c>
      <c r="N1070" s="5" t="s">
        <v>1135</v>
      </c>
      <c r="O1070" s="84">
        <f>Master_Chronostrat!I128</f>
        <v>385.3</v>
      </c>
      <c r="P1070" s="20">
        <v>1</v>
      </c>
      <c r="Q1070" s="143">
        <f t="shared" si="657"/>
        <v>100</v>
      </c>
      <c r="R1070" s="21" t="s">
        <v>139</v>
      </c>
      <c r="S1070" s="8" t="s">
        <v>224</v>
      </c>
      <c r="T1070" s="7" t="s">
        <v>226</v>
      </c>
    </row>
    <row r="1071" spans="1:20" ht="28">
      <c r="A1071" s="107" t="s">
        <v>1105</v>
      </c>
      <c r="B1071" s="109" t="s">
        <v>1136</v>
      </c>
      <c r="C1071" s="5"/>
      <c r="D1071" s="5" t="s">
        <v>82</v>
      </c>
      <c r="E1071" s="132">
        <f t="shared" ref="E1071:E1081" si="704">$O$1081-J1071*($O$1081-$O$1070)</f>
        <v>394.3</v>
      </c>
      <c r="F1071" s="139">
        <f t="shared" si="692"/>
        <v>378.9</v>
      </c>
      <c r="G1071" s="149"/>
      <c r="H1071" s="82" t="str">
        <f t="shared" si="654"/>
        <v>0 percent up in Eifelian international stage</v>
      </c>
      <c r="I1071" s="142" t="str">
        <f t="shared" si="655"/>
        <v>100 percent up in Givetian international stage</v>
      </c>
      <c r="J1071" s="7">
        <v>0</v>
      </c>
      <c r="K1071" s="129">
        <f t="shared" si="656"/>
        <v>0</v>
      </c>
      <c r="L1071" s="8" t="s">
        <v>140</v>
      </c>
      <c r="M1071" s="5" t="s">
        <v>82</v>
      </c>
      <c r="N1071" s="5" t="s">
        <v>82</v>
      </c>
      <c r="O1071" s="83"/>
      <c r="P1071" s="20">
        <v>1</v>
      </c>
      <c r="Q1071" s="143">
        <f t="shared" si="657"/>
        <v>100</v>
      </c>
      <c r="R1071" s="21" t="s">
        <v>139</v>
      </c>
      <c r="S1071" s="8" t="s">
        <v>232</v>
      </c>
      <c r="T1071" s="7" t="s">
        <v>226</v>
      </c>
    </row>
    <row r="1072" spans="1:20" ht="28">
      <c r="A1072" s="107" t="s">
        <v>1105</v>
      </c>
      <c r="B1072" s="109" t="s">
        <v>1137</v>
      </c>
      <c r="C1072" s="5"/>
      <c r="D1072" s="5" t="s">
        <v>270</v>
      </c>
      <c r="E1072" s="132">
        <f t="shared" si="704"/>
        <v>394.3</v>
      </c>
      <c r="F1072" s="139">
        <f t="shared" si="692"/>
        <v>378.9</v>
      </c>
      <c r="G1072" s="149"/>
      <c r="H1072" s="82" t="str">
        <f t="shared" si="654"/>
        <v>0 percent up in Eifelian international stage</v>
      </c>
      <c r="I1072" s="142" t="str">
        <f t="shared" si="655"/>
        <v>100 percent up in Givetian international stage</v>
      </c>
      <c r="J1072" s="7">
        <v>0</v>
      </c>
      <c r="K1072" s="129">
        <f t="shared" si="656"/>
        <v>0</v>
      </c>
      <c r="L1072" s="8" t="s">
        <v>140</v>
      </c>
      <c r="M1072" s="5" t="s">
        <v>82</v>
      </c>
      <c r="N1072" s="5" t="s">
        <v>82</v>
      </c>
      <c r="O1072" s="83"/>
      <c r="P1072" s="20">
        <v>1</v>
      </c>
      <c r="Q1072" s="143">
        <f t="shared" si="657"/>
        <v>100</v>
      </c>
      <c r="R1072" s="21" t="s">
        <v>139</v>
      </c>
      <c r="S1072" s="8" t="s">
        <v>232</v>
      </c>
      <c r="T1072" s="7" t="s">
        <v>226</v>
      </c>
    </row>
    <row r="1073" spans="1:20" ht="28">
      <c r="A1073" s="107" t="s">
        <v>1105</v>
      </c>
      <c r="B1073" s="108" t="s">
        <v>1138</v>
      </c>
      <c r="C1073" s="5"/>
      <c r="D1073" s="5" t="s">
        <v>1109</v>
      </c>
      <c r="E1073" s="132">
        <f t="shared" si="704"/>
        <v>394.3</v>
      </c>
      <c r="F1073" s="139">
        <f>$O$1081-P1073*($O$1081-$O$1070)</f>
        <v>385.3</v>
      </c>
      <c r="G1073" s="149"/>
      <c r="H1073" s="82" t="str">
        <f t="shared" si="654"/>
        <v>0 percent up in Eifelian international stage</v>
      </c>
      <c r="I1073" s="142" t="str">
        <f t="shared" si="655"/>
        <v>100 percent up in Eifelian international stage</v>
      </c>
      <c r="J1073" s="7">
        <v>0</v>
      </c>
      <c r="K1073" s="129">
        <f t="shared" si="656"/>
        <v>0</v>
      </c>
      <c r="L1073" s="8" t="s">
        <v>140</v>
      </c>
      <c r="M1073" s="5" t="s">
        <v>82</v>
      </c>
      <c r="N1073" s="5" t="s">
        <v>82</v>
      </c>
      <c r="O1073" s="83"/>
      <c r="P1073" s="20">
        <v>1</v>
      </c>
      <c r="Q1073" s="143">
        <f t="shared" si="657"/>
        <v>100</v>
      </c>
      <c r="R1073" s="21" t="s">
        <v>140</v>
      </c>
      <c r="S1073" s="8" t="s">
        <v>232</v>
      </c>
      <c r="T1073" s="7" t="s">
        <v>226</v>
      </c>
    </row>
    <row r="1074" spans="1:20" ht="28">
      <c r="A1074" s="107" t="s">
        <v>1105</v>
      </c>
      <c r="B1074" s="109" t="s">
        <v>1139</v>
      </c>
      <c r="C1074" s="5"/>
      <c r="D1074" s="5" t="s">
        <v>82</v>
      </c>
      <c r="E1074" s="132">
        <f t="shared" si="704"/>
        <v>394.3</v>
      </c>
      <c r="F1074" s="139">
        <f>$O$1081-P1074*($O$1081-$O$1070)</f>
        <v>385.3</v>
      </c>
      <c r="G1074" s="149"/>
      <c r="H1074" s="82" t="str">
        <f t="shared" si="654"/>
        <v>0 percent up in Eifelian international stage</v>
      </c>
      <c r="I1074" s="142" t="str">
        <f t="shared" si="655"/>
        <v>100 percent up in Eifelian international stage</v>
      </c>
      <c r="J1074" s="7">
        <v>0</v>
      </c>
      <c r="K1074" s="129">
        <f t="shared" si="656"/>
        <v>0</v>
      </c>
      <c r="L1074" s="8" t="s">
        <v>140</v>
      </c>
      <c r="M1074" s="5" t="s">
        <v>82</v>
      </c>
      <c r="N1074" s="5" t="s">
        <v>82</v>
      </c>
      <c r="O1074" s="83"/>
      <c r="P1074" s="20">
        <v>1</v>
      </c>
      <c r="Q1074" s="143">
        <f t="shared" si="657"/>
        <v>100</v>
      </c>
      <c r="R1074" s="21" t="s">
        <v>140</v>
      </c>
      <c r="S1074" s="8" t="s">
        <v>232</v>
      </c>
      <c r="T1074" s="7" t="s">
        <v>226</v>
      </c>
    </row>
    <row r="1075" spans="1:20" ht="28">
      <c r="A1075" s="107" t="s">
        <v>1105</v>
      </c>
      <c r="B1075" s="109" t="s">
        <v>1140</v>
      </c>
      <c r="C1075" s="5"/>
      <c r="D1075" s="5" t="s">
        <v>248</v>
      </c>
      <c r="E1075" s="132">
        <f t="shared" si="704"/>
        <v>394.3</v>
      </c>
      <c r="F1075" s="139">
        <f>$O$1070-P1075*($O$1070-$O$1058)</f>
        <v>384.90615384615381</v>
      </c>
      <c r="G1075" s="149"/>
      <c r="H1075" s="82" t="str">
        <f t="shared" si="654"/>
        <v>0 percent up in Eifelian international stage</v>
      </c>
      <c r="I1075" s="142" t="str">
        <f t="shared" si="655"/>
        <v>6.2 percent up in Givetian international stage</v>
      </c>
      <c r="J1075" s="7">
        <v>0</v>
      </c>
      <c r="K1075" s="129">
        <f t="shared" si="656"/>
        <v>0</v>
      </c>
      <c r="L1075" s="8" t="s">
        <v>140</v>
      </c>
      <c r="M1075" s="5" t="s">
        <v>82</v>
      </c>
      <c r="N1075" s="5" t="s">
        <v>82</v>
      </c>
      <c r="O1075" s="83"/>
      <c r="P1075" s="20">
        <v>6.1538461538466788E-2</v>
      </c>
      <c r="Q1075" s="143">
        <f t="shared" si="657"/>
        <v>6.2</v>
      </c>
      <c r="R1075" s="21" t="s">
        <v>139</v>
      </c>
      <c r="S1075" s="8" t="s">
        <v>246</v>
      </c>
      <c r="T1075" s="7" t="s">
        <v>226</v>
      </c>
    </row>
    <row r="1076" spans="1:20" ht="28">
      <c r="A1076" s="107"/>
      <c r="B1076" s="109" t="s">
        <v>1726</v>
      </c>
      <c r="C1076" s="5"/>
      <c r="D1076" s="5"/>
      <c r="E1076" s="132">
        <f t="shared" ref="E1076:E1078" si="705">$O$1081-J1076*($O$1081-$O$1070)</f>
        <v>389.8</v>
      </c>
      <c r="F1076" s="139">
        <f>$O$1081-P1076*($O$1081-$O$1070)</f>
        <v>385.3</v>
      </c>
      <c r="G1076" s="149" t="s">
        <v>1601</v>
      </c>
      <c r="H1076" s="82" t="str">
        <f t="shared" ref="H1076:H1078" si="706">CONCATENATE(K1076," percent up in ",L1076," international stage")</f>
        <v>50 percent up in Eifelian international stage</v>
      </c>
      <c r="I1076" s="142" t="str">
        <f t="shared" ref="I1076:I1078" si="707">CONCATENATE(Q1076," percent up in ",R1076," international stage")</f>
        <v>100 percent up in Eifelian international stage</v>
      </c>
      <c r="J1076" s="7">
        <v>0.5</v>
      </c>
      <c r="K1076" s="129">
        <f t="shared" ref="K1076:K1078" si="708">ROUND(J1076*100,1)</f>
        <v>50</v>
      </c>
      <c r="L1076" s="8" t="s">
        <v>140</v>
      </c>
      <c r="M1076" s="5"/>
      <c r="O1076" s="83"/>
      <c r="P1076" s="20">
        <v>1</v>
      </c>
      <c r="Q1076" s="143">
        <f t="shared" ref="Q1076:Q1078" si="709">ROUND(P1076*100,1)</f>
        <v>100</v>
      </c>
      <c r="R1076" s="21" t="s">
        <v>140</v>
      </c>
      <c r="S1076" s="151" t="s">
        <v>1601</v>
      </c>
    </row>
    <row r="1077" spans="1:20" ht="56">
      <c r="A1077" s="107"/>
      <c r="B1077" s="109" t="s">
        <v>1878</v>
      </c>
      <c r="C1077" s="5"/>
      <c r="D1077" s="5"/>
      <c r="E1077" s="132">
        <f t="shared" ref="E1077" si="710">$O$1081-J1077*($O$1081-$O$1070)</f>
        <v>391.33</v>
      </c>
      <c r="F1077" s="139">
        <f>$O$1081-P1077*($O$1081-$O$1070)</f>
        <v>388.36</v>
      </c>
      <c r="G1077" s="149" t="s">
        <v>1879</v>
      </c>
      <c r="H1077" s="82" t="str">
        <f t="shared" ref="H1077" si="711">CONCATENATE(K1077," percent up in ",L1077," international stage")</f>
        <v>33 percent up in Eifelian international stage</v>
      </c>
      <c r="I1077" s="142" t="str">
        <f t="shared" ref="I1077" si="712">CONCATENATE(Q1077," percent up in ",R1077," international stage")</f>
        <v>66 percent up in Eifelian international stage</v>
      </c>
      <c r="J1077" s="7">
        <v>0.33</v>
      </c>
      <c r="K1077" s="129">
        <f t="shared" ref="K1077" si="713">ROUND(J1077*100,1)</f>
        <v>33</v>
      </c>
      <c r="L1077" s="8" t="s">
        <v>140</v>
      </c>
      <c r="M1077" s="5"/>
      <c r="O1077" s="83"/>
      <c r="P1077" s="20">
        <v>0.66</v>
      </c>
      <c r="Q1077" s="143">
        <f t="shared" ref="Q1077" si="714">ROUND(P1077*100,1)</f>
        <v>66</v>
      </c>
      <c r="R1077" s="21" t="s">
        <v>140</v>
      </c>
      <c r="S1077" s="149" t="s">
        <v>1879</v>
      </c>
    </row>
    <row r="1078" spans="1:20" ht="28">
      <c r="A1078" s="107"/>
      <c r="B1078" s="109" t="s">
        <v>1727</v>
      </c>
      <c r="C1078" s="5"/>
      <c r="D1078" s="5"/>
      <c r="E1078" s="132">
        <f t="shared" si="705"/>
        <v>394.3</v>
      </c>
      <c r="F1078" s="139">
        <f>$O$1081-P1078*($O$1081-$O$1070)</f>
        <v>389.8</v>
      </c>
      <c r="G1078" s="149" t="s">
        <v>1602</v>
      </c>
      <c r="H1078" s="82" t="str">
        <f t="shared" si="706"/>
        <v>0 percent up in Eifelian international stage</v>
      </c>
      <c r="I1078" s="142" t="str">
        <f t="shared" si="707"/>
        <v>50 percent up in Eifelian international stage</v>
      </c>
      <c r="J1078" s="7">
        <v>0</v>
      </c>
      <c r="K1078" s="129">
        <f t="shared" si="708"/>
        <v>0</v>
      </c>
      <c r="L1078" s="8" t="s">
        <v>140</v>
      </c>
      <c r="M1078" s="5"/>
      <c r="O1078" s="83"/>
      <c r="P1078" s="20">
        <v>0.5</v>
      </c>
      <c r="Q1078" s="143">
        <f t="shared" si="709"/>
        <v>50</v>
      </c>
      <c r="R1078" s="21" t="s">
        <v>140</v>
      </c>
      <c r="S1078" s="151" t="s">
        <v>1602</v>
      </c>
    </row>
    <row r="1079" spans="1:20" ht="42">
      <c r="A1079" s="107"/>
      <c r="B1079" s="109" t="s">
        <v>1961</v>
      </c>
      <c r="C1079" s="5"/>
      <c r="D1079" s="5"/>
      <c r="E1079" s="132">
        <f t="shared" ref="E1079" si="715">$O$1081-J1079*($O$1081-$O$1070)</f>
        <v>394.3</v>
      </c>
      <c r="F1079" s="139">
        <f>$O$1081-P1079*($O$1081-$O$1070)</f>
        <v>392.5</v>
      </c>
      <c r="G1079" s="149" t="s">
        <v>1962</v>
      </c>
      <c r="H1079" s="82" t="str">
        <f t="shared" ref="H1079" si="716">CONCATENATE(K1079," percent up in ",L1079," international stage")</f>
        <v>0 percent up in Eifelian international stage</v>
      </c>
      <c r="I1079" s="142" t="str">
        <f t="shared" ref="I1079" si="717">CONCATENATE(Q1079," percent up in ",R1079," international stage")</f>
        <v>20 percent up in Eifelian international stage</v>
      </c>
      <c r="J1079" s="7">
        <v>0</v>
      </c>
      <c r="K1079" s="129">
        <f t="shared" ref="K1079" si="718">ROUND(J1079*100,1)</f>
        <v>0</v>
      </c>
      <c r="L1079" s="8" t="s">
        <v>140</v>
      </c>
      <c r="M1079" s="5"/>
      <c r="O1079" s="83"/>
      <c r="P1079" s="20">
        <v>0.2</v>
      </c>
      <c r="Q1079" s="143">
        <f t="shared" ref="Q1079" si="719">ROUND(P1079*100,1)</f>
        <v>20</v>
      </c>
      <c r="R1079" s="21" t="s">
        <v>140</v>
      </c>
      <c r="S1079" s="151"/>
    </row>
    <row r="1080" spans="1:20" ht="28">
      <c r="A1080" s="107" t="s">
        <v>1105</v>
      </c>
      <c r="B1080" s="109" t="s">
        <v>140</v>
      </c>
      <c r="C1080" s="135"/>
      <c r="D1080" s="135" t="s">
        <v>222</v>
      </c>
      <c r="E1080" s="132">
        <f t="shared" si="704"/>
        <v>394.3</v>
      </c>
      <c r="F1080" s="139">
        <f>$O$1081-P1080*($O$1081-$O$1070)</f>
        <v>385.3</v>
      </c>
      <c r="G1080" s="149"/>
      <c r="H1080" s="82" t="str">
        <f t="shared" si="654"/>
        <v>0 percent up in Eifelian international stage</v>
      </c>
      <c r="I1080" s="142" t="str">
        <f t="shared" si="655"/>
        <v>100 percent up in Eifelian international stage</v>
      </c>
      <c r="J1080" s="7">
        <v>0</v>
      </c>
      <c r="K1080" s="129">
        <f t="shared" si="656"/>
        <v>0</v>
      </c>
      <c r="L1080" s="8" t="s">
        <v>140</v>
      </c>
      <c r="M1080" s="5" t="s">
        <v>224</v>
      </c>
      <c r="N1080" s="5" t="s">
        <v>1141</v>
      </c>
      <c r="O1080" s="84">
        <f>Master_Chronostrat!I130</f>
        <v>394.3</v>
      </c>
      <c r="P1080" s="20">
        <v>1</v>
      </c>
      <c r="Q1080" s="143">
        <f t="shared" si="657"/>
        <v>100</v>
      </c>
      <c r="R1080" s="21" t="s">
        <v>140</v>
      </c>
      <c r="S1080" s="8" t="s">
        <v>224</v>
      </c>
      <c r="T1080" s="7" t="s">
        <v>226</v>
      </c>
    </row>
    <row r="1081" spans="1:20" ht="28">
      <c r="A1081" s="107" t="s">
        <v>1105</v>
      </c>
      <c r="B1081" s="109" t="s">
        <v>1142</v>
      </c>
      <c r="C1081" s="135"/>
      <c r="D1081" s="135" t="s">
        <v>222</v>
      </c>
      <c r="E1081" s="132">
        <f t="shared" si="704"/>
        <v>394.3</v>
      </c>
      <c r="F1081" s="139">
        <f>$O$1070-P1081*($O$1070-$O$1058)</f>
        <v>378.9</v>
      </c>
      <c r="G1081" s="149"/>
      <c r="H1081" s="82" t="str">
        <f t="shared" si="654"/>
        <v>0 percent up in Eifelian international stage</v>
      </c>
      <c r="I1081" s="142" t="str">
        <f t="shared" si="655"/>
        <v>100 percent up in Givetian international stage</v>
      </c>
      <c r="J1081" s="7">
        <v>0</v>
      </c>
      <c r="K1081" s="129">
        <f t="shared" si="656"/>
        <v>0</v>
      </c>
      <c r="L1081" s="8" t="s">
        <v>140</v>
      </c>
      <c r="M1081" s="5" t="s">
        <v>224</v>
      </c>
      <c r="N1081" s="5" t="s">
        <v>1143</v>
      </c>
      <c r="O1081" s="84">
        <f>Master_Chronostrat!I130</f>
        <v>394.3</v>
      </c>
      <c r="P1081" s="20">
        <v>1</v>
      </c>
      <c r="Q1081" s="143">
        <f t="shared" si="657"/>
        <v>100</v>
      </c>
      <c r="R1081" s="21" t="s">
        <v>139</v>
      </c>
      <c r="S1081" s="8" t="s">
        <v>239</v>
      </c>
      <c r="T1081" s="7" t="s">
        <v>226</v>
      </c>
    </row>
    <row r="1082" spans="1:20" ht="28">
      <c r="A1082" s="107" t="s">
        <v>1105</v>
      </c>
      <c r="B1082" s="109" t="s">
        <v>1144</v>
      </c>
      <c r="C1082" s="5"/>
      <c r="D1082" s="5" t="s">
        <v>82</v>
      </c>
      <c r="E1082" s="132">
        <f t="shared" ref="E1082:E1095" si="720">$O$1094-J1082*($O$1094-$O$1081)</f>
        <v>402.40499999999997</v>
      </c>
      <c r="F1082" s="139">
        <f t="shared" ref="F1082:F1095" si="721">$O$1094-P1082*($O$1094-$O$1081)</f>
        <v>394.3</v>
      </c>
      <c r="G1082" s="149"/>
      <c r="H1082" s="82" t="str">
        <f t="shared" si="654"/>
        <v>50 percent up in Emsian international stage</v>
      </c>
      <c r="I1082" s="142" t="str">
        <f t="shared" si="655"/>
        <v>100 percent up in Emsian international stage</v>
      </c>
      <c r="J1082" s="7">
        <v>0.5</v>
      </c>
      <c r="K1082" s="129">
        <f t="shared" si="656"/>
        <v>50</v>
      </c>
      <c r="L1082" s="8" t="s">
        <v>141</v>
      </c>
      <c r="M1082" s="5" t="s">
        <v>82</v>
      </c>
      <c r="N1082" s="5" t="s">
        <v>82</v>
      </c>
      <c r="O1082" s="83"/>
      <c r="P1082" s="20">
        <v>1</v>
      </c>
      <c r="Q1082" s="143">
        <f t="shared" si="657"/>
        <v>100</v>
      </c>
      <c r="R1082" s="21" t="s">
        <v>141</v>
      </c>
      <c r="S1082" s="8" t="s">
        <v>272</v>
      </c>
      <c r="T1082" s="7" t="s">
        <v>226</v>
      </c>
    </row>
    <row r="1083" spans="1:20" ht="28">
      <c r="A1083" s="107" t="s">
        <v>1105</v>
      </c>
      <c r="B1083" s="108" t="s">
        <v>1145</v>
      </c>
      <c r="C1083" s="5"/>
      <c r="D1083" s="5" t="s">
        <v>82</v>
      </c>
      <c r="E1083" s="132">
        <f t="shared" si="720"/>
        <v>402.40499999999997</v>
      </c>
      <c r="F1083" s="139">
        <f t="shared" si="721"/>
        <v>394.3</v>
      </c>
      <c r="G1083" s="149"/>
      <c r="H1083" s="82" t="str">
        <f t="shared" si="654"/>
        <v>50 percent up in Emsian international stage</v>
      </c>
      <c r="I1083" s="142" t="str">
        <f t="shared" si="655"/>
        <v>100 percent up in Emsian international stage</v>
      </c>
      <c r="J1083" s="7">
        <v>0.5</v>
      </c>
      <c r="K1083" s="129">
        <f t="shared" si="656"/>
        <v>50</v>
      </c>
      <c r="L1083" s="8" t="s">
        <v>141</v>
      </c>
      <c r="M1083" s="5" t="s">
        <v>82</v>
      </c>
      <c r="N1083" s="5" t="s">
        <v>82</v>
      </c>
      <c r="O1083" s="83"/>
      <c r="P1083" s="20">
        <v>1</v>
      </c>
      <c r="Q1083" s="143">
        <f t="shared" si="657"/>
        <v>100</v>
      </c>
      <c r="R1083" s="21" t="s">
        <v>141</v>
      </c>
      <c r="S1083" s="8" t="s">
        <v>272</v>
      </c>
      <c r="T1083" s="7" t="s">
        <v>226</v>
      </c>
    </row>
    <row r="1084" spans="1:20" ht="28">
      <c r="A1084" s="107" t="s">
        <v>1105</v>
      </c>
      <c r="B1084" s="109" t="s">
        <v>1146</v>
      </c>
      <c r="C1084" s="5"/>
      <c r="D1084" s="5" t="s">
        <v>82</v>
      </c>
      <c r="E1084" s="132">
        <f t="shared" si="720"/>
        <v>410.51</v>
      </c>
      <c r="F1084" s="139">
        <f t="shared" si="721"/>
        <v>394.3</v>
      </c>
      <c r="G1084" s="149"/>
      <c r="H1084" s="82" t="str">
        <f t="shared" si="654"/>
        <v>0 percent up in Emsian international stage</v>
      </c>
      <c r="I1084" s="142" t="str">
        <f t="shared" si="655"/>
        <v>100 percent up in Emsian international stage</v>
      </c>
      <c r="J1084" s="7">
        <v>0</v>
      </c>
      <c r="K1084" s="129">
        <f t="shared" si="656"/>
        <v>0</v>
      </c>
      <c r="L1084" s="8" t="s">
        <v>141</v>
      </c>
      <c r="M1084" s="5" t="s">
        <v>82</v>
      </c>
      <c r="N1084" s="5" t="s">
        <v>82</v>
      </c>
      <c r="O1084" s="83"/>
      <c r="P1084" s="20">
        <v>1</v>
      </c>
      <c r="Q1084" s="143">
        <f t="shared" si="657"/>
        <v>100</v>
      </c>
      <c r="R1084" s="21" t="s">
        <v>141</v>
      </c>
      <c r="S1084" s="8" t="s">
        <v>232</v>
      </c>
      <c r="T1084" s="7" t="s">
        <v>226</v>
      </c>
    </row>
    <row r="1085" spans="1:20" ht="28">
      <c r="A1085" s="107" t="s">
        <v>1105</v>
      </c>
      <c r="B1085" s="108" t="s">
        <v>1147</v>
      </c>
      <c r="C1085" s="5"/>
      <c r="D1085" s="5" t="s">
        <v>1109</v>
      </c>
      <c r="E1085" s="132">
        <f t="shared" si="720"/>
        <v>410.51</v>
      </c>
      <c r="F1085" s="139">
        <f t="shared" si="721"/>
        <v>394.3</v>
      </c>
      <c r="G1085" s="149"/>
      <c r="H1085" s="82" t="str">
        <f t="shared" si="654"/>
        <v>0 percent up in Emsian international stage</v>
      </c>
      <c r="I1085" s="142" t="str">
        <f t="shared" si="655"/>
        <v>100 percent up in Emsian international stage</v>
      </c>
      <c r="J1085" s="7">
        <v>0</v>
      </c>
      <c r="K1085" s="129">
        <f t="shared" si="656"/>
        <v>0</v>
      </c>
      <c r="L1085" s="8" t="s">
        <v>141</v>
      </c>
      <c r="M1085" s="5" t="s">
        <v>82</v>
      </c>
      <c r="N1085" s="5" t="s">
        <v>82</v>
      </c>
      <c r="O1085" s="83"/>
      <c r="P1085" s="20">
        <v>1</v>
      </c>
      <c r="Q1085" s="143">
        <f t="shared" si="657"/>
        <v>100</v>
      </c>
      <c r="R1085" s="21" t="s">
        <v>141</v>
      </c>
      <c r="S1085" s="8" t="s">
        <v>232</v>
      </c>
      <c r="T1085" s="7" t="s">
        <v>226</v>
      </c>
    </row>
    <row r="1086" spans="1:20" ht="28">
      <c r="A1086" s="107" t="s">
        <v>1105</v>
      </c>
      <c r="B1086" s="109" t="s">
        <v>1148</v>
      </c>
      <c r="C1086" s="5"/>
      <c r="D1086" s="5" t="s">
        <v>82</v>
      </c>
      <c r="E1086" s="132">
        <f t="shared" si="720"/>
        <v>410.51</v>
      </c>
      <c r="F1086" s="139">
        <f t="shared" si="721"/>
        <v>394.3</v>
      </c>
      <c r="G1086" s="149"/>
      <c r="H1086" s="82" t="str">
        <f t="shared" si="654"/>
        <v>0 percent up in Emsian international stage</v>
      </c>
      <c r="I1086" s="142" t="str">
        <f t="shared" si="655"/>
        <v>100 percent up in Emsian international stage</v>
      </c>
      <c r="J1086" s="7">
        <v>0</v>
      </c>
      <c r="K1086" s="129">
        <f t="shared" si="656"/>
        <v>0</v>
      </c>
      <c r="L1086" s="8" t="s">
        <v>141</v>
      </c>
      <c r="M1086" s="5" t="s">
        <v>82</v>
      </c>
      <c r="N1086" s="5" t="s">
        <v>82</v>
      </c>
      <c r="O1086" s="83"/>
      <c r="P1086" s="20">
        <v>1</v>
      </c>
      <c r="Q1086" s="143">
        <f t="shared" si="657"/>
        <v>100</v>
      </c>
      <c r="R1086" s="21" t="s">
        <v>141</v>
      </c>
      <c r="S1086" s="8" t="s">
        <v>232</v>
      </c>
      <c r="T1086" s="7" t="s">
        <v>226</v>
      </c>
    </row>
    <row r="1087" spans="1:20" ht="28">
      <c r="A1087" s="107" t="s">
        <v>1105</v>
      </c>
      <c r="B1087" s="109" t="s">
        <v>1149</v>
      </c>
      <c r="C1087" s="5"/>
      <c r="D1087" s="5" t="s">
        <v>248</v>
      </c>
      <c r="E1087" s="132">
        <f t="shared" si="720"/>
        <v>410.51</v>
      </c>
      <c r="F1087" s="139">
        <f t="shared" si="721"/>
        <v>394.3</v>
      </c>
      <c r="G1087" s="149"/>
      <c r="H1087" s="82" t="str">
        <f t="shared" si="654"/>
        <v>0 percent up in Emsian international stage</v>
      </c>
      <c r="I1087" s="142" t="str">
        <f t="shared" si="655"/>
        <v>100 percent up in Emsian international stage</v>
      </c>
      <c r="J1087" s="7">
        <v>0</v>
      </c>
      <c r="K1087" s="129">
        <f t="shared" si="656"/>
        <v>0</v>
      </c>
      <c r="L1087" s="8" t="s">
        <v>141</v>
      </c>
      <c r="M1087" s="5" t="s">
        <v>82</v>
      </c>
      <c r="N1087" s="5" t="s">
        <v>82</v>
      </c>
      <c r="O1087" s="83"/>
      <c r="P1087" s="20">
        <v>1</v>
      </c>
      <c r="Q1087" s="143">
        <f t="shared" si="657"/>
        <v>100</v>
      </c>
      <c r="R1087" s="21" t="s">
        <v>141</v>
      </c>
      <c r="S1087" s="8" t="s">
        <v>232</v>
      </c>
      <c r="T1087" s="7" t="s">
        <v>226</v>
      </c>
    </row>
    <row r="1088" spans="1:20" ht="28">
      <c r="A1088" s="107" t="s">
        <v>1105</v>
      </c>
      <c r="B1088" s="108" t="s">
        <v>1150</v>
      </c>
      <c r="C1088" s="5"/>
      <c r="D1088" s="5" t="s">
        <v>82</v>
      </c>
      <c r="E1088" s="132">
        <f t="shared" si="720"/>
        <v>410.51</v>
      </c>
      <c r="F1088" s="139">
        <f t="shared" si="721"/>
        <v>402.40499999999997</v>
      </c>
      <c r="G1088" s="149"/>
      <c r="H1088" s="82" t="str">
        <f t="shared" si="654"/>
        <v>0 percent up in Emsian international stage</v>
      </c>
      <c r="I1088" s="142" t="str">
        <f t="shared" si="655"/>
        <v>50 percent up in Emsian international stage</v>
      </c>
      <c r="J1088" s="7">
        <v>0</v>
      </c>
      <c r="K1088" s="129">
        <f t="shared" si="656"/>
        <v>0</v>
      </c>
      <c r="L1088" s="8" t="s">
        <v>141</v>
      </c>
      <c r="M1088" s="5" t="s">
        <v>82</v>
      </c>
      <c r="N1088" s="5" t="s">
        <v>82</v>
      </c>
      <c r="O1088" s="83"/>
      <c r="P1088" s="20">
        <v>0.5</v>
      </c>
      <c r="Q1088" s="143">
        <f t="shared" si="657"/>
        <v>50</v>
      </c>
      <c r="R1088" s="21" t="s">
        <v>141</v>
      </c>
      <c r="S1088" s="8" t="s">
        <v>230</v>
      </c>
      <c r="T1088" s="7" t="s">
        <v>226</v>
      </c>
    </row>
    <row r="1089" spans="1:20" ht="28">
      <c r="A1089" s="107"/>
      <c r="B1089" s="109" t="s">
        <v>1896</v>
      </c>
      <c r="C1089" s="5"/>
      <c r="D1089" s="5"/>
      <c r="E1089" s="132">
        <f t="shared" si="720"/>
        <v>397.0557</v>
      </c>
      <c r="F1089" s="139">
        <f t="shared" si="721"/>
        <v>394.3</v>
      </c>
      <c r="G1089" s="149" t="s">
        <v>1897</v>
      </c>
      <c r="H1089" s="82" t="str">
        <f t="shared" si="654"/>
        <v>83 percent up in Emsian international stage</v>
      </c>
      <c r="I1089" s="142" t="str">
        <f t="shared" si="655"/>
        <v>100 percent up in Emsian international stage</v>
      </c>
      <c r="J1089" s="7">
        <v>0.83</v>
      </c>
      <c r="K1089" s="129">
        <f t="shared" si="656"/>
        <v>83</v>
      </c>
      <c r="L1089" s="8" t="s">
        <v>141</v>
      </c>
      <c r="M1089" s="5"/>
      <c r="O1089" s="83"/>
      <c r="P1089" s="20">
        <v>1</v>
      </c>
      <c r="Q1089" s="143">
        <f t="shared" si="657"/>
        <v>100</v>
      </c>
      <c r="R1089" s="21" t="s">
        <v>141</v>
      </c>
      <c r="S1089" s="149" t="s">
        <v>1897</v>
      </c>
    </row>
    <row r="1090" spans="1:20" ht="28">
      <c r="A1090" s="107"/>
      <c r="B1090" s="109" t="s">
        <v>1728</v>
      </c>
      <c r="C1090" s="5"/>
      <c r="D1090" s="5"/>
      <c r="E1090" s="132">
        <f t="shared" ref="E1090:E1093" si="722">$O$1094-J1090*($O$1094-$O$1081)</f>
        <v>399.81139999999999</v>
      </c>
      <c r="F1090" s="139">
        <f t="shared" ref="F1090:F1093" si="723">$O$1094-P1090*($O$1094-$O$1081)</f>
        <v>394.3</v>
      </c>
      <c r="G1090" s="149" t="s">
        <v>1731</v>
      </c>
      <c r="H1090" s="82" t="str">
        <f t="shared" ref="H1090:H1093" si="724">CONCATENATE(K1090," percent up in ",L1090," international stage")</f>
        <v>66 percent up in Emsian international stage</v>
      </c>
      <c r="I1090" s="142" t="str">
        <f t="shared" ref="I1090:I1093" si="725">CONCATENATE(Q1090," percent up in ",R1090," international stage")</f>
        <v>100 percent up in Emsian international stage</v>
      </c>
      <c r="J1090" s="7">
        <v>0.66</v>
      </c>
      <c r="K1090" s="129">
        <f t="shared" ref="K1090:K1093" si="726">ROUND(J1090*100,1)</f>
        <v>66</v>
      </c>
      <c r="L1090" s="8" t="s">
        <v>141</v>
      </c>
      <c r="M1090" s="5"/>
      <c r="O1090" s="83"/>
      <c r="P1090" s="20">
        <v>1</v>
      </c>
      <c r="Q1090" s="143">
        <f t="shared" ref="Q1090:Q1093" si="727">ROUND(P1090*100,1)</f>
        <v>100</v>
      </c>
      <c r="R1090" s="21" t="s">
        <v>141</v>
      </c>
      <c r="S1090" s="151" t="s">
        <v>1667</v>
      </c>
    </row>
    <row r="1091" spans="1:20" ht="28">
      <c r="A1091" s="107"/>
      <c r="B1091" s="109" t="s">
        <v>1729</v>
      </c>
      <c r="C1091" s="5"/>
      <c r="D1091" s="5"/>
      <c r="E1091" s="132">
        <f t="shared" si="722"/>
        <v>405.16070000000002</v>
      </c>
      <c r="F1091" s="139">
        <f t="shared" si="723"/>
        <v>399.81139999999999</v>
      </c>
      <c r="G1091" s="149" t="s">
        <v>1732</v>
      </c>
      <c r="H1091" s="82" t="str">
        <f t="shared" si="724"/>
        <v>33 percent up in Emsian international stage</v>
      </c>
      <c r="I1091" s="142" t="str">
        <f t="shared" si="725"/>
        <v>66 percent up in Emsian international stage</v>
      </c>
      <c r="J1091" s="7">
        <v>0.33</v>
      </c>
      <c r="K1091" s="129">
        <f t="shared" si="726"/>
        <v>33</v>
      </c>
      <c r="L1091" s="8" t="s">
        <v>141</v>
      </c>
      <c r="M1091" s="5"/>
      <c r="O1091" s="83"/>
      <c r="P1091" s="20">
        <v>0.66</v>
      </c>
      <c r="Q1091" s="143">
        <f t="shared" si="727"/>
        <v>66</v>
      </c>
      <c r="R1091" s="21" t="s">
        <v>141</v>
      </c>
      <c r="S1091" s="151" t="s">
        <v>1668</v>
      </c>
    </row>
    <row r="1092" spans="1:20" ht="28">
      <c r="A1092" s="107"/>
      <c r="B1092" s="109" t="s">
        <v>1894</v>
      </c>
      <c r="C1092" s="5"/>
      <c r="D1092" s="5"/>
      <c r="E1092" s="132">
        <f t="shared" ref="E1092" si="728">$O$1094-J1092*($O$1094-$O$1081)</f>
        <v>410.51</v>
      </c>
      <c r="F1092" s="139">
        <f t="shared" ref="F1092" si="729">$O$1094-P1092*($O$1094-$O$1081)</f>
        <v>407.7543</v>
      </c>
      <c r="G1092" s="149" t="s">
        <v>1895</v>
      </c>
      <c r="H1092" s="82" t="str">
        <f t="shared" ref="H1092" si="730">CONCATENATE(K1092," percent up in ",L1092," international stage")</f>
        <v>0 percent up in Emsian international stage</v>
      </c>
      <c r="I1092" s="142" t="str">
        <f t="shared" ref="I1092" si="731">CONCATENATE(Q1092," percent up in ",R1092," international stage")</f>
        <v>17 percent up in Emsian international stage</v>
      </c>
      <c r="J1092" s="7">
        <v>0</v>
      </c>
      <c r="K1092" s="129">
        <f t="shared" ref="K1092" si="732">ROUND(J1092*100,1)</f>
        <v>0</v>
      </c>
      <c r="L1092" s="8" t="s">
        <v>141</v>
      </c>
      <c r="M1092" s="5"/>
      <c r="O1092" s="83"/>
      <c r="P1092" s="20">
        <v>0.17</v>
      </c>
      <c r="Q1092" s="143">
        <f t="shared" ref="Q1092" si="733">ROUND(P1092*100,1)</f>
        <v>17</v>
      </c>
      <c r="R1092" s="21" t="s">
        <v>141</v>
      </c>
      <c r="S1092" s="149" t="s">
        <v>1895</v>
      </c>
    </row>
    <row r="1093" spans="1:20" ht="42">
      <c r="A1093" s="107"/>
      <c r="B1093" s="109" t="s">
        <v>1730</v>
      </c>
      <c r="C1093" s="5"/>
      <c r="D1093" s="5"/>
      <c r="E1093" s="132">
        <f t="shared" si="722"/>
        <v>410.51</v>
      </c>
      <c r="F1093" s="139">
        <f t="shared" si="723"/>
        <v>405.16070000000002</v>
      </c>
      <c r="G1093" s="149" t="s">
        <v>1733</v>
      </c>
      <c r="H1093" s="82" t="str">
        <f t="shared" si="724"/>
        <v>0 percent up in Emsian international stage</v>
      </c>
      <c r="I1093" s="142" t="str">
        <f t="shared" si="725"/>
        <v>33 percent up in Emsian international stage</v>
      </c>
      <c r="J1093" s="7">
        <v>0</v>
      </c>
      <c r="K1093" s="129">
        <f t="shared" si="726"/>
        <v>0</v>
      </c>
      <c r="L1093" s="8" t="s">
        <v>141</v>
      </c>
      <c r="M1093" s="5"/>
      <c r="O1093" s="83"/>
      <c r="P1093" s="20">
        <v>0.33</v>
      </c>
      <c r="Q1093" s="143">
        <f t="shared" si="727"/>
        <v>33</v>
      </c>
      <c r="R1093" s="21" t="s">
        <v>141</v>
      </c>
      <c r="S1093" s="151" t="s">
        <v>1669</v>
      </c>
    </row>
    <row r="1094" spans="1:20" ht="28">
      <c r="A1094" s="107" t="s">
        <v>1105</v>
      </c>
      <c r="B1094" s="109" t="s">
        <v>141</v>
      </c>
      <c r="C1094" s="135"/>
      <c r="D1094" s="135" t="s">
        <v>222</v>
      </c>
      <c r="E1094" s="132">
        <f t="shared" si="720"/>
        <v>410.51</v>
      </c>
      <c r="F1094" s="139">
        <f t="shared" si="721"/>
        <v>394.3</v>
      </c>
      <c r="G1094" s="149"/>
      <c r="H1094" s="82" t="str">
        <f t="shared" si="654"/>
        <v>0 percent up in Emsian international stage</v>
      </c>
      <c r="I1094" s="142" t="str">
        <f t="shared" si="655"/>
        <v>100 percent up in Emsian international stage</v>
      </c>
      <c r="J1094" s="7">
        <v>0</v>
      </c>
      <c r="K1094" s="129">
        <f t="shared" si="656"/>
        <v>0</v>
      </c>
      <c r="L1094" s="8" t="s">
        <v>141</v>
      </c>
      <c r="M1094" s="5" t="s">
        <v>224</v>
      </c>
      <c r="N1094" s="5" t="s">
        <v>1151</v>
      </c>
      <c r="O1094" s="84">
        <f>Master_Chronostrat!I133</f>
        <v>410.51</v>
      </c>
      <c r="P1094" s="20">
        <v>1</v>
      </c>
      <c r="Q1094" s="143">
        <f t="shared" si="657"/>
        <v>100</v>
      </c>
      <c r="R1094" s="21" t="s">
        <v>141</v>
      </c>
      <c r="S1094" s="8" t="s">
        <v>224</v>
      </c>
      <c r="T1094" s="7" t="s">
        <v>226</v>
      </c>
    </row>
    <row r="1095" spans="1:20" ht="34">
      <c r="A1095" s="107"/>
      <c r="B1095" s="109" t="s">
        <v>1884</v>
      </c>
      <c r="C1095" s="5"/>
      <c r="D1095" s="5"/>
      <c r="E1095" s="132">
        <f t="shared" si="720"/>
        <v>410.51</v>
      </c>
      <c r="F1095" s="139">
        <f t="shared" si="721"/>
        <v>394.3</v>
      </c>
      <c r="G1095" s="149" t="s">
        <v>1885</v>
      </c>
      <c r="H1095" s="82" t="str">
        <f t="shared" si="654"/>
        <v>0 percent up in Emsian international stage</v>
      </c>
      <c r="I1095" s="142" t="str">
        <f t="shared" si="655"/>
        <v>100 percent up in Emsian international stage</v>
      </c>
      <c r="J1095" s="7">
        <v>0</v>
      </c>
      <c r="K1095" s="129">
        <f t="shared" si="656"/>
        <v>0</v>
      </c>
      <c r="L1095" s="8" t="s">
        <v>141</v>
      </c>
      <c r="M1095" s="5"/>
      <c r="O1095" s="83"/>
      <c r="P1095" s="20">
        <v>1</v>
      </c>
      <c r="Q1095" s="143">
        <f t="shared" ref="Q1095" si="734">ROUND(P1095*100,1)</f>
        <v>100</v>
      </c>
      <c r="R1095" s="21" t="s">
        <v>141</v>
      </c>
      <c r="S1095" s="149" t="s">
        <v>1885</v>
      </c>
    </row>
    <row r="1096" spans="1:20" ht="28">
      <c r="A1096" s="107" t="s">
        <v>1105</v>
      </c>
      <c r="B1096" s="109" t="s">
        <v>1152</v>
      </c>
      <c r="C1096" s="5"/>
      <c r="D1096" s="5" t="s">
        <v>248</v>
      </c>
      <c r="E1096" s="132">
        <f t="shared" ref="E1096:E1104" si="735">$O$1103-J1096*($O$1103-$O$1094)</f>
        <v>411.85999999999996</v>
      </c>
      <c r="F1096" s="139">
        <f>$O$1103-P1096*($O$1103-$O$1094)</f>
        <v>410.51</v>
      </c>
      <c r="G1096" s="149"/>
      <c r="H1096" s="82" t="str">
        <f t="shared" si="654"/>
        <v>28.6 percent up in Pragian international stage</v>
      </c>
      <c r="I1096" s="142" t="str">
        <f t="shared" si="655"/>
        <v>100 percent up in Pragian international stage</v>
      </c>
      <c r="J1096" s="7">
        <v>0.28571428571428381</v>
      </c>
      <c r="K1096" s="129">
        <f t="shared" si="656"/>
        <v>28.6</v>
      </c>
      <c r="L1096" s="8" t="s">
        <v>144</v>
      </c>
      <c r="M1096" s="5" t="s">
        <v>82</v>
      </c>
      <c r="N1096" s="5" t="s">
        <v>82</v>
      </c>
      <c r="O1096" s="83"/>
      <c r="P1096" s="20">
        <v>1</v>
      </c>
      <c r="Q1096" s="143">
        <f t="shared" si="657"/>
        <v>100</v>
      </c>
      <c r="R1096" s="21" t="s">
        <v>144</v>
      </c>
      <c r="S1096" s="8" t="s">
        <v>272</v>
      </c>
      <c r="T1096" s="7" t="s">
        <v>226</v>
      </c>
    </row>
    <row r="1097" spans="1:20" ht="28">
      <c r="A1097" s="107" t="s">
        <v>1105</v>
      </c>
      <c r="B1097" s="109" t="s">
        <v>1153</v>
      </c>
      <c r="C1097" s="5"/>
      <c r="D1097" s="5" t="s">
        <v>270</v>
      </c>
      <c r="E1097" s="132">
        <f t="shared" si="735"/>
        <v>412.4</v>
      </c>
      <c r="F1097" s="139">
        <f>$O$1094-P1097*($O$1094-$O$1081)</f>
        <v>394.3</v>
      </c>
      <c r="G1097" s="149"/>
      <c r="H1097" s="82" t="str">
        <f t="shared" si="654"/>
        <v>0 percent up in Pragian international stage</v>
      </c>
      <c r="I1097" s="142" t="str">
        <f t="shared" si="655"/>
        <v>100 percent up in Emsian international stage</v>
      </c>
      <c r="J1097" s="7">
        <v>0</v>
      </c>
      <c r="K1097" s="129">
        <f t="shared" si="656"/>
        <v>0</v>
      </c>
      <c r="L1097" s="8" t="s">
        <v>144</v>
      </c>
      <c r="M1097" s="5" t="s">
        <v>82</v>
      </c>
      <c r="N1097" s="5" t="s">
        <v>82</v>
      </c>
      <c r="O1097" s="83"/>
      <c r="P1097" s="20">
        <v>1</v>
      </c>
      <c r="Q1097" s="143">
        <f t="shared" si="657"/>
        <v>100</v>
      </c>
      <c r="R1097" s="21" t="s">
        <v>141</v>
      </c>
      <c r="S1097" s="8" t="s">
        <v>232</v>
      </c>
      <c r="T1097" s="7" t="s">
        <v>226</v>
      </c>
    </row>
    <row r="1098" spans="1:20" ht="28">
      <c r="A1098" s="107" t="s">
        <v>1105</v>
      </c>
      <c r="B1098" s="109" t="s">
        <v>1154</v>
      </c>
      <c r="C1098" s="5"/>
      <c r="D1098" s="5" t="s">
        <v>270</v>
      </c>
      <c r="E1098" s="132">
        <f t="shared" si="735"/>
        <v>412.4</v>
      </c>
      <c r="F1098" s="139">
        <f t="shared" ref="F1098:F1105" si="736">$O$1103-P1098*($O$1103-$O$1094)</f>
        <v>410.51</v>
      </c>
      <c r="G1098" s="149"/>
      <c r="H1098" s="82" t="str">
        <f t="shared" si="654"/>
        <v>0 percent up in Pragian international stage</v>
      </c>
      <c r="I1098" s="142" t="str">
        <f t="shared" si="655"/>
        <v>100 percent up in Pragian international stage</v>
      </c>
      <c r="J1098" s="7">
        <v>0</v>
      </c>
      <c r="K1098" s="129">
        <f t="shared" si="656"/>
        <v>0</v>
      </c>
      <c r="L1098" s="8" t="s">
        <v>144</v>
      </c>
      <c r="M1098" s="5" t="s">
        <v>82</v>
      </c>
      <c r="N1098" s="5" t="s">
        <v>82</v>
      </c>
      <c r="O1098" s="83"/>
      <c r="P1098" s="20">
        <v>1</v>
      </c>
      <c r="Q1098" s="143">
        <f t="shared" si="657"/>
        <v>100</v>
      </c>
      <c r="R1098" s="21" t="s">
        <v>144</v>
      </c>
      <c r="S1098" s="8" t="s">
        <v>232</v>
      </c>
      <c r="T1098" s="7" t="s">
        <v>226</v>
      </c>
    </row>
    <row r="1099" spans="1:20" ht="28">
      <c r="A1099" s="107"/>
      <c r="B1099" s="109" t="s">
        <v>1891</v>
      </c>
      <c r="C1099" s="5"/>
      <c r="D1099" s="5"/>
      <c r="E1099" s="132">
        <f t="shared" si="735"/>
        <v>411.45499999999998</v>
      </c>
      <c r="F1099" s="139">
        <f t="shared" si="736"/>
        <v>410.51</v>
      </c>
      <c r="G1099" s="149" t="s">
        <v>1601</v>
      </c>
      <c r="H1099" s="82" t="str">
        <f t="shared" ref="H1099:H1102" si="737">CONCATENATE(K1099," percent up in ",L1099," international stage")</f>
        <v>50 percent up in Pragian international stage</v>
      </c>
      <c r="I1099" s="142" t="str">
        <f t="shared" ref="I1099:I1102" si="738">CONCATENATE(Q1099," percent up in ",R1099," international stage")</f>
        <v>100 percent up in  international stage</v>
      </c>
      <c r="J1099" s="7">
        <v>0.5</v>
      </c>
      <c r="K1099" s="129">
        <f t="shared" ref="K1099:K1102" si="739">ROUND(J1099*100,1)</f>
        <v>50</v>
      </c>
      <c r="L1099" s="8" t="s">
        <v>144</v>
      </c>
      <c r="M1099" s="5" t="s">
        <v>82</v>
      </c>
      <c r="N1099" s="5" t="s">
        <v>82</v>
      </c>
      <c r="O1099" s="83"/>
      <c r="P1099" s="20">
        <v>1</v>
      </c>
      <c r="Q1099" s="143">
        <f t="shared" ref="Q1099:Q1102" si="740">ROUND(P1099*100,1)</f>
        <v>100</v>
      </c>
      <c r="S1099" s="151" t="s">
        <v>1601</v>
      </c>
    </row>
    <row r="1100" spans="1:20" ht="34">
      <c r="A1100" s="107"/>
      <c r="B1100" s="109" t="s">
        <v>1892</v>
      </c>
      <c r="C1100" s="5"/>
      <c r="D1100" s="5"/>
      <c r="E1100" s="132">
        <f t="shared" si="735"/>
        <v>411.92750000000001</v>
      </c>
      <c r="F1100" s="139">
        <f t="shared" si="736"/>
        <v>411.45499999999998</v>
      </c>
      <c r="G1100" s="149" t="s">
        <v>1880</v>
      </c>
      <c r="H1100" s="82" t="str">
        <f t="shared" ref="H1100:H1101" si="741">CONCATENATE(K1100," percent up in ",L1100," international stage")</f>
        <v>25 percent up in Pragian international stage</v>
      </c>
      <c r="I1100" s="142" t="str">
        <f t="shared" ref="I1100:I1101" si="742">CONCATENATE(Q1100," percent up in ",R1100," international stage")</f>
        <v>50 percent up in  international stage</v>
      </c>
      <c r="J1100" s="7">
        <v>0.25</v>
      </c>
      <c r="K1100" s="129">
        <f t="shared" ref="K1100:K1101" si="743">ROUND(J1100*100,1)</f>
        <v>25</v>
      </c>
      <c r="L1100" s="8" t="s">
        <v>144</v>
      </c>
      <c r="M1100" s="5" t="s">
        <v>82</v>
      </c>
      <c r="N1100" s="5" t="s">
        <v>82</v>
      </c>
      <c r="O1100" s="83"/>
      <c r="P1100" s="20">
        <v>0.5</v>
      </c>
      <c r="Q1100" s="143">
        <f t="shared" ref="Q1100:Q1101" si="744">ROUND(P1100*100,1)</f>
        <v>50</v>
      </c>
      <c r="S1100" s="149" t="s">
        <v>1880</v>
      </c>
    </row>
    <row r="1101" spans="1:20" ht="34">
      <c r="A1101" s="107"/>
      <c r="B1101" s="109" t="s">
        <v>1893</v>
      </c>
      <c r="C1101" s="5"/>
      <c r="D1101" s="5"/>
      <c r="E1101" s="132">
        <f t="shared" si="735"/>
        <v>412.4</v>
      </c>
      <c r="F1101" s="139">
        <f t="shared" si="736"/>
        <v>411.92750000000001</v>
      </c>
      <c r="G1101" s="149" t="s">
        <v>1881</v>
      </c>
      <c r="H1101" s="82" t="str">
        <f t="shared" si="741"/>
        <v>0 percent up in Pragian international stage</v>
      </c>
      <c r="I1101" s="142" t="str">
        <f t="shared" si="742"/>
        <v>25 percent up in  international stage</v>
      </c>
      <c r="J1101" s="7">
        <v>0</v>
      </c>
      <c r="K1101" s="129">
        <f t="shared" si="743"/>
        <v>0</v>
      </c>
      <c r="L1101" s="8" t="s">
        <v>144</v>
      </c>
      <c r="M1101" s="5" t="s">
        <v>82</v>
      </c>
      <c r="N1101" s="5" t="s">
        <v>82</v>
      </c>
      <c r="O1101" s="83"/>
      <c r="P1101" s="20">
        <v>0.25</v>
      </c>
      <c r="Q1101" s="143">
        <f t="shared" si="744"/>
        <v>25</v>
      </c>
      <c r="S1101" s="149" t="s">
        <v>1881</v>
      </c>
    </row>
    <row r="1102" spans="1:20" ht="28">
      <c r="A1102" s="107"/>
      <c r="B1102" s="109" t="s">
        <v>1890</v>
      </c>
      <c r="C1102" s="5"/>
      <c r="D1102" s="5"/>
      <c r="E1102" s="132">
        <f t="shared" si="735"/>
        <v>412.4</v>
      </c>
      <c r="F1102" s="139">
        <f t="shared" si="736"/>
        <v>411.45499999999998</v>
      </c>
      <c r="G1102" s="149" t="s">
        <v>1602</v>
      </c>
      <c r="H1102" s="82" t="str">
        <f t="shared" si="737"/>
        <v>0 percent up in Pragian international stage</v>
      </c>
      <c r="I1102" s="142" t="str">
        <f t="shared" si="738"/>
        <v>50 percent up in  international stage</v>
      </c>
      <c r="J1102" s="7">
        <v>0</v>
      </c>
      <c r="K1102" s="129">
        <f t="shared" si="739"/>
        <v>0</v>
      </c>
      <c r="L1102" s="8" t="s">
        <v>144</v>
      </c>
      <c r="M1102" s="5" t="s">
        <v>82</v>
      </c>
      <c r="N1102" s="5" t="s">
        <v>82</v>
      </c>
      <c r="O1102" s="83"/>
      <c r="P1102" s="20">
        <v>0.5</v>
      </c>
      <c r="Q1102" s="143">
        <f t="shared" si="740"/>
        <v>50</v>
      </c>
      <c r="S1102" s="151" t="s">
        <v>1602</v>
      </c>
    </row>
    <row r="1103" spans="1:20" ht="28">
      <c r="A1103" s="107" t="s">
        <v>1105</v>
      </c>
      <c r="B1103" s="109" t="s">
        <v>144</v>
      </c>
      <c r="C1103" s="135"/>
      <c r="D1103" s="135" t="s">
        <v>222</v>
      </c>
      <c r="E1103" s="132">
        <f t="shared" si="735"/>
        <v>412.4</v>
      </c>
      <c r="F1103" s="139">
        <f t="shared" si="736"/>
        <v>410.51</v>
      </c>
      <c r="G1103" s="149"/>
      <c r="H1103" s="82" t="str">
        <f t="shared" si="654"/>
        <v>0 percent up in Pragian international stage</v>
      </c>
      <c r="I1103" s="142" t="str">
        <f t="shared" si="655"/>
        <v>100 percent up in Pragian international stage</v>
      </c>
      <c r="J1103" s="7">
        <v>0</v>
      </c>
      <c r="K1103" s="129">
        <f t="shared" si="656"/>
        <v>0</v>
      </c>
      <c r="L1103" s="8" t="s">
        <v>144</v>
      </c>
      <c r="M1103" s="5" t="s">
        <v>224</v>
      </c>
      <c r="N1103" s="5" t="s">
        <v>1155</v>
      </c>
      <c r="O1103" s="84">
        <f>Master_Chronostrat!I134</f>
        <v>412.4</v>
      </c>
      <c r="P1103" s="20">
        <v>1</v>
      </c>
      <c r="Q1103" s="143">
        <f t="shared" si="657"/>
        <v>100</v>
      </c>
      <c r="R1103" s="21" t="s">
        <v>144</v>
      </c>
      <c r="S1103" s="8" t="s">
        <v>224</v>
      </c>
      <c r="T1103" s="7" t="s">
        <v>226</v>
      </c>
    </row>
    <row r="1104" spans="1:20" ht="34">
      <c r="A1104" s="107"/>
      <c r="B1104" s="109" t="s">
        <v>1886</v>
      </c>
      <c r="C1104" s="5"/>
      <c r="D1104" s="5"/>
      <c r="E1104" s="132">
        <f t="shared" si="735"/>
        <v>412.4</v>
      </c>
      <c r="F1104" s="139">
        <f t="shared" si="736"/>
        <v>410.51</v>
      </c>
      <c r="G1104" s="149" t="s">
        <v>1887</v>
      </c>
      <c r="H1104" s="82" t="str">
        <f t="shared" ref="H1104" si="745">CONCATENATE(K1104," percent up in ",L1104," international stage")</f>
        <v>0 percent up in Pragian international stage</v>
      </c>
      <c r="I1104" s="142" t="str">
        <f t="shared" ref="I1104" si="746">CONCATENATE(Q1104," percent up in ",R1104," international stage")</f>
        <v>100 percent up in Pragian international stage</v>
      </c>
      <c r="J1104" s="7">
        <v>0</v>
      </c>
      <c r="K1104" s="129">
        <f t="shared" ref="K1104" si="747">ROUND(J1104*100,1)</f>
        <v>0</v>
      </c>
      <c r="L1104" s="8" t="s">
        <v>144</v>
      </c>
      <c r="M1104" s="5"/>
      <c r="O1104" s="83"/>
      <c r="P1104" s="20">
        <v>1</v>
      </c>
      <c r="Q1104" s="143">
        <f t="shared" ref="Q1104" si="748">ROUND(P1104*100,1)</f>
        <v>100</v>
      </c>
      <c r="R1104" s="21" t="s">
        <v>144</v>
      </c>
      <c r="S1104" s="8"/>
    </row>
    <row r="1105" spans="1:20" ht="28">
      <c r="A1105" s="107" t="s">
        <v>1105</v>
      </c>
      <c r="B1105" s="109" t="s">
        <v>1156</v>
      </c>
      <c r="C1105" s="5"/>
      <c r="D1105" s="5" t="s">
        <v>248</v>
      </c>
      <c r="E1105" s="132">
        <f t="shared" ref="E1105:E1116" si="749">$O$1116-J1105*($O$1116-$O$1103)</f>
        <v>414.875</v>
      </c>
      <c r="F1105" s="139">
        <f t="shared" si="736"/>
        <v>411.85999999999996</v>
      </c>
      <c r="G1105" s="149"/>
      <c r="H1105" s="82" t="str">
        <f t="shared" si="654"/>
        <v>62.5 percent up in Lochkovian international stage</v>
      </c>
      <c r="I1105" s="142" t="str">
        <f t="shared" si="655"/>
        <v>28.6 percent up in Pragian international stage</v>
      </c>
      <c r="J1105" s="7">
        <v>0.62499999999999845</v>
      </c>
      <c r="K1105" s="129">
        <f t="shared" si="656"/>
        <v>62.5</v>
      </c>
      <c r="L1105" s="8" t="s">
        <v>146</v>
      </c>
      <c r="M1105" s="5" t="s">
        <v>82</v>
      </c>
      <c r="N1105" s="5" t="s">
        <v>82</v>
      </c>
      <c r="O1105" s="83"/>
      <c r="P1105" s="20">
        <v>0.28571428571428376</v>
      </c>
      <c r="Q1105" s="143">
        <f t="shared" si="657"/>
        <v>28.6</v>
      </c>
      <c r="R1105" s="21" t="s">
        <v>144</v>
      </c>
      <c r="S1105" s="8" t="s">
        <v>246</v>
      </c>
      <c r="T1105" s="7" t="s">
        <v>226</v>
      </c>
    </row>
    <row r="1106" spans="1:20" ht="28">
      <c r="A1106" s="107" t="s">
        <v>1105</v>
      </c>
      <c r="B1106" s="109" t="s">
        <v>1157</v>
      </c>
      <c r="C1106" s="5"/>
      <c r="D1106" s="5" t="s">
        <v>270</v>
      </c>
      <c r="E1106" s="132">
        <f t="shared" si="749"/>
        <v>419</v>
      </c>
      <c r="F1106" s="139">
        <f>$O$1116-P1106*($O$1116-$O$1103)</f>
        <v>412.4</v>
      </c>
      <c r="G1106" s="149"/>
      <c r="H1106" s="82" t="str">
        <f t="shared" si="654"/>
        <v>0 percent up in Lochkovian international stage</v>
      </c>
      <c r="I1106" s="142" t="str">
        <f t="shared" si="655"/>
        <v>100 percent up in Lochkovian international stage</v>
      </c>
      <c r="J1106" s="7">
        <v>0</v>
      </c>
      <c r="K1106" s="129">
        <f t="shared" si="656"/>
        <v>0</v>
      </c>
      <c r="L1106" s="8" t="s">
        <v>146</v>
      </c>
      <c r="M1106" s="5" t="s">
        <v>82</v>
      </c>
      <c r="N1106" s="5" t="s">
        <v>82</v>
      </c>
      <c r="O1106" s="83"/>
      <c r="P1106" s="20">
        <v>1</v>
      </c>
      <c r="Q1106" s="143">
        <f t="shared" si="657"/>
        <v>100</v>
      </c>
      <c r="R1106" s="21" t="s">
        <v>146</v>
      </c>
      <c r="S1106" s="8" t="s">
        <v>232</v>
      </c>
      <c r="T1106" s="7" t="s">
        <v>226</v>
      </c>
    </row>
    <row r="1107" spans="1:20" ht="28">
      <c r="A1107" s="107" t="s">
        <v>1105</v>
      </c>
      <c r="B1107" s="109" t="s">
        <v>1158</v>
      </c>
      <c r="C1107" s="5"/>
      <c r="D1107" s="5" t="s">
        <v>82</v>
      </c>
      <c r="E1107" s="132">
        <f t="shared" si="749"/>
        <v>419</v>
      </c>
      <c r="F1107" s="139">
        <f>$O$1094-P1107*($O$1094-$O$1081)</f>
        <v>394.3</v>
      </c>
      <c r="G1107" s="149"/>
      <c r="H1107" s="82" t="str">
        <f t="shared" si="654"/>
        <v>0 percent up in Lochkovian international stage</v>
      </c>
      <c r="I1107" s="142" t="str">
        <f t="shared" si="655"/>
        <v>100 percent up in Emsian international stage</v>
      </c>
      <c r="J1107" s="7">
        <v>0</v>
      </c>
      <c r="K1107" s="129">
        <f t="shared" si="656"/>
        <v>0</v>
      </c>
      <c r="L1107" s="8" t="s">
        <v>146</v>
      </c>
      <c r="M1107" s="5" t="s">
        <v>82</v>
      </c>
      <c r="N1107" s="5" t="s">
        <v>82</v>
      </c>
      <c r="O1107" s="83"/>
      <c r="P1107" s="20">
        <v>1</v>
      </c>
      <c r="Q1107" s="143">
        <f t="shared" si="657"/>
        <v>100</v>
      </c>
      <c r="R1107" s="21" t="s">
        <v>141</v>
      </c>
      <c r="S1107" s="8" t="s">
        <v>232</v>
      </c>
      <c r="T1107" s="7" t="s">
        <v>226</v>
      </c>
    </row>
    <row r="1108" spans="1:20" ht="28">
      <c r="A1108" s="107" t="s">
        <v>1105</v>
      </c>
      <c r="B1108" s="109" t="s">
        <v>1159</v>
      </c>
      <c r="C1108" s="5"/>
      <c r="D1108" s="5" t="s">
        <v>248</v>
      </c>
      <c r="E1108" s="132">
        <f t="shared" si="749"/>
        <v>419</v>
      </c>
      <c r="F1108" s="139">
        <f>$O$1116-P1108*($O$1116-$O$1103)</f>
        <v>414.875</v>
      </c>
      <c r="G1108" s="149"/>
      <c r="H1108" s="82" t="str">
        <f t="shared" si="654"/>
        <v>0 percent up in Lochkovian international stage</v>
      </c>
      <c r="I1108" s="142" t="str">
        <f t="shared" si="655"/>
        <v>62.5 percent up in Lochkovian international stage</v>
      </c>
      <c r="J1108" s="7">
        <v>0</v>
      </c>
      <c r="K1108" s="129">
        <f t="shared" si="656"/>
        <v>0</v>
      </c>
      <c r="L1108" s="8" t="s">
        <v>146</v>
      </c>
      <c r="M1108" s="5" t="s">
        <v>82</v>
      </c>
      <c r="N1108" s="5" t="s">
        <v>82</v>
      </c>
      <c r="O1108" s="83"/>
      <c r="P1108" s="20">
        <v>0.62499999999999856</v>
      </c>
      <c r="Q1108" s="143">
        <f t="shared" si="657"/>
        <v>62.5</v>
      </c>
      <c r="R1108" s="21" t="s">
        <v>146</v>
      </c>
      <c r="S1108" s="8" t="s">
        <v>230</v>
      </c>
      <c r="T1108" s="7" t="s">
        <v>226</v>
      </c>
    </row>
    <row r="1109" spans="1:20" ht="28">
      <c r="A1109" s="107" t="s">
        <v>1105</v>
      </c>
      <c r="B1109" s="109" t="s">
        <v>1160</v>
      </c>
      <c r="C1109" s="5"/>
      <c r="D1109" s="5" t="s">
        <v>244</v>
      </c>
      <c r="E1109" s="132">
        <f t="shared" si="749"/>
        <v>419</v>
      </c>
      <c r="F1109" s="139">
        <f>$O$1081-P1109*($O$1081-$O$1070)</f>
        <v>385.3</v>
      </c>
      <c r="G1109" s="149"/>
      <c r="H1109" s="82" t="str">
        <f t="shared" si="654"/>
        <v>0 percent up in Lochkovian international stage</v>
      </c>
      <c r="I1109" s="142" t="str">
        <f t="shared" si="655"/>
        <v>100 percent up in Eifelian international stage</v>
      </c>
      <c r="J1109" s="7">
        <v>0</v>
      </c>
      <c r="K1109" s="129">
        <f t="shared" si="656"/>
        <v>0</v>
      </c>
      <c r="L1109" s="8" t="s">
        <v>146</v>
      </c>
      <c r="M1109" s="5" t="s">
        <v>82</v>
      </c>
      <c r="N1109" s="5" t="s">
        <v>82</v>
      </c>
      <c r="O1109" s="83"/>
      <c r="P1109" s="20">
        <v>1</v>
      </c>
      <c r="Q1109" s="143">
        <f t="shared" si="657"/>
        <v>100</v>
      </c>
      <c r="R1109" s="21" t="s">
        <v>140</v>
      </c>
      <c r="S1109" s="8" t="s">
        <v>232</v>
      </c>
      <c r="T1109" s="7" t="s">
        <v>226</v>
      </c>
    </row>
    <row r="1110" spans="1:20" ht="28">
      <c r="A1110" s="107"/>
      <c r="B1110" s="109" t="s">
        <v>1734</v>
      </c>
      <c r="C1110" s="5"/>
      <c r="D1110" s="5"/>
      <c r="E1110" s="132">
        <f t="shared" ref="E1110:E1112" si="750">$O$1116-J1110*($O$1116-$O$1103)</f>
        <v>413.91800000000001</v>
      </c>
      <c r="F1110" s="139">
        <f>$O$1116-P1110*($O$1116-$O$1103)</f>
        <v>412.4</v>
      </c>
      <c r="G1110" s="149" t="s">
        <v>1717</v>
      </c>
      <c r="H1110" s="82" t="str">
        <f t="shared" ref="H1110:H1112" si="751">CONCATENATE(K1110," percent up in ",L1110," international stage")</f>
        <v>77 percent up in Lochkovian international stage</v>
      </c>
      <c r="I1110" s="142" t="str">
        <f t="shared" ref="I1110:I1112" si="752">CONCATENATE(Q1110," percent up in ",R1110," international stage")</f>
        <v>100 percent up in Lochkovian international stage</v>
      </c>
      <c r="J1110" s="7">
        <v>0.77</v>
      </c>
      <c r="K1110" s="129">
        <f t="shared" ref="K1110:K1112" si="753">ROUND(J1110*100,1)</f>
        <v>77</v>
      </c>
      <c r="L1110" s="8" t="s">
        <v>146</v>
      </c>
      <c r="M1110" s="5"/>
      <c r="O1110" s="83"/>
      <c r="P1110" s="20">
        <v>1</v>
      </c>
      <c r="Q1110" s="143">
        <f t="shared" ref="Q1110:Q1112" si="754">ROUND(P1110*100,1)</f>
        <v>100</v>
      </c>
      <c r="R1110" s="21" t="s">
        <v>146</v>
      </c>
      <c r="S1110" s="151" t="s">
        <v>1667</v>
      </c>
    </row>
    <row r="1111" spans="1:20" ht="28">
      <c r="A1111" s="107"/>
      <c r="B1111" s="109" t="s">
        <v>1735</v>
      </c>
      <c r="C1111" s="5"/>
      <c r="D1111" s="5"/>
      <c r="E1111" s="132">
        <f t="shared" si="750"/>
        <v>416.36</v>
      </c>
      <c r="F1111" s="139">
        <f>$O$1116-P1111*($O$1116-$O$1103)</f>
        <v>413.91800000000001</v>
      </c>
      <c r="G1111" s="149" t="s">
        <v>1668</v>
      </c>
      <c r="H1111" s="82" t="str">
        <f t="shared" si="751"/>
        <v>40 percent up in Lochkovian international stage</v>
      </c>
      <c r="I1111" s="142" t="str">
        <f t="shared" si="752"/>
        <v>77 percent up in Lochkovian international stage</v>
      </c>
      <c r="J1111" s="7">
        <v>0.4</v>
      </c>
      <c r="K1111" s="129">
        <f t="shared" si="753"/>
        <v>40</v>
      </c>
      <c r="L1111" s="8" t="s">
        <v>146</v>
      </c>
      <c r="M1111" s="5"/>
      <c r="O1111" s="83"/>
      <c r="P1111" s="20">
        <v>0.77</v>
      </c>
      <c r="Q1111" s="143">
        <f t="shared" si="754"/>
        <v>77</v>
      </c>
      <c r="R1111" s="21" t="s">
        <v>146</v>
      </c>
      <c r="S1111" s="151" t="s">
        <v>1668</v>
      </c>
    </row>
    <row r="1112" spans="1:20" ht="28">
      <c r="A1112" s="107"/>
      <c r="B1112" s="109" t="s">
        <v>1736</v>
      </c>
      <c r="C1112" s="5"/>
      <c r="D1112" s="5"/>
      <c r="E1112" s="132">
        <f t="shared" si="750"/>
        <v>419</v>
      </c>
      <c r="F1112" s="139">
        <f>$O$1116-P1112*($O$1116-$O$1103)</f>
        <v>416.36</v>
      </c>
      <c r="G1112" s="149" t="s">
        <v>1723</v>
      </c>
      <c r="H1112" s="82" t="str">
        <f t="shared" si="751"/>
        <v>0 percent up in Lochkovian international stage</v>
      </c>
      <c r="I1112" s="142" t="str">
        <f t="shared" si="752"/>
        <v>40 percent up in Lochkovian international stage</v>
      </c>
      <c r="J1112" s="7">
        <v>0</v>
      </c>
      <c r="K1112" s="129">
        <f t="shared" si="753"/>
        <v>0</v>
      </c>
      <c r="L1112" s="8" t="s">
        <v>146</v>
      </c>
      <c r="M1112" s="5"/>
      <c r="O1112" s="83"/>
      <c r="P1112" s="20">
        <v>0.4</v>
      </c>
      <c r="Q1112" s="143">
        <f t="shared" si="754"/>
        <v>40</v>
      </c>
      <c r="R1112" s="21" t="s">
        <v>146</v>
      </c>
      <c r="S1112" s="151" t="s">
        <v>1669</v>
      </c>
    </row>
    <row r="1113" spans="1:20" ht="28">
      <c r="A1113" s="107" t="s">
        <v>1105</v>
      </c>
      <c r="B1113" s="109" t="s">
        <v>146</v>
      </c>
      <c r="C1113" s="135"/>
      <c r="D1113" s="135" t="s">
        <v>222</v>
      </c>
      <c r="E1113" s="132">
        <f t="shared" si="749"/>
        <v>419</v>
      </c>
      <c r="F1113" s="139">
        <f>$O$1116-P1113*($O$1116-$O$1103)</f>
        <v>412.4</v>
      </c>
      <c r="G1113" s="149"/>
      <c r="H1113" s="82" t="str">
        <f t="shared" si="654"/>
        <v>0 percent up in Lochkovian international stage</v>
      </c>
      <c r="I1113" s="142" t="str">
        <f t="shared" si="655"/>
        <v>100 percent up in Lochkovian international stage</v>
      </c>
      <c r="J1113" s="7">
        <v>0</v>
      </c>
      <c r="K1113" s="129">
        <f t="shared" si="656"/>
        <v>0</v>
      </c>
      <c r="L1113" s="8" t="s">
        <v>146</v>
      </c>
      <c r="M1113" s="5" t="s">
        <v>224</v>
      </c>
      <c r="N1113" s="5" t="s">
        <v>1161</v>
      </c>
      <c r="O1113" s="84">
        <f>Master_Chronostrat!I137</f>
        <v>419</v>
      </c>
      <c r="P1113" s="20">
        <v>1</v>
      </c>
      <c r="Q1113" s="143">
        <f t="shared" si="657"/>
        <v>100</v>
      </c>
      <c r="R1113" s="21" t="s">
        <v>146</v>
      </c>
      <c r="S1113" s="8" t="s">
        <v>224</v>
      </c>
      <c r="T1113" s="7" t="s">
        <v>226</v>
      </c>
    </row>
    <row r="1114" spans="1:20" ht="34">
      <c r="A1114" s="107"/>
      <c r="B1114" s="109" t="s">
        <v>1888</v>
      </c>
      <c r="C1114" s="135"/>
      <c r="D1114" s="135"/>
      <c r="E1114" s="132"/>
      <c r="F1114" s="139"/>
      <c r="G1114" s="149" t="s">
        <v>1889</v>
      </c>
      <c r="H1114" s="82" t="str">
        <f t="shared" ref="H1114" si="755">CONCATENATE(K1114," percent up in ",L1114," international stage")</f>
        <v>0 percent up in Lochkovian international stage</v>
      </c>
      <c r="I1114" s="142" t="str">
        <f t="shared" ref="I1114" si="756">CONCATENATE(Q1114," percent up in ",R1114," international stage")</f>
        <v>100 percent up in Lochkovian international stage</v>
      </c>
      <c r="J1114" s="7">
        <v>0</v>
      </c>
      <c r="K1114" s="129">
        <f t="shared" ref="K1114" si="757">ROUND(J1114*100,1)</f>
        <v>0</v>
      </c>
      <c r="L1114" s="8" t="s">
        <v>146</v>
      </c>
      <c r="M1114" s="5"/>
      <c r="O1114" s="84"/>
      <c r="P1114" s="20">
        <v>1</v>
      </c>
      <c r="Q1114" s="143">
        <f t="shared" ref="Q1114" si="758">ROUND(P1114*100,1)</f>
        <v>100</v>
      </c>
      <c r="R1114" s="21" t="s">
        <v>146</v>
      </c>
      <c r="S1114" s="8" t="s">
        <v>224</v>
      </c>
    </row>
    <row r="1115" spans="1:20" ht="28">
      <c r="A1115" s="107" t="s">
        <v>1105</v>
      </c>
      <c r="B1115" s="109" t="s">
        <v>1162</v>
      </c>
      <c r="C1115" s="135"/>
      <c r="D1115" s="135" t="s">
        <v>222</v>
      </c>
      <c r="E1115" s="132">
        <f t="shared" si="749"/>
        <v>419</v>
      </c>
      <c r="F1115" s="139">
        <f>$O$1094-P1115*($O$1094-$O$1081)</f>
        <v>394.3</v>
      </c>
      <c r="G1115" s="149"/>
      <c r="H1115" s="82" t="str">
        <f t="shared" si="654"/>
        <v>0 percent up in Lochkovian international stage</v>
      </c>
      <c r="I1115" s="142" t="str">
        <f t="shared" si="655"/>
        <v>100 percent up in Emsian international stage</v>
      </c>
      <c r="J1115" s="7">
        <v>0</v>
      </c>
      <c r="K1115" s="129">
        <f t="shared" si="656"/>
        <v>0</v>
      </c>
      <c r="L1115" s="8" t="s">
        <v>146</v>
      </c>
      <c r="M1115" s="5" t="s">
        <v>224</v>
      </c>
      <c r="N1115" s="5" t="s">
        <v>1163</v>
      </c>
      <c r="O1115" s="84">
        <f>Master_Chronostrat!I137</f>
        <v>419</v>
      </c>
      <c r="P1115" s="20">
        <v>1</v>
      </c>
      <c r="Q1115" s="143">
        <f t="shared" si="657"/>
        <v>100</v>
      </c>
      <c r="R1115" s="21" t="s">
        <v>141</v>
      </c>
      <c r="S1115" s="8" t="s">
        <v>3</v>
      </c>
      <c r="T1115" s="7" t="s">
        <v>226</v>
      </c>
    </row>
    <row r="1116" spans="1:20" ht="28">
      <c r="A1116" s="107" t="s">
        <v>1105</v>
      </c>
      <c r="B1116" s="109" t="s">
        <v>145</v>
      </c>
      <c r="C1116" s="135"/>
      <c r="D1116" s="135" t="s">
        <v>222</v>
      </c>
      <c r="E1116" s="132">
        <f t="shared" si="749"/>
        <v>419</v>
      </c>
      <c r="F1116" s="139">
        <f>$O$1048-P1116*($O$1048-$O$1030)</f>
        <v>359.3</v>
      </c>
      <c r="G1116" s="149"/>
      <c r="H1116" s="82" t="str">
        <f t="shared" ref="H1116:H1213" si="759">CONCATENATE(K1116," percent up in ",L1116," international stage")</f>
        <v>0 percent up in Lochkovian international stage</v>
      </c>
      <c r="I1116" s="142" t="str">
        <f t="shared" ref="I1116:I1213" si="760">CONCATENATE(Q1116," percent up in ",R1116," international stage")</f>
        <v>100 percent up in Famennian international stage</v>
      </c>
      <c r="J1116" s="7">
        <v>0</v>
      </c>
      <c r="K1116" s="129">
        <f t="shared" ref="K1116:K1213" si="761">ROUND(J1116*100,1)</f>
        <v>0</v>
      </c>
      <c r="L1116" s="8" t="s">
        <v>146</v>
      </c>
      <c r="M1116" s="5" t="s">
        <v>224</v>
      </c>
      <c r="N1116" s="5" t="s">
        <v>1164</v>
      </c>
      <c r="O1116" s="84">
        <f>Master_Chronostrat!I137</f>
        <v>419</v>
      </c>
      <c r="P1116" s="20">
        <v>1</v>
      </c>
      <c r="Q1116" s="143">
        <f t="shared" ref="Q1116:Q1213" si="762">ROUND(P1116*100,1)</f>
        <v>100</v>
      </c>
      <c r="R1116" s="21" t="s">
        <v>137</v>
      </c>
      <c r="S1116" s="8" t="s">
        <v>3</v>
      </c>
      <c r="T1116" s="7" t="s">
        <v>226</v>
      </c>
    </row>
    <row r="1117" spans="1:20" ht="28">
      <c r="A1117" s="110" t="s">
        <v>1165</v>
      </c>
      <c r="B1117" s="111" t="s">
        <v>1166</v>
      </c>
      <c r="C1117" s="5"/>
      <c r="D1117" s="5" t="s">
        <v>248</v>
      </c>
      <c r="E1117" s="132">
        <f t="shared" ref="E1117:E1124" si="763">$O$1124-J1117*($O$1124-$O$1116)</f>
        <v>420.86685</v>
      </c>
      <c r="F1117" s="139">
        <f t="shared" ref="F1117:F1125" si="764">$O$1124-P1117*($O$1124-$O$1116)</f>
        <v>419</v>
      </c>
      <c r="G1117" s="149"/>
      <c r="H1117" s="82" t="str">
        <f t="shared" si="759"/>
        <v>50 percent up in Pridoli international stage</v>
      </c>
      <c r="I1117" s="142" t="str">
        <f t="shared" si="760"/>
        <v>100 percent up in Pridoli international stage</v>
      </c>
      <c r="J1117" s="7">
        <v>0.5</v>
      </c>
      <c r="K1117" s="129">
        <f t="shared" si="761"/>
        <v>50</v>
      </c>
      <c r="L1117" s="8" t="s">
        <v>147</v>
      </c>
      <c r="M1117" s="5" t="s">
        <v>82</v>
      </c>
      <c r="N1117" s="5" t="s">
        <v>82</v>
      </c>
      <c r="O1117" s="83"/>
      <c r="P1117" s="20">
        <v>1</v>
      </c>
      <c r="Q1117" s="143">
        <f t="shared" si="762"/>
        <v>100</v>
      </c>
      <c r="R1117" s="21" t="s">
        <v>147</v>
      </c>
      <c r="S1117" s="8" t="s">
        <v>232</v>
      </c>
      <c r="T1117" s="7" t="s">
        <v>226</v>
      </c>
    </row>
    <row r="1118" spans="1:20" ht="28">
      <c r="A1118" s="110"/>
      <c r="B1118" s="111" t="s">
        <v>2075</v>
      </c>
      <c r="C1118" s="5"/>
      <c r="D1118" s="5"/>
      <c r="E1118" s="132">
        <f t="shared" ref="E1118" si="765">$O$1124-J1118*($O$1124-$O$1116)</f>
        <v>422.7337</v>
      </c>
      <c r="F1118" s="139">
        <f t="shared" ref="F1118" si="766">$O$1124-P1118*($O$1124-$O$1116)</f>
        <v>419</v>
      </c>
      <c r="G1118" s="149" t="s">
        <v>1737</v>
      </c>
      <c r="H1118" s="82" t="str">
        <f t="shared" si="759"/>
        <v>0 percent up in Pridoli international stage</v>
      </c>
      <c r="I1118" s="142" t="str">
        <f t="shared" si="760"/>
        <v>100 percent up in Pridoli international stage</v>
      </c>
      <c r="J1118" s="7">
        <v>0</v>
      </c>
      <c r="K1118" s="129">
        <f t="shared" si="761"/>
        <v>0</v>
      </c>
      <c r="L1118" s="8" t="s">
        <v>147</v>
      </c>
      <c r="M1118" s="5"/>
      <c r="O1118" s="83"/>
      <c r="P1118" s="20">
        <v>1</v>
      </c>
      <c r="Q1118" s="143">
        <f t="shared" si="762"/>
        <v>100</v>
      </c>
      <c r="R1118" s="21" t="s">
        <v>147</v>
      </c>
      <c r="S1118" s="8" t="s">
        <v>224</v>
      </c>
    </row>
    <row r="1119" spans="1:20" ht="28">
      <c r="A1119" s="110"/>
      <c r="B1119" s="111" t="s">
        <v>1739</v>
      </c>
      <c r="C1119" s="5"/>
      <c r="D1119" s="5"/>
      <c r="E1119" s="132">
        <f t="shared" si="763"/>
        <v>420.86685</v>
      </c>
      <c r="F1119" s="139">
        <f t="shared" si="764"/>
        <v>419</v>
      </c>
      <c r="G1119" s="149" t="s">
        <v>1737</v>
      </c>
      <c r="H1119" s="82" t="str">
        <f t="shared" si="759"/>
        <v>50 percent up in Pridoli international stage</v>
      </c>
      <c r="I1119" s="142" t="str">
        <f t="shared" si="760"/>
        <v>100 percent up in Pridoli international stage</v>
      </c>
      <c r="J1119" s="7">
        <v>0.5</v>
      </c>
      <c r="K1119" s="129">
        <f t="shared" si="761"/>
        <v>50</v>
      </c>
      <c r="L1119" s="8" t="s">
        <v>147</v>
      </c>
      <c r="M1119" s="5"/>
      <c r="O1119" s="83"/>
      <c r="P1119" s="20">
        <v>1</v>
      </c>
      <c r="Q1119" s="143">
        <f t="shared" si="762"/>
        <v>100</v>
      </c>
      <c r="R1119" s="21" t="s">
        <v>147</v>
      </c>
      <c r="S1119" s="151" t="s">
        <v>1601</v>
      </c>
    </row>
    <row r="1120" spans="1:20" ht="28">
      <c r="A1120" s="110"/>
      <c r="B1120" s="111" t="s">
        <v>1740</v>
      </c>
      <c r="C1120" s="5"/>
      <c r="D1120" s="5"/>
      <c r="E1120" s="132">
        <f t="shared" si="763"/>
        <v>422.7337</v>
      </c>
      <c r="F1120" s="139">
        <f t="shared" si="764"/>
        <v>420.86685</v>
      </c>
      <c r="G1120" s="149" t="s">
        <v>1737</v>
      </c>
      <c r="H1120" s="82" t="str">
        <f t="shared" si="759"/>
        <v>0 percent up in Pridoli international stage</v>
      </c>
      <c r="I1120" s="142" t="str">
        <f t="shared" si="760"/>
        <v>50 percent up in Pridoli international stage</v>
      </c>
      <c r="J1120" s="7">
        <v>0</v>
      </c>
      <c r="K1120" s="129">
        <f t="shared" si="761"/>
        <v>0</v>
      </c>
      <c r="L1120" s="8" t="s">
        <v>147</v>
      </c>
      <c r="M1120" s="5"/>
      <c r="O1120" s="83"/>
      <c r="P1120" s="20">
        <v>0.5</v>
      </c>
      <c r="Q1120" s="143">
        <f t="shared" si="762"/>
        <v>50</v>
      </c>
      <c r="R1120" s="21" t="s">
        <v>147</v>
      </c>
      <c r="S1120" s="151" t="s">
        <v>1602</v>
      </c>
    </row>
    <row r="1121" spans="1:20" ht="28">
      <c r="A1121" s="110"/>
      <c r="B1121" s="111" t="s">
        <v>1738</v>
      </c>
      <c r="C1121" s="5"/>
      <c r="D1121" s="135" t="s">
        <v>222</v>
      </c>
      <c r="E1121" s="132">
        <f t="shared" si="763"/>
        <v>422.7337</v>
      </c>
      <c r="F1121" s="139">
        <f t="shared" si="764"/>
        <v>419</v>
      </c>
      <c r="G1121" s="149" t="s">
        <v>1737</v>
      </c>
      <c r="H1121" s="82" t="str">
        <f t="shared" ref="H1121:H1123" si="767">CONCATENATE(K1121," percent up in ",L1121," international stage")</f>
        <v>0 percent up in Pridoli international stage</v>
      </c>
      <c r="I1121" s="142" t="str">
        <f t="shared" ref="I1121:I1123" si="768">CONCATENATE(Q1121," percent up in ",R1121," international stage")</f>
        <v>100 percent up in Pridoli international stage</v>
      </c>
      <c r="J1121" s="7">
        <v>0</v>
      </c>
      <c r="K1121" s="129">
        <f t="shared" ref="K1121:K1123" si="769">ROUND(J1121*100,1)</f>
        <v>0</v>
      </c>
      <c r="L1121" s="8" t="s">
        <v>147</v>
      </c>
      <c r="M1121" s="5" t="s">
        <v>224</v>
      </c>
      <c r="N1121" s="5" t="s">
        <v>1167</v>
      </c>
      <c r="O1121" s="84">
        <f>Master_Chronostrat!I137</f>
        <v>419</v>
      </c>
      <c r="P1121" s="20">
        <v>1</v>
      </c>
      <c r="Q1121" s="143">
        <f t="shared" ref="Q1121:Q1123" si="770">ROUND(P1121*100,1)</f>
        <v>100</v>
      </c>
      <c r="R1121" s="21" t="s">
        <v>147</v>
      </c>
      <c r="S1121" s="8" t="s">
        <v>224</v>
      </c>
    </row>
    <row r="1122" spans="1:20" ht="28">
      <c r="A1122" s="110"/>
      <c r="B1122" s="111" t="s">
        <v>1898</v>
      </c>
      <c r="C1122" s="5"/>
      <c r="D1122" s="5"/>
      <c r="E1122" s="132">
        <f t="shared" si="763"/>
        <v>420.86685</v>
      </c>
      <c r="F1122" s="139">
        <f t="shared" ref="F1122:F1123" si="771">$O$1124-P1122*($O$1124-$O$1116)</f>
        <v>419</v>
      </c>
      <c r="G1122" s="149" t="s">
        <v>1601</v>
      </c>
      <c r="H1122" s="82" t="str">
        <f t="shared" si="767"/>
        <v>50 percent up in Pridoli international stage</v>
      </c>
      <c r="I1122" s="142" t="str">
        <f t="shared" si="768"/>
        <v>100 percent up in Pridoli international stage</v>
      </c>
      <c r="J1122" s="7">
        <v>0.5</v>
      </c>
      <c r="K1122" s="129">
        <f t="shared" si="769"/>
        <v>50</v>
      </c>
      <c r="L1122" s="8" t="s">
        <v>147</v>
      </c>
      <c r="M1122" s="5"/>
      <c r="O1122" s="83"/>
      <c r="P1122" s="20">
        <v>1</v>
      </c>
      <c r="Q1122" s="143">
        <f t="shared" si="770"/>
        <v>100</v>
      </c>
      <c r="R1122" s="21" t="s">
        <v>147</v>
      </c>
      <c r="S1122" s="151" t="s">
        <v>1601</v>
      </c>
    </row>
    <row r="1123" spans="1:20" ht="28">
      <c r="A1123" s="110"/>
      <c r="B1123" s="111" t="s">
        <v>1899</v>
      </c>
      <c r="C1123" s="5"/>
      <c r="D1123" s="5"/>
      <c r="E1123" s="132">
        <f t="shared" si="763"/>
        <v>422.7337</v>
      </c>
      <c r="F1123" s="139">
        <f t="shared" si="771"/>
        <v>420.86685</v>
      </c>
      <c r="G1123" s="149" t="s">
        <v>1602</v>
      </c>
      <c r="H1123" s="82" t="str">
        <f t="shared" si="767"/>
        <v>0 percent up in Pridoli international stage</v>
      </c>
      <c r="I1123" s="142" t="str">
        <f t="shared" si="768"/>
        <v>50 percent up in Pridoli international stage</v>
      </c>
      <c r="J1123" s="7">
        <v>0</v>
      </c>
      <c r="K1123" s="129">
        <f t="shared" si="769"/>
        <v>0</v>
      </c>
      <c r="L1123" s="8" t="s">
        <v>147</v>
      </c>
      <c r="M1123" s="5"/>
      <c r="O1123" s="83"/>
      <c r="P1123" s="20">
        <v>0.5</v>
      </c>
      <c r="Q1123" s="143">
        <f t="shared" si="770"/>
        <v>50</v>
      </c>
      <c r="R1123" s="21" t="s">
        <v>147</v>
      </c>
      <c r="S1123" s="151" t="s">
        <v>1602</v>
      </c>
    </row>
    <row r="1124" spans="1:20" ht="28">
      <c r="A1124" s="110" t="s">
        <v>1165</v>
      </c>
      <c r="B1124" s="111" t="s">
        <v>147</v>
      </c>
      <c r="C1124" s="135"/>
      <c r="D1124" s="135" t="s">
        <v>222</v>
      </c>
      <c r="E1124" s="132">
        <f t="shared" si="763"/>
        <v>422.7337</v>
      </c>
      <c r="F1124" s="139">
        <f t="shared" si="764"/>
        <v>419</v>
      </c>
      <c r="G1124" s="149"/>
      <c r="H1124" s="82" t="str">
        <f t="shared" si="759"/>
        <v>0 percent up in Pridoli international stage</v>
      </c>
      <c r="I1124" s="142" t="str">
        <f t="shared" si="760"/>
        <v>100 percent up in Pridoli international stage</v>
      </c>
      <c r="J1124" s="7">
        <v>0</v>
      </c>
      <c r="K1124" s="129">
        <f t="shared" si="761"/>
        <v>0</v>
      </c>
      <c r="L1124" s="8" t="s">
        <v>147</v>
      </c>
      <c r="M1124" s="5" t="s">
        <v>224</v>
      </c>
      <c r="N1124" s="5" t="s">
        <v>1167</v>
      </c>
      <c r="O1124" s="84">
        <f>Master_Chronostrat!I138</f>
        <v>422.7337</v>
      </c>
      <c r="P1124" s="20">
        <v>1</v>
      </c>
      <c r="Q1124" s="143">
        <f t="shared" si="762"/>
        <v>100</v>
      </c>
      <c r="R1124" s="21" t="s">
        <v>147</v>
      </c>
      <c r="S1124" s="8" t="s">
        <v>224</v>
      </c>
      <c r="T1124" s="7" t="s">
        <v>226</v>
      </c>
    </row>
    <row r="1125" spans="1:20" ht="28">
      <c r="A1125" s="110" t="s">
        <v>1165</v>
      </c>
      <c r="B1125" s="111" t="s">
        <v>1168</v>
      </c>
      <c r="C1125" s="5"/>
      <c r="D1125" s="5" t="s">
        <v>244</v>
      </c>
      <c r="E1125" s="132">
        <f>$O$1129-J1125*($O$1129-$O$1124)</f>
        <v>425.01010000000002</v>
      </c>
      <c r="F1125" s="139">
        <f t="shared" si="764"/>
        <v>419</v>
      </c>
      <c r="G1125" s="149"/>
      <c r="H1125" s="82" t="str">
        <f t="shared" si="759"/>
        <v>0 percent up in Ludfordian international stage</v>
      </c>
      <c r="I1125" s="142" t="str">
        <f t="shared" si="760"/>
        <v>100 percent up in Pridoli international stage</v>
      </c>
      <c r="J1125" s="7">
        <v>0</v>
      </c>
      <c r="K1125" s="129">
        <f t="shared" si="761"/>
        <v>0</v>
      </c>
      <c r="L1125" s="8" t="s">
        <v>148</v>
      </c>
      <c r="M1125" s="5" t="s">
        <v>82</v>
      </c>
      <c r="N1125" s="5" t="s">
        <v>82</v>
      </c>
      <c r="O1125" s="83"/>
      <c r="P1125" s="20">
        <v>1</v>
      </c>
      <c r="Q1125" s="143">
        <f t="shared" si="762"/>
        <v>100</v>
      </c>
      <c r="R1125" s="21" t="s">
        <v>147</v>
      </c>
      <c r="S1125" s="8" t="s">
        <v>232</v>
      </c>
      <c r="T1125" s="7" t="s">
        <v>226</v>
      </c>
    </row>
    <row r="1126" spans="1:20" ht="28">
      <c r="A1126" s="110"/>
      <c r="B1126" s="111" t="s">
        <v>1742</v>
      </c>
      <c r="C1126" s="5"/>
      <c r="D1126" s="5"/>
      <c r="E1126" s="132">
        <f>$O$1129-J1126*($O$1129-$O$1124)</f>
        <v>425.01010000000002</v>
      </c>
      <c r="F1126" s="139">
        <f>$O$1129-P1126*($O$1129-$O$1124)</f>
        <v>422.7337</v>
      </c>
      <c r="G1126" s="149"/>
      <c r="H1126" s="82" t="str">
        <f t="shared" ref="H1126:H1128" si="772">CONCATENATE(K1126," percent up in ",L1126," international stage")</f>
        <v>0 percent up in Ludfordian international stage</v>
      </c>
      <c r="I1126" s="142" t="str">
        <f t="shared" ref="I1126:I1128" si="773">CONCATENATE(Q1126," percent up in ",R1126," international stage")</f>
        <v>100 percent up in Ludfordian international stage</v>
      </c>
      <c r="J1126" s="7">
        <v>0</v>
      </c>
      <c r="K1126" s="129">
        <f t="shared" ref="K1126:K1128" si="774">ROUND(J1126*100,1)</f>
        <v>0</v>
      </c>
      <c r="L1126" s="8" t="s">
        <v>148</v>
      </c>
      <c r="M1126" s="5"/>
      <c r="O1126" s="83"/>
      <c r="P1126" s="20">
        <v>1</v>
      </c>
      <c r="Q1126" s="143">
        <f t="shared" ref="Q1126:Q1128" si="775">ROUND(P1126*100,1)</f>
        <v>100</v>
      </c>
      <c r="R1126" s="21" t="s">
        <v>148</v>
      </c>
      <c r="S1126" s="8" t="s">
        <v>232</v>
      </c>
    </row>
    <row r="1127" spans="1:20" ht="28">
      <c r="A1127" s="110"/>
      <c r="B1127" s="111" t="s">
        <v>1967</v>
      </c>
      <c r="C1127" s="5"/>
      <c r="D1127" s="5"/>
      <c r="E1127" s="132">
        <f>$O$1129-J1127*($O$1129-$O$1124)</f>
        <v>423.87189999999998</v>
      </c>
      <c r="F1127" s="139">
        <f>$O$1129-P1127*($O$1129-$O$1124)</f>
        <v>422.7337</v>
      </c>
      <c r="G1127" s="149"/>
      <c r="H1127" s="82" t="str">
        <f t="shared" si="772"/>
        <v>50 percent up in Ludfordian international stage</v>
      </c>
      <c r="I1127" s="142" t="str">
        <f t="shared" si="773"/>
        <v>100 percent up in Ludfordian international stage</v>
      </c>
      <c r="J1127" s="7">
        <v>0.5</v>
      </c>
      <c r="K1127" s="129">
        <f t="shared" si="774"/>
        <v>50</v>
      </c>
      <c r="L1127" s="8" t="s">
        <v>148</v>
      </c>
      <c r="M1127" s="5"/>
      <c r="O1127" s="83"/>
      <c r="P1127" s="20">
        <v>1</v>
      </c>
      <c r="Q1127" s="143">
        <f t="shared" si="775"/>
        <v>100</v>
      </c>
      <c r="R1127" s="21" t="s">
        <v>148</v>
      </c>
      <c r="S1127" s="151" t="s">
        <v>1601</v>
      </c>
    </row>
    <row r="1128" spans="1:20" ht="28">
      <c r="A1128" s="110"/>
      <c r="B1128" s="111" t="s">
        <v>1968</v>
      </c>
      <c r="C1128" s="5"/>
      <c r="D1128" s="5"/>
      <c r="E1128" s="132">
        <f>$O$1129-J1128*($O$1129-$O$1124)</f>
        <v>425.01010000000002</v>
      </c>
      <c r="F1128" s="139">
        <f>$O$1129-P1128*($O$1129-$O$1124)</f>
        <v>423.87189999999998</v>
      </c>
      <c r="G1128" s="149"/>
      <c r="H1128" s="82" t="str">
        <f t="shared" si="772"/>
        <v>0 percent up in Ludfordian international stage</v>
      </c>
      <c r="I1128" s="142" t="str">
        <f t="shared" si="773"/>
        <v>50 percent up in Ludfordian international stage</v>
      </c>
      <c r="J1128" s="7">
        <v>0</v>
      </c>
      <c r="K1128" s="129">
        <f t="shared" si="774"/>
        <v>0</v>
      </c>
      <c r="L1128" s="8" t="s">
        <v>148</v>
      </c>
      <c r="M1128" s="5"/>
      <c r="O1128" s="83"/>
      <c r="P1128" s="20">
        <v>0.5</v>
      </c>
      <c r="Q1128" s="143">
        <f t="shared" si="775"/>
        <v>50</v>
      </c>
      <c r="R1128" s="21" t="s">
        <v>148</v>
      </c>
      <c r="S1128" s="151" t="s">
        <v>1602</v>
      </c>
    </row>
    <row r="1129" spans="1:20" ht="28">
      <c r="A1129" s="110" t="s">
        <v>1165</v>
      </c>
      <c r="B1129" s="111" t="s">
        <v>148</v>
      </c>
      <c r="C1129" s="135"/>
      <c r="D1129" s="135" t="s">
        <v>222</v>
      </c>
      <c r="E1129" s="132">
        <f>$O$1129-J1129*($O$1129-$O$1124)</f>
        <v>425.01010000000002</v>
      </c>
      <c r="F1129" s="139">
        <f>$O$1129-P1129*($O$1129-$O$1124)</f>
        <v>422.7337</v>
      </c>
      <c r="G1129" s="149"/>
      <c r="H1129" s="82" t="str">
        <f t="shared" si="759"/>
        <v>0 percent up in Ludfordian international stage</v>
      </c>
      <c r="I1129" s="142" t="str">
        <f t="shared" si="760"/>
        <v>100 percent up in Ludfordian international stage</v>
      </c>
      <c r="J1129" s="7">
        <v>0</v>
      </c>
      <c r="K1129" s="129">
        <f t="shared" si="761"/>
        <v>0</v>
      </c>
      <c r="L1129" s="8" t="s">
        <v>148</v>
      </c>
      <c r="M1129" s="5" t="s">
        <v>224</v>
      </c>
      <c r="N1129" s="5" t="s">
        <v>1169</v>
      </c>
      <c r="O1129" s="84">
        <f>Master_Chronostrat!I139</f>
        <v>425.01010000000002</v>
      </c>
      <c r="P1129" s="20">
        <v>1</v>
      </c>
      <c r="Q1129" s="143">
        <f t="shared" si="762"/>
        <v>100</v>
      </c>
      <c r="R1129" s="21" t="s">
        <v>148</v>
      </c>
      <c r="S1129" s="8" t="s">
        <v>224</v>
      </c>
      <c r="T1129" s="7" t="s">
        <v>226</v>
      </c>
    </row>
    <row r="1130" spans="1:20" ht="28">
      <c r="A1130" s="110" t="s">
        <v>1165</v>
      </c>
      <c r="B1130" s="111" t="s">
        <v>1170</v>
      </c>
      <c r="C1130" s="5"/>
      <c r="D1130" s="5" t="s">
        <v>248</v>
      </c>
      <c r="E1130" s="132">
        <f t="shared" ref="E1130:E1136" si="776">$O$1136-J1130*($O$1136-$O$1129)</f>
        <v>425.76596875000001</v>
      </c>
      <c r="F1130" s="139">
        <f>$O$1129-P1130*($O$1129-$O$1124)</f>
        <v>422.7337</v>
      </c>
      <c r="G1130" s="149"/>
      <c r="H1130" s="82" t="str">
        <f t="shared" si="759"/>
        <v>56.2 percent up in Gorstian international stage</v>
      </c>
      <c r="I1130" s="142" t="str">
        <f t="shared" si="760"/>
        <v>100 percent up in Ludfordian international stage</v>
      </c>
      <c r="J1130" s="7">
        <v>0.56249999999999778</v>
      </c>
      <c r="K1130" s="129">
        <f t="shared" si="761"/>
        <v>56.2</v>
      </c>
      <c r="L1130" s="8" t="s">
        <v>150</v>
      </c>
      <c r="M1130" s="5" t="s">
        <v>82</v>
      </c>
      <c r="N1130" s="5" t="s">
        <v>82</v>
      </c>
      <c r="O1130" s="83"/>
      <c r="P1130" s="20">
        <v>1</v>
      </c>
      <c r="Q1130" s="143">
        <f t="shared" si="762"/>
        <v>100</v>
      </c>
      <c r="R1130" s="21" t="s">
        <v>148</v>
      </c>
      <c r="S1130" s="8" t="s">
        <v>246</v>
      </c>
      <c r="T1130" s="7" t="s">
        <v>226</v>
      </c>
    </row>
    <row r="1131" spans="1:20" ht="28">
      <c r="A1131" s="110" t="s">
        <v>1165</v>
      </c>
      <c r="B1131" s="111" t="s">
        <v>1171</v>
      </c>
      <c r="C1131" s="5"/>
      <c r="D1131" s="5" t="s">
        <v>82</v>
      </c>
      <c r="E1131" s="132">
        <f t="shared" si="776"/>
        <v>426.73779999999999</v>
      </c>
      <c r="F1131" s="139">
        <f>$O$1124-P1131*($O$1124-$O$1116)</f>
        <v>419</v>
      </c>
      <c r="G1131" s="149"/>
      <c r="H1131" s="82" t="str">
        <f t="shared" si="759"/>
        <v>0 percent up in Gorstian international stage</v>
      </c>
      <c r="I1131" s="142" t="str">
        <f t="shared" si="760"/>
        <v>100 percent up in Pridoli international stage</v>
      </c>
      <c r="J1131" s="7">
        <v>0</v>
      </c>
      <c r="K1131" s="129">
        <f t="shared" si="761"/>
        <v>0</v>
      </c>
      <c r="L1131" s="8" t="s">
        <v>150</v>
      </c>
      <c r="M1131" s="5" t="s">
        <v>82</v>
      </c>
      <c r="N1131" s="5" t="s">
        <v>82</v>
      </c>
      <c r="O1131" s="83"/>
      <c r="P1131" s="20">
        <v>1</v>
      </c>
      <c r="Q1131" s="143">
        <f t="shared" si="762"/>
        <v>100</v>
      </c>
      <c r="R1131" s="21" t="s">
        <v>147</v>
      </c>
      <c r="S1131" s="8" t="s">
        <v>232</v>
      </c>
      <c r="T1131" s="7" t="s">
        <v>226</v>
      </c>
    </row>
    <row r="1132" spans="1:20" ht="28">
      <c r="A1132" s="110" t="s">
        <v>1165</v>
      </c>
      <c r="B1132" s="112" t="s">
        <v>1172</v>
      </c>
      <c r="C1132" s="5"/>
      <c r="D1132" s="5" t="s">
        <v>82</v>
      </c>
      <c r="E1132" s="132">
        <f t="shared" si="776"/>
        <v>426.73779999999999</v>
      </c>
      <c r="F1132" s="139">
        <f>$O$1129-P1132*($O$1129-$O$1124)</f>
        <v>422.7337</v>
      </c>
      <c r="G1132" s="149"/>
      <c r="H1132" s="82" t="str">
        <f t="shared" si="759"/>
        <v>0 percent up in Gorstian international stage</v>
      </c>
      <c r="I1132" s="142" t="str">
        <f t="shared" si="760"/>
        <v>100 percent up in Ludfordian international stage</v>
      </c>
      <c r="J1132" s="7">
        <v>0</v>
      </c>
      <c r="K1132" s="129">
        <f t="shared" si="761"/>
        <v>0</v>
      </c>
      <c r="L1132" s="8" t="s">
        <v>150</v>
      </c>
      <c r="M1132" s="5" t="s">
        <v>82</v>
      </c>
      <c r="N1132" s="5" t="s">
        <v>82</v>
      </c>
      <c r="O1132" s="83"/>
      <c r="P1132" s="20">
        <v>1</v>
      </c>
      <c r="Q1132" s="143">
        <f t="shared" si="762"/>
        <v>100</v>
      </c>
      <c r="R1132" s="21" t="s">
        <v>148</v>
      </c>
      <c r="S1132" s="8" t="s">
        <v>232</v>
      </c>
      <c r="T1132" s="7" t="s">
        <v>226</v>
      </c>
    </row>
    <row r="1133" spans="1:20" ht="28">
      <c r="A1133" s="110" t="s">
        <v>1165</v>
      </c>
      <c r="B1133" s="111" t="s">
        <v>1173</v>
      </c>
      <c r="C1133" s="5"/>
      <c r="D1133" s="5" t="s">
        <v>82</v>
      </c>
      <c r="E1133" s="132">
        <f t="shared" si="776"/>
        <v>426.73779999999999</v>
      </c>
      <c r="F1133" s="139">
        <f>$O$1124-P1133*($O$1124-$O$1116)</f>
        <v>419</v>
      </c>
      <c r="G1133" s="149"/>
      <c r="H1133" s="82" t="str">
        <f t="shared" si="759"/>
        <v>0 percent up in Gorstian international stage</v>
      </c>
      <c r="I1133" s="142" t="str">
        <f t="shared" si="760"/>
        <v>100 percent up in Pridoli international stage</v>
      </c>
      <c r="J1133" s="7">
        <v>0</v>
      </c>
      <c r="K1133" s="129">
        <f t="shared" si="761"/>
        <v>0</v>
      </c>
      <c r="L1133" s="8" t="s">
        <v>150</v>
      </c>
      <c r="M1133" s="5" t="s">
        <v>82</v>
      </c>
      <c r="N1133" s="5" t="s">
        <v>82</v>
      </c>
      <c r="O1133" s="83"/>
      <c r="P1133" s="20">
        <v>1</v>
      </c>
      <c r="Q1133" s="143">
        <f t="shared" si="762"/>
        <v>100</v>
      </c>
      <c r="R1133" s="21" t="s">
        <v>147</v>
      </c>
      <c r="S1133" s="8" t="s">
        <v>232</v>
      </c>
      <c r="T1133" s="7" t="s">
        <v>226</v>
      </c>
    </row>
    <row r="1134" spans="1:20" ht="28">
      <c r="A1134" s="110"/>
      <c r="B1134" s="111" t="s">
        <v>1741</v>
      </c>
      <c r="C1134" s="5"/>
      <c r="D1134" s="5"/>
      <c r="E1134" s="132">
        <f t="shared" ref="E1134" si="777">$O$1136-J1134*($O$1136-$O$1129)</f>
        <v>426.73779999999999</v>
      </c>
      <c r="F1134" s="139">
        <f>$O$1136-P1134*($O$1136-$O$1129)</f>
        <v>425.01010000000002</v>
      </c>
      <c r="G1134" s="149"/>
      <c r="H1134" s="82" t="str">
        <f t="shared" ref="H1134" si="778">CONCATENATE(K1134," percent up in ",L1134," international stage")</f>
        <v>0 percent up in Gorstian international stage</v>
      </c>
      <c r="I1134" s="142" t="str">
        <f t="shared" ref="I1134" si="779">CONCATENATE(Q1134," percent up in ",R1134," international stage")</f>
        <v>100 percent up in Gorstian international stage</v>
      </c>
      <c r="J1134" s="7">
        <v>0</v>
      </c>
      <c r="K1134" s="129">
        <f t="shared" ref="K1134" si="780">ROUND(J1134*100,1)</f>
        <v>0</v>
      </c>
      <c r="L1134" s="8" t="s">
        <v>150</v>
      </c>
      <c r="M1134" s="5"/>
      <c r="O1134" s="83"/>
      <c r="P1134" s="20">
        <v>1</v>
      </c>
      <c r="Q1134" s="143">
        <f t="shared" ref="Q1134" si="781">ROUND(P1134*100,1)</f>
        <v>100</v>
      </c>
      <c r="R1134" s="21" t="s">
        <v>150</v>
      </c>
      <c r="S1134" s="8" t="s">
        <v>232</v>
      </c>
    </row>
    <row r="1135" spans="1:20" ht="28">
      <c r="A1135" s="110" t="s">
        <v>1165</v>
      </c>
      <c r="B1135" s="111" t="s">
        <v>150</v>
      </c>
      <c r="C1135" s="135"/>
      <c r="D1135" s="135" t="s">
        <v>222</v>
      </c>
      <c r="E1135" s="132">
        <f t="shared" si="776"/>
        <v>426.73779999999999</v>
      </c>
      <c r="F1135" s="139">
        <f>$O$1136-P1135*($O$1136-$O$1129)</f>
        <v>425.01010000000002</v>
      </c>
      <c r="G1135" s="149"/>
      <c r="H1135" s="82" t="str">
        <f t="shared" si="759"/>
        <v>0 percent up in Gorstian international stage</v>
      </c>
      <c r="I1135" s="142" t="str">
        <f t="shared" si="760"/>
        <v>100 percent up in Gorstian international stage</v>
      </c>
      <c r="J1135" s="7">
        <v>0</v>
      </c>
      <c r="K1135" s="129">
        <f t="shared" si="761"/>
        <v>0</v>
      </c>
      <c r="L1135" s="8" t="s">
        <v>150</v>
      </c>
      <c r="M1135" s="5" t="s">
        <v>224</v>
      </c>
      <c r="N1135" s="5" t="s">
        <v>1174</v>
      </c>
      <c r="O1135" s="84">
        <f>Master_Chronostrat!I140</f>
        <v>426.73779999999999</v>
      </c>
      <c r="P1135" s="20">
        <v>1</v>
      </c>
      <c r="Q1135" s="143">
        <f t="shared" si="762"/>
        <v>100</v>
      </c>
      <c r="R1135" s="21" t="s">
        <v>150</v>
      </c>
      <c r="S1135" s="8" t="s">
        <v>224</v>
      </c>
      <c r="T1135" s="7" t="s">
        <v>226</v>
      </c>
    </row>
    <row r="1136" spans="1:20" ht="28">
      <c r="A1136" s="110" t="s">
        <v>1165</v>
      </c>
      <c r="B1136" s="111" t="s">
        <v>149</v>
      </c>
      <c r="C1136" s="135"/>
      <c r="D1136" s="135" t="s">
        <v>222</v>
      </c>
      <c r="E1136" s="132">
        <f t="shared" si="776"/>
        <v>426.73779999999999</v>
      </c>
      <c r="F1136" s="139">
        <f>$O$1129-P1136*($O$1129-$O$1124)</f>
        <v>422.7337</v>
      </c>
      <c r="G1136" s="149"/>
      <c r="H1136" s="82" t="str">
        <f t="shared" si="759"/>
        <v>0 percent up in Gorstian international stage</v>
      </c>
      <c r="I1136" s="142" t="str">
        <f t="shared" si="760"/>
        <v>100 percent up in Ludfordian international stage</v>
      </c>
      <c r="J1136" s="7">
        <v>0</v>
      </c>
      <c r="K1136" s="129">
        <f t="shared" si="761"/>
        <v>0</v>
      </c>
      <c r="L1136" s="8" t="s">
        <v>150</v>
      </c>
      <c r="M1136" s="5" t="s">
        <v>224</v>
      </c>
      <c r="N1136" s="5" t="s">
        <v>1175</v>
      </c>
      <c r="O1136" s="84">
        <f>Master_Chronostrat!I140</f>
        <v>426.73779999999999</v>
      </c>
      <c r="P1136" s="20">
        <v>1</v>
      </c>
      <c r="Q1136" s="143">
        <f t="shared" si="762"/>
        <v>100</v>
      </c>
      <c r="R1136" s="21" t="s">
        <v>148</v>
      </c>
      <c r="S1136" s="8" t="s">
        <v>239</v>
      </c>
      <c r="T1136" s="7" t="s">
        <v>226</v>
      </c>
    </row>
    <row r="1137" spans="1:20" ht="28">
      <c r="A1137" s="110" t="s">
        <v>1165</v>
      </c>
      <c r="B1137" s="111" t="s">
        <v>1176</v>
      </c>
      <c r="C1137" s="5"/>
      <c r="D1137" s="5" t="s">
        <v>82</v>
      </c>
      <c r="E1137" s="132">
        <f t="shared" ref="E1137:E1145" si="782">$O$1145-J1137*($O$1145-$O$1136)</f>
        <v>429.68014848484847</v>
      </c>
      <c r="F1137" s="139">
        <f>$O$1145-P1137*($O$1145-$O$1136)</f>
        <v>426.73779999999999</v>
      </c>
      <c r="G1137" s="149"/>
      <c r="H1137" s="82" t="str">
        <f t="shared" si="759"/>
        <v>24.2 percent up in Homerian international stage</v>
      </c>
      <c r="I1137" s="142" t="str">
        <f t="shared" si="760"/>
        <v>100 percent up in Homerian international stage</v>
      </c>
      <c r="J1137" s="7">
        <v>0.24242424242424498</v>
      </c>
      <c r="K1137" s="129">
        <f t="shared" si="761"/>
        <v>24.2</v>
      </c>
      <c r="L1137" s="8" t="s">
        <v>151</v>
      </c>
      <c r="M1137" s="5" t="s">
        <v>82</v>
      </c>
      <c r="N1137" s="5" t="s">
        <v>82</v>
      </c>
      <c r="O1137" s="83"/>
      <c r="P1137" s="20">
        <v>1</v>
      </c>
      <c r="Q1137" s="143">
        <f t="shared" si="762"/>
        <v>100</v>
      </c>
      <c r="R1137" s="21" t="s">
        <v>151</v>
      </c>
      <c r="S1137" s="8" t="s">
        <v>272</v>
      </c>
      <c r="T1137" s="7" t="s">
        <v>226</v>
      </c>
    </row>
    <row r="1138" spans="1:20" ht="28">
      <c r="A1138" s="110" t="s">
        <v>1165</v>
      </c>
      <c r="B1138" s="111" t="s">
        <v>1177</v>
      </c>
      <c r="C1138" s="5"/>
      <c r="D1138" s="5" t="s">
        <v>248</v>
      </c>
      <c r="E1138" s="132">
        <f t="shared" si="782"/>
        <v>429.79784242424245</v>
      </c>
      <c r="F1138" s="139">
        <f>$O$1136-P1138*($O$1136-$O$1129)</f>
        <v>425.76596875000001</v>
      </c>
      <c r="G1138" s="149"/>
      <c r="H1138" s="82" t="str">
        <f t="shared" si="759"/>
        <v>21.2 percent up in Homerian international stage</v>
      </c>
      <c r="I1138" s="142" t="str">
        <f t="shared" si="760"/>
        <v>56.2 percent up in Gorstian international stage</v>
      </c>
      <c r="J1138" s="7">
        <v>0.21212121212120794</v>
      </c>
      <c r="K1138" s="129">
        <f t="shared" si="761"/>
        <v>21.2</v>
      </c>
      <c r="L1138" s="8" t="s">
        <v>151</v>
      </c>
      <c r="M1138" s="5" t="s">
        <v>82</v>
      </c>
      <c r="N1138" s="5" t="s">
        <v>82</v>
      </c>
      <c r="O1138" s="83"/>
      <c r="P1138" s="20">
        <v>0.56249999999999778</v>
      </c>
      <c r="Q1138" s="143">
        <f t="shared" si="762"/>
        <v>56.2</v>
      </c>
      <c r="R1138" s="21" t="s">
        <v>150</v>
      </c>
      <c r="S1138" s="8" t="s">
        <v>246</v>
      </c>
      <c r="T1138" s="7" t="s">
        <v>226</v>
      </c>
    </row>
    <row r="1139" spans="1:20" ht="28">
      <c r="A1139" s="110" t="s">
        <v>1165</v>
      </c>
      <c r="B1139" s="111" t="s">
        <v>1178</v>
      </c>
      <c r="C1139" s="5"/>
      <c r="D1139" s="5" t="s">
        <v>82</v>
      </c>
      <c r="E1139" s="132">
        <f t="shared" si="782"/>
        <v>430.62169999999998</v>
      </c>
      <c r="F1139" s="139">
        <f t="shared" ref="F1139:F1145" si="783">$O$1145-P1139*($O$1145-$O$1136)</f>
        <v>426.73779999999999</v>
      </c>
      <c r="G1139" s="149"/>
      <c r="H1139" s="82" t="str">
        <f t="shared" si="759"/>
        <v>0 percent up in Homerian international stage</v>
      </c>
      <c r="I1139" s="142" t="str">
        <f t="shared" si="760"/>
        <v>100 percent up in Homerian international stage</v>
      </c>
      <c r="J1139" s="7">
        <v>0</v>
      </c>
      <c r="K1139" s="129">
        <f t="shared" si="761"/>
        <v>0</v>
      </c>
      <c r="L1139" s="8" t="s">
        <v>151</v>
      </c>
      <c r="M1139" s="5" t="s">
        <v>82</v>
      </c>
      <c r="N1139" s="5" t="s">
        <v>82</v>
      </c>
      <c r="O1139" s="83"/>
      <c r="P1139" s="20">
        <v>1</v>
      </c>
      <c r="Q1139" s="143">
        <f t="shared" si="762"/>
        <v>100</v>
      </c>
      <c r="R1139" s="21" t="s">
        <v>151</v>
      </c>
      <c r="S1139" s="8" t="s">
        <v>232</v>
      </c>
      <c r="T1139" s="7" t="s">
        <v>226</v>
      </c>
    </row>
    <row r="1140" spans="1:20" ht="28">
      <c r="A1140" s="110" t="s">
        <v>1165</v>
      </c>
      <c r="B1140" s="111" t="s">
        <v>1179</v>
      </c>
      <c r="C1140" s="5"/>
      <c r="D1140" s="5" t="s">
        <v>82</v>
      </c>
      <c r="E1140" s="132">
        <f t="shared" si="782"/>
        <v>430.62169999999998</v>
      </c>
      <c r="F1140" s="139">
        <f t="shared" si="783"/>
        <v>429.68014848484847</v>
      </c>
      <c r="G1140" s="149"/>
      <c r="H1140" s="82" t="str">
        <f t="shared" si="759"/>
        <v>0 percent up in Homerian international stage</v>
      </c>
      <c r="I1140" s="142" t="str">
        <f t="shared" si="760"/>
        <v>24.2 percent up in Homerian international stage</v>
      </c>
      <c r="J1140" s="7">
        <v>0</v>
      </c>
      <c r="K1140" s="129">
        <f t="shared" si="761"/>
        <v>0</v>
      </c>
      <c r="L1140" s="8" t="s">
        <v>151</v>
      </c>
      <c r="M1140" s="5" t="s">
        <v>82</v>
      </c>
      <c r="N1140" s="5" t="s">
        <v>82</v>
      </c>
      <c r="O1140" s="83"/>
      <c r="P1140" s="20">
        <v>0.24242424242424504</v>
      </c>
      <c r="Q1140" s="143">
        <f t="shared" si="762"/>
        <v>24.2</v>
      </c>
      <c r="R1140" s="21" t="s">
        <v>151</v>
      </c>
      <c r="S1140" s="8" t="s">
        <v>230</v>
      </c>
      <c r="T1140" s="7" t="s">
        <v>226</v>
      </c>
    </row>
    <row r="1141" spans="1:20" ht="28">
      <c r="A1141" s="110"/>
      <c r="B1141" s="111" t="s">
        <v>1747</v>
      </c>
      <c r="C1141" s="5"/>
      <c r="D1141" s="5"/>
      <c r="E1141" s="132">
        <f t="shared" si="782"/>
        <v>428.67975000000001</v>
      </c>
      <c r="F1141" s="139">
        <f t="shared" si="783"/>
        <v>426.73779999999999</v>
      </c>
      <c r="G1141" s="149" t="s">
        <v>1749</v>
      </c>
      <c r="H1141" s="82" t="str">
        <f t="shared" ref="H1141:H1144" si="784">CONCATENATE(K1141," percent up in ",L1141," international stage")</f>
        <v>50 percent up in Homerian international stage</v>
      </c>
      <c r="I1141" s="142" t="str">
        <f t="shared" ref="I1141:I1144" si="785">CONCATENATE(Q1141," percent up in ",R1141," international stage")</f>
        <v>100 percent up in Homerian international stage</v>
      </c>
      <c r="J1141" s="7">
        <v>0.5</v>
      </c>
      <c r="K1141" s="129">
        <f t="shared" ref="K1141:K1144" si="786">ROUND(J1141*100,1)</f>
        <v>50</v>
      </c>
      <c r="L1141" s="8" t="s">
        <v>151</v>
      </c>
      <c r="M1141" s="5"/>
      <c r="O1141" s="83"/>
      <c r="P1141" s="20">
        <v>1</v>
      </c>
      <c r="Q1141" s="143">
        <f t="shared" ref="Q1141:Q1144" si="787">ROUND(P1141*100,1)</f>
        <v>100</v>
      </c>
      <c r="R1141" s="21" t="s">
        <v>151</v>
      </c>
      <c r="S1141" s="150" t="s">
        <v>1601</v>
      </c>
    </row>
    <row r="1142" spans="1:20" ht="28">
      <c r="A1142" s="110"/>
      <c r="B1142" s="111" t="s">
        <v>1748</v>
      </c>
      <c r="C1142" s="5"/>
      <c r="D1142" s="5"/>
      <c r="E1142" s="132">
        <f t="shared" si="782"/>
        <v>430.62169999999998</v>
      </c>
      <c r="F1142" s="139">
        <f t="shared" si="783"/>
        <v>428.67975000000001</v>
      </c>
      <c r="G1142" s="149" t="s">
        <v>1750</v>
      </c>
      <c r="H1142" s="82" t="str">
        <f t="shared" si="784"/>
        <v>0 percent up in Homerian international stage</v>
      </c>
      <c r="I1142" s="142" t="str">
        <f t="shared" si="785"/>
        <v>50 percent up in Homerian international stage</v>
      </c>
      <c r="J1142" s="7">
        <v>0</v>
      </c>
      <c r="K1142" s="129">
        <f t="shared" si="786"/>
        <v>0</v>
      </c>
      <c r="L1142" s="8" t="s">
        <v>151</v>
      </c>
      <c r="M1142" s="5"/>
      <c r="O1142" s="83"/>
      <c r="P1142" s="20">
        <v>0.5</v>
      </c>
      <c r="Q1142" s="143">
        <f t="shared" si="787"/>
        <v>50</v>
      </c>
      <c r="R1142" s="21" t="s">
        <v>151</v>
      </c>
      <c r="S1142" s="150" t="s">
        <v>1602</v>
      </c>
    </row>
    <row r="1143" spans="1:20" ht="28">
      <c r="A1143" s="110"/>
      <c r="B1143" s="111" t="s">
        <v>1963</v>
      </c>
      <c r="C1143" s="5"/>
      <c r="D1143" s="5"/>
      <c r="E1143" s="132">
        <f t="shared" ref="E1143:E1144" si="788">$O$1145-J1143*($O$1145-$O$1136)</f>
        <v>428.67975000000001</v>
      </c>
      <c r="F1143" s="139">
        <f t="shared" si="783"/>
        <v>426.73779999999999</v>
      </c>
      <c r="G1143" s="149"/>
      <c r="H1143" s="82" t="str">
        <f t="shared" si="784"/>
        <v>50 percent up in Homerian international stage</v>
      </c>
      <c r="I1143" s="142" t="str">
        <f t="shared" si="785"/>
        <v>100 percent up in Homerian international stage</v>
      </c>
      <c r="J1143" s="7">
        <v>0.5</v>
      </c>
      <c r="K1143" s="129">
        <f t="shared" si="786"/>
        <v>50</v>
      </c>
      <c r="L1143" s="8" t="s">
        <v>151</v>
      </c>
      <c r="M1143" s="5"/>
      <c r="O1143" s="83"/>
      <c r="P1143" s="20">
        <v>1</v>
      </c>
      <c r="Q1143" s="143">
        <f t="shared" si="787"/>
        <v>100</v>
      </c>
      <c r="R1143" s="21" t="s">
        <v>151</v>
      </c>
      <c r="S1143" s="150" t="s">
        <v>1601</v>
      </c>
    </row>
    <row r="1144" spans="1:20" ht="28">
      <c r="A1144" s="110"/>
      <c r="B1144" s="111" t="s">
        <v>1964</v>
      </c>
      <c r="C1144" s="5"/>
      <c r="D1144" s="5"/>
      <c r="E1144" s="132">
        <f t="shared" si="788"/>
        <v>430.62169999999998</v>
      </c>
      <c r="F1144" s="139">
        <f t="shared" si="783"/>
        <v>428.67975000000001</v>
      </c>
      <c r="G1144" s="149"/>
      <c r="H1144" s="82" t="str">
        <f t="shared" si="784"/>
        <v>0 percent up in Homerian international stage</v>
      </c>
      <c r="I1144" s="142" t="str">
        <f t="shared" si="785"/>
        <v>50 percent up in Homerian international stage</v>
      </c>
      <c r="J1144" s="7">
        <v>0</v>
      </c>
      <c r="K1144" s="129">
        <f t="shared" si="786"/>
        <v>0</v>
      </c>
      <c r="L1144" s="8" t="s">
        <v>151</v>
      </c>
      <c r="M1144" s="5"/>
      <c r="O1144" s="83"/>
      <c r="P1144" s="20">
        <v>0.5</v>
      </c>
      <c r="Q1144" s="143">
        <f t="shared" si="787"/>
        <v>50</v>
      </c>
      <c r="R1144" s="21" t="s">
        <v>151</v>
      </c>
      <c r="S1144" s="150" t="s">
        <v>1602</v>
      </c>
    </row>
    <row r="1145" spans="1:20" ht="28">
      <c r="A1145" s="110" t="s">
        <v>1165</v>
      </c>
      <c r="B1145" s="111" t="s">
        <v>151</v>
      </c>
      <c r="C1145" s="135"/>
      <c r="D1145" s="135" t="s">
        <v>222</v>
      </c>
      <c r="E1145" s="132">
        <f t="shared" si="782"/>
        <v>430.62169999999998</v>
      </c>
      <c r="F1145" s="139">
        <f t="shared" si="783"/>
        <v>426.73779999999999</v>
      </c>
      <c r="G1145" s="149"/>
      <c r="H1145" s="82" t="str">
        <f t="shared" si="759"/>
        <v>0 percent up in Homerian international stage</v>
      </c>
      <c r="I1145" s="142" t="str">
        <f t="shared" si="760"/>
        <v>100 percent up in Homerian international stage</v>
      </c>
      <c r="J1145" s="7">
        <v>0</v>
      </c>
      <c r="K1145" s="129">
        <f t="shared" si="761"/>
        <v>0</v>
      </c>
      <c r="L1145" s="8" t="s">
        <v>151</v>
      </c>
      <c r="M1145" s="5" t="s">
        <v>224</v>
      </c>
      <c r="N1145" s="5" t="s">
        <v>1180</v>
      </c>
      <c r="O1145" s="84">
        <f>Master_Chronostrat!I141</f>
        <v>430.62169999999998</v>
      </c>
      <c r="P1145" s="20">
        <v>1</v>
      </c>
      <c r="Q1145" s="143">
        <f t="shared" si="762"/>
        <v>100</v>
      </c>
      <c r="R1145" s="21" t="s">
        <v>151</v>
      </c>
      <c r="S1145" s="8" t="s">
        <v>224</v>
      </c>
      <c r="T1145" s="7" t="s">
        <v>226</v>
      </c>
    </row>
    <row r="1146" spans="1:20" ht="28">
      <c r="A1146" s="110" t="s">
        <v>1165</v>
      </c>
      <c r="B1146" s="111" t="s">
        <v>1181</v>
      </c>
      <c r="C1146" s="5"/>
      <c r="D1146" s="5" t="s">
        <v>368</v>
      </c>
      <c r="E1146" s="132">
        <f t="shared" ref="E1146:E1153" si="789">$O$1153-J1146*($O$1153-$O$1145)</f>
        <v>432.93259999999998</v>
      </c>
      <c r="F1146" s="139">
        <f>$O$1124-P1146*($O$1124-$O$1116)</f>
        <v>419</v>
      </c>
      <c r="G1146" s="149"/>
      <c r="H1146" s="82" t="str">
        <f t="shared" si="759"/>
        <v>0 percent up in Sheinwoodian international stage</v>
      </c>
      <c r="I1146" s="142" t="str">
        <f t="shared" si="760"/>
        <v>100 percent up in Pridoli international stage</v>
      </c>
      <c r="J1146" s="7">
        <v>0</v>
      </c>
      <c r="K1146" s="129">
        <f t="shared" si="761"/>
        <v>0</v>
      </c>
      <c r="L1146" s="8" t="s">
        <v>153</v>
      </c>
      <c r="M1146" s="5" t="s">
        <v>82</v>
      </c>
      <c r="N1146" s="5" t="s">
        <v>82</v>
      </c>
      <c r="O1146" s="83"/>
      <c r="P1146" s="20">
        <v>1</v>
      </c>
      <c r="Q1146" s="143">
        <f t="shared" si="762"/>
        <v>100</v>
      </c>
      <c r="R1146" s="21" t="s">
        <v>147</v>
      </c>
      <c r="S1146" s="8" t="s">
        <v>232</v>
      </c>
      <c r="T1146" s="7" t="s">
        <v>226</v>
      </c>
    </row>
    <row r="1147" spans="1:20" ht="42">
      <c r="A1147" s="110" t="s">
        <v>1165</v>
      </c>
      <c r="B1147" s="111" t="s">
        <v>1182</v>
      </c>
      <c r="C1147" s="5"/>
      <c r="D1147" s="5" t="s">
        <v>82</v>
      </c>
      <c r="E1147" s="132">
        <f t="shared" si="789"/>
        <v>432.93259999999998</v>
      </c>
      <c r="F1147" s="139">
        <f>$O$1153-P1147*($O$1153-$O$1145)</f>
        <v>430.62169999999998</v>
      </c>
      <c r="G1147" s="149"/>
      <c r="H1147" s="82" t="str">
        <f t="shared" si="759"/>
        <v>0 percent up in Sheinwoodian international stage</v>
      </c>
      <c r="I1147" s="142" t="str">
        <f t="shared" si="760"/>
        <v>100 percent up in Sheinwoodian international stage</v>
      </c>
      <c r="J1147" s="7">
        <v>0</v>
      </c>
      <c r="K1147" s="129">
        <f t="shared" si="761"/>
        <v>0</v>
      </c>
      <c r="L1147" s="8" t="s">
        <v>153</v>
      </c>
      <c r="M1147" s="5" t="s">
        <v>82</v>
      </c>
      <c r="N1147" s="5" t="s">
        <v>82</v>
      </c>
      <c r="O1147" s="83"/>
      <c r="P1147" s="20">
        <v>1</v>
      </c>
      <c r="Q1147" s="143">
        <f t="shared" si="762"/>
        <v>100</v>
      </c>
      <c r="R1147" s="21" t="s">
        <v>153</v>
      </c>
      <c r="S1147" s="8" t="s">
        <v>232</v>
      </c>
      <c r="T1147" s="7" t="s">
        <v>226</v>
      </c>
    </row>
    <row r="1148" spans="1:20" ht="42">
      <c r="A1148" s="110"/>
      <c r="B1148" s="111" t="s">
        <v>1745</v>
      </c>
      <c r="C1148" s="5"/>
      <c r="D1148" s="5"/>
      <c r="E1148" s="132">
        <f t="shared" si="789"/>
        <v>432.93259999999998</v>
      </c>
      <c r="F1148" s="139">
        <f>$O$1153-P1148*($O$1153-$O$1145)</f>
        <v>430.62169999999998</v>
      </c>
      <c r="G1148" s="149" t="s">
        <v>1746</v>
      </c>
      <c r="H1148" s="82" t="str">
        <f t="shared" ref="H1148:H1150" si="790">CONCATENATE(K1148," percent up in ",L1148," international stage")</f>
        <v>0 percent up in Sheinwoodian international stage</v>
      </c>
      <c r="I1148" s="142" t="str">
        <f t="shared" ref="I1148:I1150" si="791">CONCATENATE(Q1148," percent up in ",R1148," international stage")</f>
        <v>100 percent up in Sheinwoodian international stage</v>
      </c>
      <c r="J1148" s="7">
        <v>0</v>
      </c>
      <c r="K1148" s="129">
        <f t="shared" ref="K1148:K1150" si="792">ROUND(J1148*100,1)</f>
        <v>0</v>
      </c>
      <c r="L1148" s="8" t="s">
        <v>153</v>
      </c>
      <c r="M1148" s="5"/>
      <c r="O1148" s="83"/>
      <c r="P1148" s="20">
        <v>1</v>
      </c>
      <c r="Q1148" s="143">
        <f t="shared" ref="Q1148:Q1150" si="793">ROUND(P1148*100,1)</f>
        <v>100</v>
      </c>
      <c r="R1148" s="21" t="s">
        <v>153</v>
      </c>
      <c r="S1148" s="8" t="s">
        <v>232</v>
      </c>
    </row>
    <row r="1149" spans="1:20" ht="42">
      <c r="A1149" s="110"/>
      <c r="B1149" s="111" t="s">
        <v>1965</v>
      </c>
      <c r="C1149" s="5"/>
      <c r="D1149" s="5"/>
      <c r="E1149" s="132">
        <f t="shared" ref="E1149:E1150" si="794">$O$1153-J1149*($O$1153-$O$1145)</f>
        <v>431.77715000000001</v>
      </c>
      <c r="F1149" s="139">
        <f>$O$1153-P1149*($O$1153-$O$1145)</f>
        <v>430.62169999999998</v>
      </c>
      <c r="G1149" s="149"/>
      <c r="H1149" s="82" t="str">
        <f t="shared" si="790"/>
        <v>50 percent up in Sheinwoodian international stage</v>
      </c>
      <c r="I1149" s="142" t="str">
        <f t="shared" si="791"/>
        <v>100 percent up in Sheinwoodian international stage</v>
      </c>
      <c r="J1149" s="7">
        <v>0.5</v>
      </c>
      <c r="K1149" s="129">
        <f t="shared" si="792"/>
        <v>50</v>
      </c>
      <c r="L1149" s="8" t="s">
        <v>153</v>
      </c>
      <c r="M1149" s="5"/>
      <c r="O1149" s="83"/>
      <c r="P1149" s="20">
        <v>1</v>
      </c>
      <c r="Q1149" s="143">
        <f t="shared" si="793"/>
        <v>100</v>
      </c>
      <c r="R1149" s="21" t="s">
        <v>153</v>
      </c>
      <c r="S1149" s="150" t="s">
        <v>1601</v>
      </c>
    </row>
    <row r="1150" spans="1:20" ht="34">
      <c r="A1150" s="110"/>
      <c r="B1150" s="111" t="s">
        <v>1966</v>
      </c>
      <c r="C1150" s="5"/>
      <c r="D1150" s="5"/>
      <c r="E1150" s="132">
        <f t="shared" si="794"/>
        <v>432.93259999999998</v>
      </c>
      <c r="F1150" s="139">
        <f>$O$1153-P1150*($O$1153-$O$1145)</f>
        <v>431.77715000000001</v>
      </c>
      <c r="G1150" s="149"/>
      <c r="H1150" s="82" t="str">
        <f t="shared" si="790"/>
        <v>0 percent up in Sheinwoodian international stage</v>
      </c>
      <c r="I1150" s="142" t="str">
        <f t="shared" si="791"/>
        <v>50 percent up in Sheinwoodian international stage</v>
      </c>
      <c r="J1150" s="7">
        <v>0</v>
      </c>
      <c r="K1150" s="129">
        <f t="shared" si="792"/>
        <v>0</v>
      </c>
      <c r="L1150" s="8" t="s">
        <v>153</v>
      </c>
      <c r="M1150" s="5"/>
      <c r="O1150" s="83"/>
      <c r="P1150" s="20">
        <v>0.5</v>
      </c>
      <c r="Q1150" s="143">
        <f t="shared" si="793"/>
        <v>50</v>
      </c>
      <c r="R1150" s="21" t="s">
        <v>153</v>
      </c>
      <c r="S1150" s="150" t="s">
        <v>1602</v>
      </c>
    </row>
    <row r="1151" spans="1:20" ht="42">
      <c r="A1151" s="110" t="s">
        <v>1165</v>
      </c>
      <c r="B1151" s="111" t="s">
        <v>153</v>
      </c>
      <c r="C1151" s="135"/>
      <c r="D1151" s="135" t="s">
        <v>222</v>
      </c>
      <c r="E1151" s="132">
        <f t="shared" si="789"/>
        <v>432.93259999999998</v>
      </c>
      <c r="F1151" s="139">
        <f>$O$1153-P1151*($O$1153-$O$1145)</f>
        <v>430.62169999999998</v>
      </c>
      <c r="G1151" s="149"/>
      <c r="H1151" s="82" t="str">
        <f t="shared" si="759"/>
        <v>0 percent up in Sheinwoodian international stage</v>
      </c>
      <c r="I1151" s="142" t="str">
        <f t="shared" si="760"/>
        <v>100 percent up in Sheinwoodian international stage</v>
      </c>
      <c r="J1151" s="7">
        <v>0</v>
      </c>
      <c r="K1151" s="129">
        <f t="shared" si="761"/>
        <v>0</v>
      </c>
      <c r="L1151" s="8" t="s">
        <v>153</v>
      </c>
      <c r="M1151" s="5" t="s">
        <v>224</v>
      </c>
      <c r="N1151" s="5" t="s">
        <v>1183</v>
      </c>
      <c r="O1151" s="84">
        <f>Master_Chronostrat!I142</f>
        <v>432.93259999999998</v>
      </c>
      <c r="P1151" s="20">
        <v>1</v>
      </c>
      <c r="Q1151" s="143">
        <f t="shared" si="762"/>
        <v>100</v>
      </c>
      <c r="R1151" s="21" t="s">
        <v>153</v>
      </c>
      <c r="S1151" s="8" t="s">
        <v>224</v>
      </c>
      <c r="T1151" s="7" t="s">
        <v>226</v>
      </c>
    </row>
    <row r="1152" spans="1:20" ht="28">
      <c r="A1152" s="110"/>
      <c r="B1152" s="111" t="s">
        <v>1743</v>
      </c>
      <c r="C1152" s="5"/>
      <c r="D1152" s="5" t="s">
        <v>82</v>
      </c>
      <c r="E1152" s="132">
        <f t="shared" si="789"/>
        <v>432.93259999999998</v>
      </c>
      <c r="F1152" s="139">
        <f>$O$1145-P1152*($O$1145-$O$1136)</f>
        <v>426.73779999999999</v>
      </c>
      <c r="G1152" s="149" t="s">
        <v>1744</v>
      </c>
      <c r="H1152" s="82" t="str">
        <f t="shared" ref="H1152" si="795">CONCATENATE(K1152," percent up in ",L1152," international stage")</f>
        <v>0 percent up in Sheinwoodian international stage</v>
      </c>
      <c r="I1152" s="142" t="str">
        <f t="shared" ref="I1152" si="796">CONCATENATE(Q1152," percent up in ",R1152," international stage")</f>
        <v>100 percent up in Homerian international stage</v>
      </c>
      <c r="J1152" s="7">
        <v>0</v>
      </c>
      <c r="K1152" s="129">
        <f t="shared" ref="K1152" si="797">ROUND(J1152*100,1)</f>
        <v>0</v>
      </c>
      <c r="L1152" s="8" t="s">
        <v>153</v>
      </c>
      <c r="M1152" s="5"/>
      <c r="O1152" s="84"/>
      <c r="P1152" s="20">
        <v>1</v>
      </c>
      <c r="Q1152" s="143">
        <f t="shared" ref="Q1152" si="798">ROUND(P1152*100,1)</f>
        <v>100</v>
      </c>
      <c r="R1152" s="21" t="s">
        <v>151</v>
      </c>
      <c r="S1152" s="8" t="s">
        <v>232</v>
      </c>
    </row>
    <row r="1153" spans="1:20" ht="28">
      <c r="A1153" s="110" t="s">
        <v>1165</v>
      </c>
      <c r="B1153" s="111" t="s">
        <v>152</v>
      </c>
      <c r="C1153" s="135"/>
      <c r="D1153" s="135" t="s">
        <v>222</v>
      </c>
      <c r="E1153" s="132">
        <f t="shared" si="789"/>
        <v>432.93259999999998</v>
      </c>
      <c r="F1153" s="139">
        <f>$O$1145-P1153*($O$1145-$O$1136)</f>
        <v>426.73779999999999</v>
      </c>
      <c r="G1153" s="149"/>
      <c r="H1153" s="82" t="str">
        <f t="shared" si="759"/>
        <v>0 percent up in Sheinwoodian international stage</v>
      </c>
      <c r="I1153" s="142" t="str">
        <f t="shared" si="760"/>
        <v>100 percent up in Homerian international stage</v>
      </c>
      <c r="J1153" s="7">
        <v>0</v>
      </c>
      <c r="K1153" s="129">
        <f t="shared" si="761"/>
        <v>0</v>
      </c>
      <c r="L1153" s="8" t="s">
        <v>153</v>
      </c>
      <c r="M1153" s="5" t="s">
        <v>224</v>
      </c>
      <c r="N1153" s="5" t="s">
        <v>1184</v>
      </c>
      <c r="O1153" s="84">
        <f>Master_Chronostrat!I142</f>
        <v>432.93259999999998</v>
      </c>
      <c r="P1153" s="20">
        <v>1</v>
      </c>
      <c r="Q1153" s="143">
        <f t="shared" si="762"/>
        <v>100</v>
      </c>
      <c r="R1153" s="21" t="s">
        <v>151</v>
      </c>
      <c r="S1153" s="8" t="s">
        <v>239</v>
      </c>
      <c r="T1153" s="7" t="s">
        <v>226</v>
      </c>
    </row>
    <row r="1154" spans="1:20" ht="28">
      <c r="A1154" s="110" t="s">
        <v>1165</v>
      </c>
      <c r="B1154" s="111" t="s">
        <v>1185</v>
      </c>
      <c r="C1154" s="5"/>
      <c r="D1154" s="5" t="s">
        <v>248</v>
      </c>
      <c r="E1154" s="132">
        <f t="shared" ref="E1154:E1164" si="799">$O$1164-J1154*($O$1164-$O$1153)</f>
        <v>433.51292820512822</v>
      </c>
      <c r="F1154" s="139">
        <f>$O$1145-P1154*($O$1145-$O$1136)</f>
        <v>429.79784242424245</v>
      </c>
      <c r="G1154" s="149"/>
      <c r="H1154" s="82" t="str">
        <f t="shared" si="759"/>
        <v>89.7 percent up in Telychian international stage</v>
      </c>
      <c r="I1154" s="142" t="str">
        <f t="shared" si="760"/>
        <v>21.2 percent up in Homerian international stage</v>
      </c>
      <c r="J1154" s="7">
        <v>0.89743589743589613</v>
      </c>
      <c r="K1154" s="129">
        <f t="shared" si="761"/>
        <v>89.7</v>
      </c>
      <c r="L1154" s="8" t="s">
        <v>154</v>
      </c>
      <c r="M1154" s="5" t="s">
        <v>82</v>
      </c>
      <c r="N1154" s="5" t="s">
        <v>82</v>
      </c>
      <c r="O1154" s="83"/>
      <c r="P1154" s="20">
        <v>0.21212121212120794</v>
      </c>
      <c r="Q1154" s="143">
        <f t="shared" si="762"/>
        <v>21.2</v>
      </c>
      <c r="R1154" s="21" t="s">
        <v>151</v>
      </c>
      <c r="S1154" s="8" t="s">
        <v>246</v>
      </c>
      <c r="T1154" s="7" t="s">
        <v>226</v>
      </c>
    </row>
    <row r="1155" spans="1:20" ht="28">
      <c r="A1155" s="110" t="s">
        <v>1165</v>
      </c>
      <c r="B1155" s="112" t="s">
        <v>1186</v>
      </c>
      <c r="C1155" s="5"/>
      <c r="D1155" s="5" t="s">
        <v>244</v>
      </c>
      <c r="E1155" s="132">
        <f t="shared" si="799"/>
        <v>433.8393628205128</v>
      </c>
      <c r="F1155" s="139">
        <f>$O$1145-P1155*($O$1145-$O$1136)</f>
        <v>426.73779999999999</v>
      </c>
      <c r="G1155" s="149"/>
      <c r="H1155" s="82" t="str">
        <f t="shared" si="759"/>
        <v>84 percent up in Telychian international stage</v>
      </c>
      <c r="I1155" s="142" t="str">
        <f t="shared" si="760"/>
        <v>100 percent up in Homerian international stage</v>
      </c>
      <c r="J1155" s="7">
        <v>0.83974358974358998</v>
      </c>
      <c r="K1155" s="129">
        <f t="shared" si="761"/>
        <v>84</v>
      </c>
      <c r="L1155" s="8" t="s">
        <v>154</v>
      </c>
      <c r="M1155" s="5" t="s">
        <v>82</v>
      </c>
      <c r="N1155" s="5" t="s">
        <v>82</v>
      </c>
      <c r="O1155" s="83"/>
      <c r="P1155" s="20">
        <v>1</v>
      </c>
      <c r="Q1155" s="143">
        <f t="shared" si="762"/>
        <v>100</v>
      </c>
      <c r="R1155" s="21" t="s">
        <v>151</v>
      </c>
      <c r="S1155" s="8" t="s">
        <v>246</v>
      </c>
      <c r="T1155" s="7" t="s">
        <v>226</v>
      </c>
    </row>
    <row r="1156" spans="1:20" ht="28">
      <c r="A1156" s="110" t="s">
        <v>1165</v>
      </c>
      <c r="B1156" s="111" t="s">
        <v>1187</v>
      </c>
      <c r="C1156" s="5"/>
      <c r="D1156" s="5" t="s">
        <v>248</v>
      </c>
      <c r="E1156" s="132">
        <f t="shared" si="799"/>
        <v>436.41456923076925</v>
      </c>
      <c r="F1156" s="139">
        <f>$O$1164-P1156*($O$1164-$O$1153)</f>
        <v>433.51292820512822</v>
      </c>
      <c r="G1156" s="149"/>
      <c r="H1156" s="82" t="str">
        <f t="shared" si="759"/>
        <v>38.5 percent up in Telychian international stage</v>
      </c>
      <c r="I1156" s="142" t="str">
        <f t="shared" si="760"/>
        <v>89.7 percent up in Telychian international stage</v>
      </c>
      <c r="J1156" s="7">
        <v>0.38461538461538403</v>
      </c>
      <c r="K1156" s="129">
        <f t="shared" si="761"/>
        <v>38.5</v>
      </c>
      <c r="L1156" s="8" t="s">
        <v>154</v>
      </c>
      <c r="M1156" s="5" t="s">
        <v>82</v>
      </c>
      <c r="N1156" s="5" t="s">
        <v>82</v>
      </c>
      <c r="O1156" s="83"/>
      <c r="P1156" s="20">
        <v>0.89743589743589613</v>
      </c>
      <c r="Q1156" s="143">
        <f t="shared" si="762"/>
        <v>89.7</v>
      </c>
      <c r="R1156" s="21" t="s">
        <v>154</v>
      </c>
      <c r="S1156" s="8" t="s">
        <v>259</v>
      </c>
      <c r="T1156" s="7">
        <v>0.51282051282051566</v>
      </c>
    </row>
    <row r="1157" spans="1:20" ht="28">
      <c r="A1157" s="110" t="s">
        <v>1165</v>
      </c>
      <c r="B1157" s="111" t="s">
        <v>1188</v>
      </c>
      <c r="C1157" s="5"/>
      <c r="D1157" s="5" t="s">
        <v>368</v>
      </c>
      <c r="E1157" s="132">
        <f t="shared" si="799"/>
        <v>436.41456923076925</v>
      </c>
      <c r="F1157" s="139">
        <f>$O$1164-P1157*($O$1164-$O$1153)</f>
        <v>432.93259999999998</v>
      </c>
      <c r="G1157" s="149"/>
      <c r="H1157" s="82" t="str">
        <f t="shared" si="759"/>
        <v>38.5 percent up in Telychian international stage</v>
      </c>
      <c r="I1157" s="142" t="str">
        <f t="shared" si="760"/>
        <v>100 percent up in Telychian international stage</v>
      </c>
      <c r="J1157" s="7">
        <v>0.38461538461538403</v>
      </c>
      <c r="K1157" s="129">
        <f t="shared" si="761"/>
        <v>38.5</v>
      </c>
      <c r="L1157" s="8" t="s">
        <v>154</v>
      </c>
      <c r="M1157" s="5" t="s">
        <v>82</v>
      </c>
      <c r="N1157" s="5" t="s">
        <v>82</v>
      </c>
      <c r="O1157" s="83"/>
      <c r="P1157" s="20">
        <v>1</v>
      </c>
      <c r="Q1157" s="143">
        <f t="shared" si="762"/>
        <v>100</v>
      </c>
      <c r="R1157" s="21" t="s">
        <v>154</v>
      </c>
      <c r="S1157" s="8" t="s">
        <v>272</v>
      </c>
      <c r="T1157" s="7" t="s">
        <v>226</v>
      </c>
    </row>
    <row r="1158" spans="1:20" ht="28">
      <c r="A1158" s="110" t="s">
        <v>1165</v>
      </c>
      <c r="B1158" s="112" t="s">
        <v>1189</v>
      </c>
      <c r="C1158" s="5"/>
      <c r="D1158" s="5" t="s">
        <v>244</v>
      </c>
      <c r="E1158" s="132">
        <f t="shared" si="799"/>
        <v>438.5908</v>
      </c>
      <c r="F1158" s="139">
        <f>$O$1164-P1158*($O$1164-$O$1153)</f>
        <v>433.8393628205128</v>
      </c>
      <c r="G1158" s="149"/>
      <c r="H1158" s="82" t="str">
        <f t="shared" si="759"/>
        <v>0 percent up in Telychian international stage</v>
      </c>
      <c r="I1158" s="142" t="str">
        <f t="shared" si="760"/>
        <v>84 percent up in Telychian international stage</v>
      </c>
      <c r="J1158" s="7">
        <v>0</v>
      </c>
      <c r="K1158" s="129">
        <f t="shared" si="761"/>
        <v>0</v>
      </c>
      <c r="L1158" s="8" t="s">
        <v>154</v>
      </c>
      <c r="M1158" s="5" t="s">
        <v>82</v>
      </c>
      <c r="N1158" s="5" t="s">
        <v>82</v>
      </c>
      <c r="O1158" s="83"/>
      <c r="P1158" s="20">
        <v>0.83974358974358998</v>
      </c>
      <c r="Q1158" s="143">
        <f t="shared" si="762"/>
        <v>84</v>
      </c>
      <c r="R1158" s="21" t="s">
        <v>154</v>
      </c>
      <c r="S1158" s="8" t="s">
        <v>230</v>
      </c>
      <c r="T1158" s="7" t="s">
        <v>226</v>
      </c>
    </row>
    <row r="1159" spans="1:20" ht="28">
      <c r="A1159" s="110" t="s">
        <v>1165</v>
      </c>
      <c r="B1159" s="111" t="s">
        <v>1190</v>
      </c>
      <c r="C1159" s="5"/>
      <c r="D1159" s="5" t="s">
        <v>82</v>
      </c>
      <c r="E1159" s="132">
        <f t="shared" si="799"/>
        <v>438.5908</v>
      </c>
      <c r="F1159" s="139">
        <f>$O$1164-P1159*($O$1164-$O$1153)</f>
        <v>432.93259999999998</v>
      </c>
      <c r="G1159" s="149"/>
      <c r="H1159" s="82" t="str">
        <f t="shared" si="759"/>
        <v>0 percent up in Telychian international stage</v>
      </c>
      <c r="I1159" s="142" t="str">
        <f t="shared" si="760"/>
        <v>100 percent up in Telychian international stage</v>
      </c>
      <c r="J1159" s="7">
        <v>0</v>
      </c>
      <c r="K1159" s="129">
        <f t="shared" si="761"/>
        <v>0</v>
      </c>
      <c r="L1159" s="8" t="s">
        <v>154</v>
      </c>
      <c r="M1159" s="5" t="s">
        <v>82</v>
      </c>
      <c r="N1159" s="5" t="s">
        <v>82</v>
      </c>
      <c r="O1159" s="83"/>
      <c r="P1159" s="20">
        <v>1</v>
      </c>
      <c r="Q1159" s="143">
        <f t="shared" si="762"/>
        <v>100</v>
      </c>
      <c r="R1159" s="21" t="s">
        <v>154</v>
      </c>
      <c r="S1159" s="8" t="s">
        <v>232</v>
      </c>
      <c r="T1159" s="7" t="s">
        <v>226</v>
      </c>
    </row>
    <row r="1160" spans="1:20" ht="42">
      <c r="A1160" s="110" t="s">
        <v>1165</v>
      </c>
      <c r="B1160" s="111" t="s">
        <v>1191</v>
      </c>
      <c r="C1160" s="5"/>
      <c r="D1160" s="5" t="s">
        <v>82</v>
      </c>
      <c r="E1160" s="132">
        <f t="shared" si="799"/>
        <v>438.5908</v>
      </c>
      <c r="F1160" s="139">
        <f>$O$1153-P1160*($O$1153-$O$1145)</f>
        <v>430.62169999999998</v>
      </c>
      <c r="G1160" s="149"/>
      <c r="H1160" s="82" t="str">
        <f t="shared" si="759"/>
        <v>0 percent up in Telychian international stage</v>
      </c>
      <c r="I1160" s="142" t="str">
        <f t="shared" si="760"/>
        <v>100 percent up in Sheinwoodian international stage</v>
      </c>
      <c r="J1160" s="7">
        <v>0</v>
      </c>
      <c r="K1160" s="129">
        <f t="shared" si="761"/>
        <v>0</v>
      </c>
      <c r="L1160" s="8" t="s">
        <v>154</v>
      </c>
      <c r="M1160" s="5" t="s">
        <v>82</v>
      </c>
      <c r="N1160" s="5" t="s">
        <v>82</v>
      </c>
      <c r="O1160" s="83"/>
      <c r="P1160" s="20">
        <v>1</v>
      </c>
      <c r="Q1160" s="143">
        <f t="shared" si="762"/>
        <v>100</v>
      </c>
      <c r="R1160" s="21" t="s">
        <v>153</v>
      </c>
      <c r="S1160" s="8" t="s">
        <v>232</v>
      </c>
      <c r="T1160" s="7" t="s">
        <v>226</v>
      </c>
    </row>
    <row r="1161" spans="1:20" ht="28">
      <c r="A1161" s="110"/>
      <c r="B1161" s="111" t="s">
        <v>1756</v>
      </c>
      <c r="C1161" s="5"/>
      <c r="D1161" s="5"/>
      <c r="E1161" s="132">
        <f t="shared" ref="E1161" si="800">$O$1164-J1161*($O$1164-$O$1153)</f>
        <v>438.5908</v>
      </c>
      <c r="F1161" s="139">
        <f>$O$1164-P1161*($O$1164-$O$1153)</f>
        <v>432.93259999999998</v>
      </c>
      <c r="G1161" s="149"/>
      <c r="H1161" s="82" t="str">
        <f t="shared" ref="H1161" si="801">CONCATENATE(K1161," percent up in ",L1161," international stage")</f>
        <v>0 percent up in Telychian international stage</v>
      </c>
      <c r="I1161" s="142" t="str">
        <f t="shared" ref="I1161" si="802">CONCATENATE(Q1161," percent up in ",R1161," international stage")</f>
        <v>100 percent up in Telychian international stage</v>
      </c>
      <c r="J1161" s="7">
        <v>0</v>
      </c>
      <c r="K1161" s="129">
        <f t="shared" ref="K1161" si="803">ROUND(J1161*100,1)</f>
        <v>0</v>
      </c>
      <c r="L1161" s="8" t="s">
        <v>154</v>
      </c>
      <c r="M1161" s="5"/>
      <c r="O1161" s="83"/>
      <c r="P1161" s="20">
        <v>1</v>
      </c>
      <c r="Q1161" s="143">
        <f t="shared" ref="Q1161" si="804">ROUND(P1161*100,1)</f>
        <v>100</v>
      </c>
      <c r="R1161" s="21" t="s">
        <v>154</v>
      </c>
      <c r="S1161" s="8" t="s">
        <v>232</v>
      </c>
    </row>
    <row r="1162" spans="1:20" ht="28">
      <c r="A1162" s="110"/>
      <c r="B1162" s="111" t="s">
        <v>1751</v>
      </c>
      <c r="C1162" s="5"/>
      <c r="D1162" s="5"/>
      <c r="E1162" s="132">
        <f t="shared" ref="E1162:E1163" si="805">$O$1164-J1162*($O$1164-$O$1153)</f>
        <v>435.76170000000002</v>
      </c>
      <c r="F1162" s="139">
        <f>$O$1164-P1162*($O$1164-$O$1153)</f>
        <v>432.93259999999998</v>
      </c>
      <c r="G1162" s="149" t="s">
        <v>1601</v>
      </c>
      <c r="H1162" s="82" t="str">
        <f t="shared" ref="H1162:H1163" si="806">CONCATENATE(K1162," percent up in ",L1162," international stage")</f>
        <v>50 percent up in Telychian international stage</v>
      </c>
      <c r="I1162" s="142" t="str">
        <f t="shared" ref="I1162:I1163" si="807">CONCATENATE(Q1162," percent up in ",R1162," international stage")</f>
        <v>100 percent up in Telychian international stage</v>
      </c>
      <c r="J1162" s="7">
        <v>0.5</v>
      </c>
      <c r="K1162" s="129">
        <f t="shared" ref="K1162:K1163" si="808">ROUND(J1162*100,1)</f>
        <v>50</v>
      </c>
      <c r="L1162" s="8" t="s">
        <v>154</v>
      </c>
      <c r="M1162" s="5"/>
      <c r="O1162" s="83"/>
      <c r="P1162" s="20">
        <v>1</v>
      </c>
      <c r="Q1162" s="143">
        <f t="shared" ref="Q1162:Q1163" si="809">ROUND(P1162*100,1)</f>
        <v>100</v>
      </c>
      <c r="R1162" s="21" t="s">
        <v>154</v>
      </c>
      <c r="S1162" s="151" t="s">
        <v>1601</v>
      </c>
    </row>
    <row r="1163" spans="1:20" ht="28">
      <c r="A1163" s="110"/>
      <c r="B1163" s="111" t="s">
        <v>1752</v>
      </c>
      <c r="C1163" s="5"/>
      <c r="D1163" s="5"/>
      <c r="E1163" s="132">
        <f t="shared" si="805"/>
        <v>438.5908</v>
      </c>
      <c r="F1163" s="139">
        <f>$O$1164-P1163*($O$1164-$O$1153)</f>
        <v>435.76170000000002</v>
      </c>
      <c r="G1163" s="149" t="s">
        <v>1602</v>
      </c>
      <c r="H1163" s="82" t="str">
        <f t="shared" si="806"/>
        <v>0 percent up in Telychian international stage</v>
      </c>
      <c r="I1163" s="142" t="str">
        <f t="shared" si="807"/>
        <v>50 percent up in Telychian international stage</v>
      </c>
      <c r="J1163" s="7">
        <v>0</v>
      </c>
      <c r="K1163" s="129">
        <f t="shared" si="808"/>
        <v>0</v>
      </c>
      <c r="L1163" s="8" t="s">
        <v>154</v>
      </c>
      <c r="M1163" s="5"/>
      <c r="O1163" s="83"/>
      <c r="P1163" s="20">
        <v>0.5</v>
      </c>
      <c r="Q1163" s="143">
        <f t="shared" si="809"/>
        <v>50</v>
      </c>
      <c r="R1163" s="21" t="s">
        <v>154</v>
      </c>
      <c r="S1163" s="151" t="s">
        <v>1602</v>
      </c>
    </row>
    <row r="1164" spans="1:20" ht="28">
      <c r="A1164" s="110" t="s">
        <v>1165</v>
      </c>
      <c r="B1164" s="111" t="s">
        <v>154</v>
      </c>
      <c r="C1164" s="135"/>
      <c r="D1164" s="135" t="s">
        <v>222</v>
      </c>
      <c r="E1164" s="132">
        <f t="shared" si="799"/>
        <v>438.5908</v>
      </c>
      <c r="F1164" s="139">
        <f>$O$1164-P1164*($O$1164-$O$1153)</f>
        <v>432.93259999999998</v>
      </c>
      <c r="G1164" s="149"/>
      <c r="H1164" s="82" t="str">
        <f t="shared" si="759"/>
        <v>0 percent up in Telychian international stage</v>
      </c>
      <c r="I1164" s="142" t="str">
        <f t="shared" si="760"/>
        <v>100 percent up in Telychian international stage</v>
      </c>
      <c r="J1164" s="7">
        <v>0</v>
      </c>
      <c r="K1164" s="129">
        <f t="shared" si="761"/>
        <v>0</v>
      </c>
      <c r="L1164" s="8" t="s">
        <v>154</v>
      </c>
      <c r="M1164" s="5" t="s">
        <v>224</v>
      </c>
      <c r="N1164" s="5" t="s">
        <v>1192</v>
      </c>
      <c r="O1164" s="84">
        <f>Master_Chronostrat!I143</f>
        <v>438.5908</v>
      </c>
      <c r="P1164" s="20">
        <v>1</v>
      </c>
      <c r="Q1164" s="143">
        <f t="shared" si="762"/>
        <v>100</v>
      </c>
      <c r="R1164" s="21" t="s">
        <v>154</v>
      </c>
      <c r="S1164" s="8" t="s">
        <v>224</v>
      </c>
      <c r="T1164" s="7" t="s">
        <v>226</v>
      </c>
    </row>
    <row r="1165" spans="1:20" ht="28">
      <c r="A1165" s="110" t="s">
        <v>1165</v>
      </c>
      <c r="B1165" s="111" t="s">
        <v>1193</v>
      </c>
      <c r="C1165" s="5"/>
      <c r="D1165" s="5" t="s">
        <v>82</v>
      </c>
      <c r="E1165" s="132">
        <f t="shared" ref="E1165:E1173" si="810">$O$1173-J1165*($O$1173-$O$1164)</f>
        <v>439.54039999999998</v>
      </c>
      <c r="F1165" s="139">
        <f>$O$1173-P1165*($O$1173-$O$1164)</f>
        <v>438.5908</v>
      </c>
      <c r="G1165" s="149"/>
      <c r="H1165" s="82" t="str">
        <f t="shared" si="759"/>
        <v>50 percent up in Aeronian international stage</v>
      </c>
      <c r="I1165" s="142" t="str">
        <f t="shared" si="760"/>
        <v>100 percent up in Aeronian international stage</v>
      </c>
      <c r="J1165" s="7">
        <v>0.5</v>
      </c>
      <c r="K1165" s="129">
        <f t="shared" si="761"/>
        <v>50</v>
      </c>
      <c r="L1165" s="8" t="s">
        <v>155</v>
      </c>
      <c r="M1165" s="5" t="s">
        <v>82</v>
      </c>
      <c r="N1165" s="5" t="s">
        <v>82</v>
      </c>
      <c r="O1165" s="83"/>
      <c r="P1165" s="20">
        <v>1</v>
      </c>
      <c r="Q1165" s="143">
        <f t="shared" si="762"/>
        <v>100</v>
      </c>
      <c r="R1165" s="21" t="s">
        <v>155</v>
      </c>
      <c r="S1165" s="8" t="s">
        <v>272</v>
      </c>
      <c r="T1165" s="7" t="s">
        <v>226</v>
      </c>
    </row>
    <row r="1166" spans="1:20" ht="28">
      <c r="A1166" s="110" t="s">
        <v>1165</v>
      </c>
      <c r="B1166" s="111" t="s">
        <v>1194</v>
      </c>
      <c r="C1166" s="5"/>
      <c r="D1166" s="5" t="s">
        <v>244</v>
      </c>
      <c r="E1166" s="132">
        <f t="shared" si="810"/>
        <v>439.85693333333336</v>
      </c>
      <c r="F1166" s="139">
        <f>$O$1136-P1166*($O$1136-$O$1129)</f>
        <v>425.01010000000002</v>
      </c>
      <c r="G1166" s="149"/>
      <c r="H1166" s="82" t="str">
        <f t="shared" si="759"/>
        <v>33.3 percent up in Aeronian international stage</v>
      </c>
      <c r="I1166" s="142" t="str">
        <f t="shared" si="760"/>
        <v>100 percent up in Gorstian international stage</v>
      </c>
      <c r="J1166" s="7">
        <v>0.33333333333333337</v>
      </c>
      <c r="K1166" s="129">
        <f t="shared" si="761"/>
        <v>33.299999999999997</v>
      </c>
      <c r="L1166" s="8" t="s">
        <v>155</v>
      </c>
      <c r="M1166" s="5" t="s">
        <v>82</v>
      </c>
      <c r="N1166" s="5" t="s">
        <v>82</v>
      </c>
      <c r="O1166" s="83"/>
      <c r="P1166" s="20">
        <v>1</v>
      </c>
      <c r="Q1166" s="143">
        <f t="shared" si="762"/>
        <v>100</v>
      </c>
      <c r="R1166" s="21" t="s">
        <v>150</v>
      </c>
      <c r="S1166" s="8" t="s">
        <v>246</v>
      </c>
      <c r="T1166" s="7" t="s">
        <v>226</v>
      </c>
    </row>
    <row r="1167" spans="1:20" ht="28">
      <c r="A1167" s="110" t="s">
        <v>1165</v>
      </c>
      <c r="B1167" s="111" t="s">
        <v>1195</v>
      </c>
      <c r="C1167" s="5"/>
      <c r="D1167" s="5" t="s">
        <v>248</v>
      </c>
      <c r="E1167" s="132">
        <f t="shared" si="810"/>
        <v>439.85693333333336</v>
      </c>
      <c r="F1167" s="139">
        <f>$O$1164-P1167*($O$1164-$O$1153)</f>
        <v>436.41456923076925</v>
      </c>
      <c r="G1167" s="149"/>
      <c r="H1167" s="82" t="str">
        <f t="shared" si="759"/>
        <v>33.3 percent up in Aeronian international stage</v>
      </c>
      <c r="I1167" s="142" t="str">
        <f t="shared" si="760"/>
        <v>38.5 percent up in Telychian international stage</v>
      </c>
      <c r="J1167" s="7">
        <v>0.33333333333333337</v>
      </c>
      <c r="K1167" s="129">
        <f t="shared" si="761"/>
        <v>33.299999999999997</v>
      </c>
      <c r="L1167" s="8" t="s">
        <v>155</v>
      </c>
      <c r="M1167" s="5" t="s">
        <v>82</v>
      </c>
      <c r="N1167" s="5" t="s">
        <v>82</v>
      </c>
      <c r="O1167" s="83"/>
      <c r="P1167" s="20">
        <v>0.38461538461538408</v>
      </c>
      <c r="Q1167" s="143">
        <f t="shared" si="762"/>
        <v>38.5</v>
      </c>
      <c r="R1167" s="21" t="s">
        <v>154</v>
      </c>
      <c r="S1167" s="8" t="s">
        <v>246</v>
      </c>
      <c r="T1167" s="7" t="s">
        <v>226</v>
      </c>
    </row>
    <row r="1168" spans="1:20" ht="28">
      <c r="A1168" s="110" t="s">
        <v>1165</v>
      </c>
      <c r="B1168" s="111" t="s">
        <v>1196</v>
      </c>
      <c r="C1168" s="5"/>
      <c r="D1168" s="5" t="s">
        <v>82</v>
      </c>
      <c r="E1168" s="132">
        <f t="shared" si="810"/>
        <v>440.49</v>
      </c>
      <c r="F1168" s="139">
        <f t="shared" ref="F1168:F1174" si="811">$O$1173-P1168*($O$1173-$O$1164)</f>
        <v>439.54039999999998</v>
      </c>
      <c r="G1168" s="149"/>
      <c r="H1168" s="82" t="str">
        <f t="shared" si="759"/>
        <v>0 percent up in Aeronian international stage</v>
      </c>
      <c r="I1168" s="142" t="str">
        <f t="shared" si="760"/>
        <v>50 percent up in Aeronian international stage</v>
      </c>
      <c r="J1168" s="7">
        <v>0</v>
      </c>
      <c r="K1168" s="129">
        <f t="shared" si="761"/>
        <v>0</v>
      </c>
      <c r="L1168" s="8" t="s">
        <v>155</v>
      </c>
      <c r="M1168" s="5" t="s">
        <v>82</v>
      </c>
      <c r="N1168" s="5" t="s">
        <v>82</v>
      </c>
      <c r="O1168" s="83"/>
      <c r="P1168" s="20">
        <v>0.5</v>
      </c>
      <c r="Q1168" s="143">
        <f t="shared" si="762"/>
        <v>50</v>
      </c>
      <c r="R1168" s="21" t="s">
        <v>155</v>
      </c>
      <c r="S1168" s="8" t="s">
        <v>230</v>
      </c>
      <c r="T1168" s="7" t="s">
        <v>226</v>
      </c>
    </row>
    <row r="1169" spans="1:21" ht="28">
      <c r="A1169" s="110"/>
      <c r="B1169" s="111" t="s">
        <v>1757</v>
      </c>
      <c r="C1169" s="5"/>
      <c r="D1169" s="5"/>
      <c r="E1169" s="132">
        <f t="shared" si="810"/>
        <v>439.23652800000002</v>
      </c>
      <c r="F1169" s="139">
        <f t="shared" si="811"/>
        <v>438.5908</v>
      </c>
      <c r="G1169" s="149"/>
      <c r="H1169" s="82" t="str">
        <f t="shared" si="759"/>
        <v>66 percent up in Aeronian international stage</v>
      </c>
      <c r="I1169" s="142" t="str">
        <f t="shared" si="760"/>
        <v>100 percent up in Aeronian international stage</v>
      </c>
      <c r="J1169" s="7">
        <v>0.66</v>
      </c>
      <c r="K1169" s="129">
        <f t="shared" si="761"/>
        <v>66</v>
      </c>
      <c r="L1169" s="8" t="s">
        <v>155</v>
      </c>
      <c r="M1169" s="5"/>
      <c r="O1169" s="83"/>
      <c r="P1169" s="20">
        <v>1</v>
      </c>
      <c r="Q1169" s="143">
        <f t="shared" si="762"/>
        <v>100</v>
      </c>
      <c r="R1169" s="21" t="s">
        <v>155</v>
      </c>
      <c r="S1169" s="20">
        <v>1</v>
      </c>
      <c r="T1169" s="143">
        <f t="shared" ref="T1169" si="812">ROUND(S1169*100,1)</f>
        <v>100</v>
      </c>
      <c r="U1169" s="21" t="s">
        <v>155</v>
      </c>
    </row>
    <row r="1170" spans="1:21" ht="28">
      <c r="A1170" s="110"/>
      <c r="B1170" s="111" t="s">
        <v>1753</v>
      </c>
      <c r="C1170" s="5"/>
      <c r="D1170" s="5"/>
      <c r="E1170" s="132">
        <f t="shared" si="810"/>
        <v>439.23652800000002</v>
      </c>
      <c r="F1170" s="139">
        <f t="shared" si="811"/>
        <v>438.5908</v>
      </c>
      <c r="G1170" s="149" t="s">
        <v>1667</v>
      </c>
      <c r="H1170" s="82" t="str">
        <f t="shared" ref="H1170:H1172" si="813">CONCATENATE(K1170," percent up in ",L1170," international stage")</f>
        <v>66 percent up in Aeronian international stage</v>
      </c>
      <c r="I1170" s="142" t="str">
        <f t="shared" ref="I1170:I1172" si="814">CONCATENATE(Q1170," percent up in ",R1170," international stage")</f>
        <v>100 percent up in Aeronian international stage</v>
      </c>
      <c r="J1170" s="7">
        <v>0.66</v>
      </c>
      <c r="K1170" s="129">
        <f t="shared" ref="K1170:K1172" si="815">ROUND(J1170*100,1)</f>
        <v>66</v>
      </c>
      <c r="L1170" s="8" t="s">
        <v>155</v>
      </c>
      <c r="M1170" s="5"/>
      <c r="O1170" s="83"/>
      <c r="P1170" s="20">
        <v>1</v>
      </c>
      <c r="Q1170" s="143">
        <f t="shared" ref="Q1170:Q1172" si="816">ROUND(P1170*100,1)</f>
        <v>100</v>
      </c>
      <c r="R1170" s="21" t="s">
        <v>155</v>
      </c>
      <c r="S1170" s="151" t="s">
        <v>1667</v>
      </c>
    </row>
    <row r="1171" spans="1:21" ht="28">
      <c r="A1171" s="110"/>
      <c r="B1171" s="111" t="s">
        <v>1754</v>
      </c>
      <c r="C1171" s="5"/>
      <c r="D1171" s="5"/>
      <c r="E1171" s="132">
        <f t="shared" si="810"/>
        <v>439.86326400000002</v>
      </c>
      <c r="F1171" s="139">
        <f t="shared" si="811"/>
        <v>439.23652800000002</v>
      </c>
      <c r="G1171" s="149" t="s">
        <v>1668</v>
      </c>
      <c r="H1171" s="82" t="str">
        <f t="shared" si="813"/>
        <v>33 percent up in Aeronian international stage</v>
      </c>
      <c r="I1171" s="142" t="str">
        <f t="shared" si="814"/>
        <v>66 percent up in Aeronian international stage</v>
      </c>
      <c r="J1171" s="7">
        <v>0.33</v>
      </c>
      <c r="K1171" s="129">
        <f t="shared" si="815"/>
        <v>33</v>
      </c>
      <c r="L1171" s="8" t="s">
        <v>155</v>
      </c>
      <c r="M1171" s="5"/>
      <c r="O1171" s="83"/>
      <c r="P1171" s="20">
        <v>0.66</v>
      </c>
      <c r="Q1171" s="143">
        <f t="shared" si="816"/>
        <v>66</v>
      </c>
      <c r="R1171" s="21" t="s">
        <v>155</v>
      </c>
      <c r="S1171" s="151" t="s">
        <v>1668</v>
      </c>
    </row>
    <row r="1172" spans="1:21" ht="28">
      <c r="A1172" s="110"/>
      <c r="B1172" s="111" t="s">
        <v>1755</v>
      </c>
      <c r="C1172" s="5"/>
      <c r="D1172" s="5"/>
      <c r="E1172" s="132">
        <f t="shared" si="810"/>
        <v>440.49</v>
      </c>
      <c r="F1172" s="139">
        <f t="shared" si="811"/>
        <v>439.86326400000002</v>
      </c>
      <c r="G1172" s="149" t="s">
        <v>1669</v>
      </c>
      <c r="H1172" s="82" t="str">
        <f t="shared" si="813"/>
        <v>0 percent up in Aeronian international stage</v>
      </c>
      <c r="I1172" s="142" t="str">
        <f t="shared" si="814"/>
        <v>33 percent up in Aeronian international stage</v>
      </c>
      <c r="J1172" s="7">
        <v>0</v>
      </c>
      <c r="K1172" s="129">
        <f t="shared" si="815"/>
        <v>0</v>
      </c>
      <c r="L1172" s="8" t="s">
        <v>155</v>
      </c>
      <c r="M1172" s="5"/>
      <c r="O1172" s="83"/>
      <c r="P1172" s="20">
        <v>0.33</v>
      </c>
      <c r="Q1172" s="143">
        <f t="shared" si="816"/>
        <v>33</v>
      </c>
      <c r="R1172" s="21" t="s">
        <v>155</v>
      </c>
      <c r="S1172" s="151" t="s">
        <v>1669</v>
      </c>
    </row>
    <row r="1173" spans="1:21" ht="28">
      <c r="A1173" s="110" t="s">
        <v>1165</v>
      </c>
      <c r="B1173" s="111" t="s">
        <v>155</v>
      </c>
      <c r="C1173" s="135"/>
      <c r="D1173" s="135" t="s">
        <v>222</v>
      </c>
      <c r="E1173" s="132">
        <f t="shared" si="810"/>
        <v>440.49</v>
      </c>
      <c r="F1173" s="139">
        <f t="shared" si="811"/>
        <v>438.5908</v>
      </c>
      <c r="G1173" s="149"/>
      <c r="H1173" s="82" t="str">
        <f t="shared" si="759"/>
        <v>0 percent up in Aeronian international stage</v>
      </c>
      <c r="I1173" s="142" t="str">
        <f t="shared" si="760"/>
        <v>100 percent up in Aeronian international stage</v>
      </c>
      <c r="J1173" s="7">
        <v>0</v>
      </c>
      <c r="K1173" s="129">
        <f t="shared" si="761"/>
        <v>0</v>
      </c>
      <c r="L1173" s="8" t="s">
        <v>155</v>
      </c>
      <c r="M1173" s="5" t="s">
        <v>224</v>
      </c>
      <c r="N1173" s="5" t="s">
        <v>1197</v>
      </c>
      <c r="O1173" s="84">
        <f>Master_Chronostrat!I144</f>
        <v>440.49</v>
      </c>
      <c r="P1173" s="20">
        <v>1</v>
      </c>
      <c r="Q1173" s="143">
        <f t="shared" si="762"/>
        <v>100</v>
      </c>
      <c r="R1173" s="21" t="s">
        <v>155</v>
      </c>
      <c r="S1173" s="8" t="s">
        <v>224</v>
      </c>
      <c r="T1173" s="7" t="s">
        <v>226</v>
      </c>
    </row>
    <row r="1174" spans="1:21" ht="28">
      <c r="A1174" s="110" t="s">
        <v>1165</v>
      </c>
      <c r="B1174" s="111" t="s">
        <v>1198</v>
      </c>
      <c r="C1174" s="5"/>
      <c r="D1174" s="5" t="s">
        <v>82</v>
      </c>
      <c r="E1174" s="132">
        <f t="shared" ref="E1174:E1186" si="817">$O$1186-J1174*($O$1186-$O$1173)</f>
        <v>443.0718</v>
      </c>
      <c r="F1174" s="139">
        <f t="shared" si="811"/>
        <v>438.5908</v>
      </c>
      <c r="G1174" s="149"/>
      <c r="H1174" s="82" t="str">
        <f t="shared" si="759"/>
        <v>0 percent up in Rhuddanian international stage</v>
      </c>
      <c r="I1174" s="142" t="str">
        <f t="shared" si="760"/>
        <v>100 percent up in Aeronian international stage</v>
      </c>
      <c r="J1174" s="7">
        <v>0</v>
      </c>
      <c r="K1174" s="129">
        <f t="shared" si="761"/>
        <v>0</v>
      </c>
      <c r="L1174" s="8" t="s">
        <v>158</v>
      </c>
      <c r="M1174" s="5" t="s">
        <v>82</v>
      </c>
      <c r="N1174" s="5" t="s">
        <v>82</v>
      </c>
      <c r="O1174" s="83"/>
      <c r="P1174" s="20">
        <v>1</v>
      </c>
      <c r="Q1174" s="143">
        <f t="shared" si="762"/>
        <v>100</v>
      </c>
      <c r="R1174" s="21" t="s">
        <v>155</v>
      </c>
      <c r="S1174" s="8" t="s">
        <v>232</v>
      </c>
      <c r="T1174" s="7" t="s">
        <v>226</v>
      </c>
    </row>
    <row r="1175" spans="1:21" ht="28">
      <c r="A1175" s="110" t="s">
        <v>1165</v>
      </c>
      <c r="B1175" s="111" t="s">
        <v>1199</v>
      </c>
      <c r="C1175" s="5"/>
      <c r="D1175" s="5" t="s">
        <v>82</v>
      </c>
      <c r="E1175" s="132">
        <f t="shared" si="817"/>
        <v>443.0718</v>
      </c>
      <c r="F1175" s="139">
        <f>$O$1124-P1175*($O$1124-$O$1116)</f>
        <v>419</v>
      </c>
      <c r="G1175" s="149"/>
      <c r="H1175" s="82" t="str">
        <f t="shared" si="759"/>
        <v>0 percent up in Rhuddanian international stage</v>
      </c>
      <c r="I1175" s="142" t="str">
        <f t="shared" si="760"/>
        <v>100 percent up in Pridoli international stage</v>
      </c>
      <c r="J1175" s="7">
        <v>0</v>
      </c>
      <c r="K1175" s="129">
        <f t="shared" si="761"/>
        <v>0</v>
      </c>
      <c r="L1175" s="8" t="s">
        <v>158</v>
      </c>
      <c r="M1175" s="5" t="s">
        <v>82</v>
      </c>
      <c r="N1175" s="5" t="s">
        <v>82</v>
      </c>
      <c r="O1175" s="83"/>
      <c r="P1175" s="20">
        <v>1</v>
      </c>
      <c r="Q1175" s="143">
        <f t="shared" si="762"/>
        <v>100</v>
      </c>
      <c r="R1175" s="21" t="s">
        <v>147</v>
      </c>
      <c r="S1175" s="8" t="s">
        <v>232</v>
      </c>
      <c r="T1175" s="7" t="s">
        <v>226</v>
      </c>
    </row>
    <row r="1176" spans="1:21" ht="28">
      <c r="A1176" s="110" t="s">
        <v>1165</v>
      </c>
      <c r="B1176" s="112" t="s">
        <v>1200</v>
      </c>
      <c r="C1176" s="5"/>
      <c r="D1176" s="5" t="s">
        <v>1201</v>
      </c>
      <c r="E1176" s="132">
        <f t="shared" si="817"/>
        <v>443.0718</v>
      </c>
      <c r="F1176" s="139">
        <f>$O$1186-P1176*($O$1186-$O$1173)</f>
        <v>442.30275319148939</v>
      </c>
      <c r="G1176" s="149"/>
      <c r="H1176" s="82" t="str">
        <f t="shared" si="759"/>
        <v>0 percent up in Rhuddanian international stage</v>
      </c>
      <c r="I1176" s="142" t="str">
        <f t="shared" si="760"/>
        <v>29.8 percent up in Rhuddanian international stage</v>
      </c>
      <c r="J1176" s="7">
        <v>0</v>
      </c>
      <c r="K1176" s="129">
        <f t="shared" si="761"/>
        <v>0</v>
      </c>
      <c r="L1176" s="8" t="s">
        <v>158</v>
      </c>
      <c r="M1176" s="5" t="s">
        <v>82</v>
      </c>
      <c r="N1176" s="5" t="s">
        <v>82</v>
      </c>
      <c r="O1176" s="83"/>
      <c r="P1176" s="20">
        <v>0.29787234042552779</v>
      </c>
      <c r="Q1176" s="143">
        <f t="shared" si="762"/>
        <v>29.8</v>
      </c>
      <c r="R1176" s="21" t="s">
        <v>158</v>
      </c>
      <c r="S1176" s="8" t="s">
        <v>230</v>
      </c>
      <c r="T1176" s="7" t="s">
        <v>226</v>
      </c>
    </row>
    <row r="1177" spans="1:21" ht="28">
      <c r="A1177" s="110" t="s">
        <v>1165</v>
      </c>
      <c r="B1177" s="111" t="s">
        <v>1202</v>
      </c>
      <c r="C1177" s="5"/>
      <c r="D1177" s="5" t="s">
        <v>368</v>
      </c>
      <c r="E1177" s="132">
        <f t="shared" si="817"/>
        <v>443.0718</v>
      </c>
      <c r="F1177" s="139">
        <f>$O$1164-P1177*($O$1164-$O$1153)</f>
        <v>436.41456923076925</v>
      </c>
      <c r="G1177" s="149"/>
      <c r="H1177" s="82" t="str">
        <f t="shared" si="759"/>
        <v>0 percent up in Rhuddanian international stage</v>
      </c>
      <c r="I1177" s="142" t="str">
        <f t="shared" si="760"/>
        <v>38.5 percent up in Telychian international stage</v>
      </c>
      <c r="J1177" s="7">
        <v>0</v>
      </c>
      <c r="K1177" s="129">
        <f t="shared" si="761"/>
        <v>0</v>
      </c>
      <c r="L1177" s="8" t="s">
        <v>158</v>
      </c>
      <c r="M1177" s="5" t="s">
        <v>82</v>
      </c>
      <c r="N1177" s="5" t="s">
        <v>82</v>
      </c>
      <c r="O1177" s="83"/>
      <c r="P1177" s="20">
        <v>0.38461538461538408</v>
      </c>
      <c r="Q1177" s="143">
        <f t="shared" si="762"/>
        <v>38.5</v>
      </c>
      <c r="R1177" s="21" t="s">
        <v>154</v>
      </c>
      <c r="S1177" s="8" t="s">
        <v>246</v>
      </c>
      <c r="T1177" s="7" t="s">
        <v>226</v>
      </c>
    </row>
    <row r="1178" spans="1:21" ht="28">
      <c r="A1178" s="110" t="s">
        <v>1165</v>
      </c>
      <c r="B1178" s="111" t="s">
        <v>1203</v>
      </c>
      <c r="C1178" s="5"/>
      <c r="D1178" s="5" t="s">
        <v>248</v>
      </c>
      <c r="E1178" s="132">
        <f t="shared" si="817"/>
        <v>443.0718</v>
      </c>
      <c r="F1178" s="139">
        <f>$O$1173-P1178*($O$1173-$O$1164)</f>
        <v>439.85693333333336</v>
      </c>
      <c r="G1178" s="149"/>
      <c r="H1178" s="82" t="str">
        <f t="shared" si="759"/>
        <v>0 percent up in Rhuddanian international stage</v>
      </c>
      <c r="I1178" s="142" t="str">
        <f t="shared" si="760"/>
        <v>33.3 percent up in Aeronian international stage</v>
      </c>
      <c r="J1178" s="7">
        <v>0</v>
      </c>
      <c r="K1178" s="129">
        <f t="shared" si="761"/>
        <v>0</v>
      </c>
      <c r="L1178" s="8" t="s">
        <v>158</v>
      </c>
      <c r="M1178" s="5" t="s">
        <v>82</v>
      </c>
      <c r="N1178" s="5" t="s">
        <v>82</v>
      </c>
      <c r="O1178" s="83"/>
      <c r="P1178" s="20">
        <v>0.33333333333333331</v>
      </c>
      <c r="Q1178" s="143">
        <f t="shared" si="762"/>
        <v>33.299999999999997</v>
      </c>
      <c r="R1178" s="21" t="s">
        <v>155</v>
      </c>
      <c r="S1178" s="8" t="s">
        <v>246</v>
      </c>
      <c r="T1178" s="7" t="s">
        <v>226</v>
      </c>
    </row>
    <row r="1179" spans="1:21" ht="28">
      <c r="A1179" s="110" t="s">
        <v>1165</v>
      </c>
      <c r="B1179" s="111" t="s">
        <v>1204</v>
      </c>
      <c r="C1179" s="5"/>
      <c r="D1179" s="5" t="s">
        <v>244</v>
      </c>
      <c r="E1179" s="132">
        <f t="shared" si="817"/>
        <v>443.0718</v>
      </c>
      <c r="F1179" s="139">
        <f>$O$1173-P1179*($O$1173-$O$1164)</f>
        <v>439.85693333333336</v>
      </c>
      <c r="G1179" s="149"/>
      <c r="H1179" s="82" t="str">
        <f t="shared" si="759"/>
        <v>0 percent up in Rhuddanian international stage</v>
      </c>
      <c r="I1179" s="142" t="str">
        <f t="shared" si="760"/>
        <v>33.3 percent up in Aeronian international stage</v>
      </c>
      <c r="J1179" s="7">
        <v>0</v>
      </c>
      <c r="K1179" s="129">
        <f t="shared" si="761"/>
        <v>0</v>
      </c>
      <c r="L1179" s="8" t="s">
        <v>158</v>
      </c>
      <c r="M1179" s="5" t="s">
        <v>82</v>
      </c>
      <c r="N1179" s="5" t="s">
        <v>82</v>
      </c>
      <c r="O1179" s="83"/>
      <c r="P1179" s="20">
        <v>0.33333333333333331</v>
      </c>
      <c r="Q1179" s="143">
        <f t="shared" si="762"/>
        <v>33.299999999999997</v>
      </c>
      <c r="R1179" s="21" t="s">
        <v>155</v>
      </c>
      <c r="S1179" s="8" t="s">
        <v>246</v>
      </c>
      <c r="T1179" s="7" t="s">
        <v>226</v>
      </c>
    </row>
    <row r="1180" spans="1:21" ht="28">
      <c r="A1180" s="110" t="s">
        <v>1165</v>
      </c>
      <c r="B1180" s="111" t="s">
        <v>1205</v>
      </c>
      <c r="C1180" s="5"/>
      <c r="D1180" s="5" t="s">
        <v>82</v>
      </c>
      <c r="E1180" s="132">
        <f t="shared" si="817"/>
        <v>443.0718</v>
      </c>
      <c r="F1180" s="139">
        <f>$O$1145-P1180*($O$1145-$O$1136)</f>
        <v>426.73779999999999</v>
      </c>
      <c r="G1180" s="149"/>
      <c r="H1180" s="82" t="str">
        <f t="shared" si="759"/>
        <v>0 percent up in Rhuddanian international stage</v>
      </c>
      <c r="I1180" s="142" t="str">
        <f t="shared" si="760"/>
        <v>100 percent up in Homerian international stage</v>
      </c>
      <c r="J1180" s="7">
        <v>0</v>
      </c>
      <c r="K1180" s="129">
        <f t="shared" si="761"/>
        <v>0</v>
      </c>
      <c r="L1180" s="8" t="s">
        <v>158</v>
      </c>
      <c r="M1180" s="5" t="s">
        <v>82</v>
      </c>
      <c r="N1180" s="5" t="s">
        <v>82</v>
      </c>
      <c r="O1180" s="83"/>
      <c r="P1180" s="20">
        <v>1</v>
      </c>
      <c r="Q1180" s="143">
        <f t="shared" si="762"/>
        <v>100</v>
      </c>
      <c r="R1180" s="21" t="s">
        <v>151</v>
      </c>
      <c r="S1180" s="8" t="s">
        <v>232</v>
      </c>
      <c r="T1180" s="7" t="s">
        <v>226</v>
      </c>
    </row>
    <row r="1181" spans="1:21" ht="28">
      <c r="A1181" s="110"/>
      <c r="B1181" s="111" t="s">
        <v>1758</v>
      </c>
      <c r="C1181" s="5"/>
      <c r="D1181" s="5"/>
      <c r="E1181" s="132">
        <f t="shared" ref="E1181" si="818">$O$1186-J1181*($O$1186-$O$1173)</f>
        <v>443.0718</v>
      </c>
      <c r="F1181" s="139">
        <f>$O$1186-P1181*($O$1186-$O$1173)</f>
        <v>440.49</v>
      </c>
      <c r="G1181" s="149"/>
      <c r="H1181" s="82" t="str">
        <f t="shared" ref="H1181" si="819">CONCATENATE(K1181," percent up in ",L1181," international stage")</f>
        <v>0 percent up in Rhuddanian international stage</v>
      </c>
      <c r="I1181" s="142" t="str">
        <f t="shared" ref="I1181" si="820">CONCATENATE(Q1181," percent up in ",R1181," international stage")</f>
        <v>100 percent up in Rhuddanian international stage</v>
      </c>
      <c r="J1181" s="7">
        <v>0</v>
      </c>
      <c r="K1181" s="129">
        <f t="shared" ref="K1181" si="821">ROUND(J1181*100,1)</f>
        <v>0</v>
      </c>
      <c r="L1181" s="8" t="s">
        <v>158</v>
      </c>
      <c r="M1181" s="5"/>
      <c r="O1181" s="83"/>
      <c r="P1181" s="20">
        <v>1</v>
      </c>
      <c r="Q1181" s="143">
        <f t="shared" ref="Q1181" si="822">ROUND(P1181*100,1)</f>
        <v>100</v>
      </c>
      <c r="R1181" s="21" t="s">
        <v>158</v>
      </c>
      <c r="S1181" s="8" t="s">
        <v>232</v>
      </c>
    </row>
    <row r="1182" spans="1:21" ht="28">
      <c r="A1182" s="110"/>
      <c r="B1182" s="111" t="s">
        <v>1759</v>
      </c>
      <c r="C1182" s="5"/>
      <c r="D1182" s="5"/>
      <c r="E1182" s="132">
        <f t="shared" ref="E1182:E1183" si="823">$O$1186-J1182*($O$1186-$O$1173)</f>
        <v>441.78089999999997</v>
      </c>
      <c r="F1182" s="139">
        <f>$O$1186-P1182*($O$1186-$O$1173)</f>
        <v>440.49</v>
      </c>
      <c r="G1182" s="149" t="s">
        <v>1601</v>
      </c>
      <c r="H1182" s="82" t="str">
        <f t="shared" ref="H1182:H1183" si="824">CONCATENATE(K1182," percent up in ",L1182," international stage")</f>
        <v>50 percent up in Rhuddanian international stage</v>
      </c>
      <c r="I1182" s="142" t="str">
        <f t="shared" ref="I1182:I1183" si="825">CONCATENATE(Q1182," percent up in ",R1182," international stage")</f>
        <v>100 percent up in Rhuddanian international stage</v>
      </c>
      <c r="J1182" s="7">
        <v>0.5</v>
      </c>
      <c r="K1182" s="129">
        <f t="shared" ref="K1182:K1183" si="826">ROUND(J1182*100,1)</f>
        <v>50</v>
      </c>
      <c r="L1182" s="8" t="s">
        <v>158</v>
      </c>
      <c r="M1182" s="5"/>
      <c r="O1182" s="83"/>
      <c r="P1182" s="20">
        <v>1</v>
      </c>
      <c r="Q1182" s="143">
        <f t="shared" ref="Q1182:Q1183" si="827">ROUND(P1182*100,1)</f>
        <v>100</v>
      </c>
      <c r="R1182" s="21" t="s">
        <v>158</v>
      </c>
      <c r="S1182" s="151" t="s">
        <v>1601</v>
      </c>
    </row>
    <row r="1183" spans="1:21" ht="28">
      <c r="A1183" s="110"/>
      <c r="B1183" s="111" t="s">
        <v>1760</v>
      </c>
      <c r="C1183" s="5"/>
      <c r="D1183" s="5"/>
      <c r="E1183" s="132">
        <f t="shared" si="823"/>
        <v>443.0718</v>
      </c>
      <c r="F1183" s="139">
        <f>$O$1186-P1183*($O$1186-$O$1173)</f>
        <v>441.78089999999997</v>
      </c>
      <c r="G1183" s="149" t="s">
        <v>1602</v>
      </c>
      <c r="H1183" s="82" t="str">
        <f t="shared" si="824"/>
        <v>0 percent up in Rhuddanian international stage</v>
      </c>
      <c r="I1183" s="142" t="str">
        <f t="shared" si="825"/>
        <v>50 percent up in Rhuddanian international stage</v>
      </c>
      <c r="J1183" s="7">
        <v>0</v>
      </c>
      <c r="K1183" s="129">
        <f t="shared" si="826"/>
        <v>0</v>
      </c>
      <c r="L1183" s="8" t="s">
        <v>158</v>
      </c>
      <c r="M1183" s="5"/>
      <c r="O1183" s="83"/>
      <c r="P1183" s="20">
        <v>0.5</v>
      </c>
      <c r="Q1183" s="143">
        <f t="shared" si="827"/>
        <v>50</v>
      </c>
      <c r="R1183" s="21" t="s">
        <v>158</v>
      </c>
      <c r="S1183" s="151" t="s">
        <v>1602</v>
      </c>
    </row>
    <row r="1184" spans="1:21" ht="28">
      <c r="A1184" s="110" t="s">
        <v>1165</v>
      </c>
      <c r="B1184" s="111" t="s">
        <v>158</v>
      </c>
      <c r="C1184" s="135"/>
      <c r="D1184" s="135" t="s">
        <v>222</v>
      </c>
      <c r="E1184" s="132">
        <f t="shared" si="817"/>
        <v>443.0718</v>
      </c>
      <c r="F1184" s="139">
        <f>$O$1186-P1184*($O$1186-$O$1173)</f>
        <v>440.49</v>
      </c>
      <c r="G1184" s="149"/>
      <c r="H1184" s="82" t="str">
        <f t="shared" si="759"/>
        <v>0 percent up in Rhuddanian international stage</v>
      </c>
      <c r="I1184" s="142" t="str">
        <f t="shared" si="760"/>
        <v>100 percent up in Rhuddanian international stage</v>
      </c>
      <c r="J1184" s="7">
        <v>0</v>
      </c>
      <c r="K1184" s="129">
        <f t="shared" si="761"/>
        <v>0</v>
      </c>
      <c r="L1184" s="8" t="s">
        <v>158</v>
      </c>
      <c r="M1184" s="5" t="s">
        <v>224</v>
      </c>
      <c r="N1184" s="5" t="s">
        <v>1206</v>
      </c>
      <c r="O1184" s="84">
        <f>Master_Chronostrat!I145</f>
        <v>443.0718</v>
      </c>
      <c r="P1184" s="20">
        <v>1</v>
      </c>
      <c r="Q1184" s="143">
        <f t="shared" si="762"/>
        <v>100</v>
      </c>
      <c r="R1184" s="21" t="s">
        <v>158</v>
      </c>
      <c r="S1184" s="8" t="s">
        <v>224</v>
      </c>
      <c r="T1184" s="7" t="s">
        <v>226</v>
      </c>
    </row>
    <row r="1185" spans="1:20" ht="28">
      <c r="A1185" s="110" t="s">
        <v>1165</v>
      </c>
      <c r="B1185" s="111" t="s">
        <v>157</v>
      </c>
      <c r="C1185" s="135"/>
      <c r="D1185" s="135" t="s">
        <v>222</v>
      </c>
      <c r="E1185" s="132">
        <f t="shared" si="817"/>
        <v>443.0718</v>
      </c>
      <c r="F1185" s="139">
        <f>$O$1164-P1185*($O$1164-$O$1153)</f>
        <v>432.93259999999998</v>
      </c>
      <c r="G1185" s="149"/>
      <c r="H1185" s="82" t="str">
        <f t="shared" si="759"/>
        <v>0 percent up in Rhuddanian international stage</v>
      </c>
      <c r="I1185" s="142" t="str">
        <f t="shared" si="760"/>
        <v>100 percent up in Telychian international stage</v>
      </c>
      <c r="J1185" s="7">
        <v>0</v>
      </c>
      <c r="K1185" s="129">
        <f t="shared" si="761"/>
        <v>0</v>
      </c>
      <c r="L1185" s="8" t="s">
        <v>158</v>
      </c>
      <c r="M1185" s="5" t="s">
        <v>224</v>
      </c>
      <c r="N1185" s="5" t="s">
        <v>1207</v>
      </c>
      <c r="O1185" s="84">
        <f>Master_Chronostrat!I145</f>
        <v>443.0718</v>
      </c>
      <c r="P1185" s="20">
        <v>1</v>
      </c>
      <c r="Q1185" s="143">
        <f t="shared" si="762"/>
        <v>100</v>
      </c>
      <c r="R1185" s="21" t="s">
        <v>154</v>
      </c>
      <c r="S1185" s="8" t="s">
        <v>239</v>
      </c>
      <c r="T1185" s="7" t="s">
        <v>226</v>
      </c>
    </row>
    <row r="1186" spans="1:20" ht="28">
      <c r="A1186" s="110" t="s">
        <v>1165</v>
      </c>
      <c r="B1186" s="111" t="s">
        <v>156</v>
      </c>
      <c r="C1186" s="135"/>
      <c r="D1186" s="135" t="s">
        <v>222</v>
      </c>
      <c r="E1186" s="132">
        <f t="shared" si="817"/>
        <v>443.0718</v>
      </c>
      <c r="F1186" s="139">
        <f>$O$1124-P1186*($O$1124-$O$1116)</f>
        <v>419</v>
      </c>
      <c r="G1186" s="149"/>
      <c r="H1186" s="82" t="str">
        <f t="shared" si="759"/>
        <v>0 percent up in Rhuddanian international stage</v>
      </c>
      <c r="I1186" s="142" t="str">
        <f t="shared" si="760"/>
        <v>100 percent up in Pridoli international stage</v>
      </c>
      <c r="J1186" s="7">
        <v>0</v>
      </c>
      <c r="K1186" s="129">
        <f t="shared" si="761"/>
        <v>0</v>
      </c>
      <c r="L1186" s="8" t="s">
        <v>158</v>
      </c>
      <c r="M1186" s="5" t="s">
        <v>224</v>
      </c>
      <c r="N1186" s="5" t="s">
        <v>1208</v>
      </c>
      <c r="O1186" s="84">
        <f>Master_Chronostrat!I145</f>
        <v>443.0718</v>
      </c>
      <c r="P1186" s="20">
        <v>1</v>
      </c>
      <c r="Q1186" s="143">
        <f t="shared" si="762"/>
        <v>100</v>
      </c>
      <c r="R1186" s="21" t="s">
        <v>147</v>
      </c>
      <c r="S1186" s="8" t="s">
        <v>239</v>
      </c>
      <c r="T1186" s="7" t="s">
        <v>226</v>
      </c>
    </row>
    <row r="1187" spans="1:20" ht="28">
      <c r="A1187" s="116" t="s">
        <v>1209</v>
      </c>
      <c r="B1187" s="117" t="s">
        <v>1210</v>
      </c>
      <c r="C1187" s="5"/>
      <c r="D1187" s="5" t="s">
        <v>82</v>
      </c>
      <c r="E1187" s="132">
        <f t="shared" ref="E1187:E1192" si="828">$O$1192-J1187*($O$1192-$O$1186)</f>
        <v>445.21</v>
      </c>
      <c r="F1187" s="139">
        <f t="shared" ref="F1187:F1192" si="829">$O$1192-P1187*($O$1192-$O$1186)</f>
        <v>443.0718</v>
      </c>
      <c r="G1187" s="149"/>
      <c r="H1187" s="82" t="str">
        <f t="shared" si="759"/>
        <v>0 percent up in Hirnantian international stage</v>
      </c>
      <c r="I1187" s="142" t="str">
        <f t="shared" si="760"/>
        <v>100 percent up in Hirnantian international stage</v>
      </c>
      <c r="J1187" s="7">
        <v>0</v>
      </c>
      <c r="K1187" s="129">
        <f t="shared" si="761"/>
        <v>0</v>
      </c>
      <c r="L1187" s="8" t="s">
        <v>159</v>
      </c>
      <c r="M1187" s="5" t="s">
        <v>82</v>
      </c>
      <c r="N1187" s="5" t="s">
        <v>82</v>
      </c>
      <c r="O1187" s="83"/>
      <c r="P1187" s="20">
        <v>1</v>
      </c>
      <c r="Q1187" s="143">
        <f t="shared" si="762"/>
        <v>100</v>
      </c>
      <c r="R1187" s="21" t="s">
        <v>159</v>
      </c>
      <c r="S1187" s="8" t="s">
        <v>232</v>
      </c>
      <c r="T1187" s="7" t="s">
        <v>226</v>
      </c>
    </row>
    <row r="1188" spans="1:20" ht="28">
      <c r="A1188" s="116" t="s">
        <v>1209</v>
      </c>
      <c r="B1188" s="118" t="s">
        <v>1211</v>
      </c>
      <c r="C1188" s="5"/>
      <c r="D1188" s="5" t="s">
        <v>1212</v>
      </c>
      <c r="E1188" s="132">
        <f t="shared" si="828"/>
        <v>445.21</v>
      </c>
      <c r="F1188" s="139">
        <f t="shared" si="829"/>
        <v>443.0718</v>
      </c>
      <c r="G1188" s="149"/>
      <c r="H1188" s="82" t="str">
        <f t="shared" si="759"/>
        <v>0 percent up in Hirnantian international stage</v>
      </c>
      <c r="I1188" s="142" t="str">
        <f t="shared" si="760"/>
        <v>100 percent up in Hirnantian international stage</v>
      </c>
      <c r="J1188" s="7">
        <v>0</v>
      </c>
      <c r="K1188" s="129">
        <f t="shared" si="761"/>
        <v>0</v>
      </c>
      <c r="L1188" s="8" t="s">
        <v>159</v>
      </c>
      <c r="M1188" s="5" t="s">
        <v>82</v>
      </c>
      <c r="N1188" s="5" t="s">
        <v>82</v>
      </c>
      <c r="O1188" s="83"/>
      <c r="P1188" s="20">
        <v>1</v>
      </c>
      <c r="Q1188" s="143">
        <f t="shared" si="762"/>
        <v>100</v>
      </c>
      <c r="R1188" s="21" t="s">
        <v>159</v>
      </c>
      <c r="S1188" s="8" t="s">
        <v>232</v>
      </c>
      <c r="T1188" s="7" t="s">
        <v>226</v>
      </c>
    </row>
    <row r="1189" spans="1:20" ht="28">
      <c r="A1189" s="116" t="s">
        <v>1209</v>
      </c>
      <c r="B1189" s="118" t="s">
        <v>1213</v>
      </c>
      <c r="C1189" s="5"/>
      <c r="D1189" s="5" t="s">
        <v>1201</v>
      </c>
      <c r="E1189" s="132">
        <f t="shared" si="828"/>
        <v>445.21</v>
      </c>
      <c r="F1189" s="139">
        <f t="shared" si="829"/>
        <v>443.0718</v>
      </c>
      <c r="G1189" s="149"/>
      <c r="H1189" s="82" t="str">
        <f t="shared" si="759"/>
        <v>0 percent up in Hirnantian international stage</v>
      </c>
      <c r="I1189" s="142" t="str">
        <f t="shared" si="760"/>
        <v>100 percent up in Hirnantian international stage</v>
      </c>
      <c r="J1189" s="7">
        <v>0</v>
      </c>
      <c r="K1189" s="129">
        <f t="shared" si="761"/>
        <v>0</v>
      </c>
      <c r="L1189" s="8" t="s">
        <v>159</v>
      </c>
      <c r="M1189" s="5" t="s">
        <v>82</v>
      </c>
      <c r="N1189" s="5" t="s">
        <v>82</v>
      </c>
      <c r="O1189" s="83"/>
      <c r="P1189" s="20">
        <v>1</v>
      </c>
      <c r="Q1189" s="143">
        <f t="shared" si="762"/>
        <v>100</v>
      </c>
      <c r="R1189" s="21" t="s">
        <v>159</v>
      </c>
      <c r="S1189" s="8" t="s">
        <v>232</v>
      </c>
      <c r="T1189" s="7" t="s">
        <v>226</v>
      </c>
    </row>
    <row r="1190" spans="1:20" ht="28">
      <c r="A1190" s="116"/>
      <c r="B1190" s="118" t="s">
        <v>1969</v>
      </c>
      <c r="C1190" s="5"/>
      <c r="D1190" s="5"/>
      <c r="E1190" s="132">
        <f t="shared" si="828"/>
        <v>444.14089999999999</v>
      </c>
      <c r="F1190" s="139">
        <f t="shared" si="829"/>
        <v>443.0718</v>
      </c>
      <c r="G1190" s="149" t="s">
        <v>1601</v>
      </c>
      <c r="H1190" s="82" t="str">
        <f t="shared" ref="H1190:H1191" si="830">CONCATENATE(K1190," percent up in ",L1190," international stage")</f>
        <v>50 percent up in Hirnantian international stage</v>
      </c>
      <c r="I1190" s="142" t="str">
        <f t="shared" ref="I1190:I1191" si="831">CONCATENATE(Q1190," percent up in ",R1190," international stage")</f>
        <v>100 percent up in Hirnantian international stage</v>
      </c>
      <c r="J1190" s="7">
        <v>0.5</v>
      </c>
      <c r="K1190" s="129">
        <f t="shared" ref="K1190:K1191" si="832">ROUND(J1190*100,1)</f>
        <v>50</v>
      </c>
      <c r="L1190" s="8" t="s">
        <v>159</v>
      </c>
      <c r="M1190" s="5"/>
      <c r="O1190" s="83"/>
      <c r="P1190" s="20">
        <v>1</v>
      </c>
      <c r="Q1190" s="143">
        <f t="shared" ref="Q1190:Q1191" si="833">ROUND(P1190*100,1)</f>
        <v>100</v>
      </c>
      <c r="R1190" s="21" t="s">
        <v>159</v>
      </c>
      <c r="S1190" s="150" t="s">
        <v>1601</v>
      </c>
    </row>
    <row r="1191" spans="1:20" ht="28">
      <c r="A1191" s="116"/>
      <c r="B1191" s="118" t="s">
        <v>1970</v>
      </c>
      <c r="C1191" s="5"/>
      <c r="D1191" s="5"/>
      <c r="E1191" s="132">
        <f t="shared" si="828"/>
        <v>445.21</v>
      </c>
      <c r="F1191" s="139">
        <f t="shared" si="829"/>
        <v>444.14089999999999</v>
      </c>
      <c r="G1191" s="149" t="s">
        <v>1602</v>
      </c>
      <c r="H1191" s="82" t="str">
        <f t="shared" si="830"/>
        <v>0 percent up in Hirnantian international stage</v>
      </c>
      <c r="I1191" s="142" t="str">
        <f t="shared" si="831"/>
        <v>50 percent up in Hirnantian international stage</v>
      </c>
      <c r="J1191" s="7">
        <v>0</v>
      </c>
      <c r="K1191" s="129">
        <f t="shared" si="832"/>
        <v>0</v>
      </c>
      <c r="L1191" s="8" t="s">
        <v>159</v>
      </c>
      <c r="M1191" s="5"/>
      <c r="O1191" s="83"/>
      <c r="P1191" s="20">
        <v>0.5</v>
      </c>
      <c r="Q1191" s="143">
        <f t="shared" si="833"/>
        <v>50</v>
      </c>
      <c r="R1191" s="21" t="s">
        <v>159</v>
      </c>
      <c r="S1191" s="150" t="s">
        <v>1602</v>
      </c>
    </row>
    <row r="1192" spans="1:20" ht="28">
      <c r="A1192" s="116" t="s">
        <v>1209</v>
      </c>
      <c r="B1192" s="117" t="s">
        <v>159</v>
      </c>
      <c r="C1192" s="135"/>
      <c r="D1192" s="135" t="s">
        <v>222</v>
      </c>
      <c r="E1192" s="132">
        <f t="shared" si="828"/>
        <v>445.21</v>
      </c>
      <c r="F1192" s="139">
        <f t="shared" si="829"/>
        <v>443.0718</v>
      </c>
      <c r="G1192" s="149"/>
      <c r="H1192" s="82" t="str">
        <f t="shared" si="759"/>
        <v>0 percent up in Hirnantian international stage</v>
      </c>
      <c r="I1192" s="142" t="str">
        <f t="shared" si="760"/>
        <v>100 percent up in Hirnantian international stage</v>
      </c>
      <c r="J1192" s="7">
        <v>0</v>
      </c>
      <c r="K1192" s="129">
        <f t="shared" si="761"/>
        <v>0</v>
      </c>
      <c r="L1192" s="8" t="s">
        <v>159</v>
      </c>
      <c r="M1192" s="5" t="s">
        <v>224</v>
      </c>
      <c r="N1192" s="5" t="s">
        <v>1214</v>
      </c>
      <c r="O1192" s="84">
        <f>Master_Chronostrat!I146</f>
        <v>445.21</v>
      </c>
      <c r="P1192" s="20">
        <v>1</v>
      </c>
      <c r="Q1192" s="143">
        <f t="shared" si="762"/>
        <v>100</v>
      </c>
      <c r="R1192" s="21" t="s">
        <v>159</v>
      </c>
      <c r="S1192" s="8" t="s">
        <v>224</v>
      </c>
      <c r="T1192" s="7" t="s">
        <v>226</v>
      </c>
    </row>
    <row r="1193" spans="1:20" ht="28">
      <c r="A1193" s="116" t="s">
        <v>1209</v>
      </c>
      <c r="B1193" s="117" t="s">
        <v>1215</v>
      </c>
      <c r="C1193" s="5"/>
      <c r="D1193" s="5" t="s">
        <v>264</v>
      </c>
      <c r="E1193" s="132">
        <f>$O$1229-J1193*($O$1229-$O$1192)</f>
        <v>445.875294117647</v>
      </c>
      <c r="F1193" s="139">
        <f>$O$1229-P1193*($O$1229-$O$1192)</f>
        <v>445.21</v>
      </c>
      <c r="G1193" s="149"/>
      <c r="H1193" s="82" t="str">
        <f t="shared" si="759"/>
        <v>91.2 percent up in Katian international stage</v>
      </c>
      <c r="I1193" s="142" t="str">
        <f t="shared" si="760"/>
        <v>100 percent up in Katian international stage</v>
      </c>
      <c r="J1193" s="7">
        <v>0.91176470588235503</v>
      </c>
      <c r="K1193" s="129">
        <f t="shared" si="761"/>
        <v>91.2</v>
      </c>
      <c r="L1193" s="8" t="s">
        <v>160</v>
      </c>
      <c r="M1193" s="5" t="s">
        <v>82</v>
      </c>
      <c r="N1193" s="5" t="s">
        <v>82</v>
      </c>
      <c r="O1193" s="83"/>
      <c r="P1193" s="20">
        <v>1</v>
      </c>
      <c r="Q1193" s="143">
        <f t="shared" si="762"/>
        <v>100</v>
      </c>
      <c r="R1193" s="21" t="s">
        <v>160</v>
      </c>
      <c r="S1193" s="8" t="s">
        <v>272</v>
      </c>
      <c r="T1193" s="7" t="s">
        <v>226</v>
      </c>
    </row>
    <row r="1194" spans="1:20" ht="28">
      <c r="A1194" s="116" t="s">
        <v>1209</v>
      </c>
      <c r="B1194" s="117" t="s">
        <v>1216</v>
      </c>
      <c r="C1194" s="5"/>
      <c r="D1194" s="5" t="s">
        <v>1217</v>
      </c>
      <c r="E1194" s="132">
        <f>$O$1229-J1194*($O$1229-$O$1192)</f>
        <v>446.31364901960785</v>
      </c>
      <c r="F1194" s="139">
        <f>$O$1192-P1194*($O$1192-$O$1186)</f>
        <v>444.53477894736841</v>
      </c>
      <c r="G1194" s="149"/>
      <c r="H1194" s="82" t="str">
        <f t="shared" si="759"/>
        <v>85.4 percent up in Katian international stage</v>
      </c>
      <c r="I1194" s="142" t="str">
        <f t="shared" si="760"/>
        <v>31.6 percent up in Hirnantian international stage</v>
      </c>
      <c r="J1194" s="7">
        <v>0.8536274509803925</v>
      </c>
      <c r="K1194" s="129">
        <f t="shared" si="761"/>
        <v>85.4</v>
      </c>
      <c r="L1194" s="8" t="s">
        <v>160</v>
      </c>
      <c r="M1194" s="5" t="s">
        <v>82</v>
      </c>
      <c r="N1194" s="5" t="s">
        <v>82</v>
      </c>
      <c r="O1194" s="83"/>
      <c r="P1194" s="20">
        <v>0.31578947368421684</v>
      </c>
      <c r="Q1194" s="143">
        <f t="shared" si="762"/>
        <v>31.6</v>
      </c>
      <c r="R1194" s="21" t="s">
        <v>159</v>
      </c>
      <c r="S1194" s="8" t="s">
        <v>246</v>
      </c>
      <c r="T1194" s="7" t="s">
        <v>226</v>
      </c>
    </row>
    <row r="1195" spans="1:20" ht="28">
      <c r="A1195" s="116" t="s">
        <v>1209</v>
      </c>
      <c r="B1195" s="117" t="s">
        <v>1218</v>
      </c>
      <c r="C1195" s="5"/>
      <c r="D1195" s="5" t="s">
        <v>264</v>
      </c>
      <c r="E1195" s="132">
        <f>$O$1229-J1195*($O$1229-$O$1192)</f>
        <v>446.61450980392152</v>
      </c>
      <c r="F1195" s="139">
        <f>$O$1229-P1195*($O$1229-$O$1192)</f>
        <v>445.875294117647</v>
      </c>
      <c r="G1195" s="149"/>
      <c r="H1195" s="82" t="str">
        <f t="shared" si="759"/>
        <v>81.4 percent up in Katian international stage</v>
      </c>
      <c r="I1195" s="142" t="str">
        <f t="shared" si="760"/>
        <v>91.2 percent up in Katian international stage</v>
      </c>
      <c r="J1195" s="7">
        <v>0.81372549019608043</v>
      </c>
      <c r="K1195" s="129">
        <f t="shared" si="761"/>
        <v>81.400000000000006</v>
      </c>
      <c r="L1195" s="8" t="s">
        <v>160</v>
      </c>
      <c r="M1195" s="5" t="s">
        <v>82</v>
      </c>
      <c r="N1195" s="5" t="s">
        <v>82</v>
      </c>
      <c r="O1195" s="83"/>
      <c r="P1195" s="20">
        <v>0.91176470588235503</v>
      </c>
      <c r="Q1195" s="143">
        <f t="shared" si="762"/>
        <v>91.2</v>
      </c>
      <c r="R1195" s="21" t="s">
        <v>160</v>
      </c>
      <c r="S1195" s="8" t="s">
        <v>259</v>
      </c>
      <c r="T1195" s="7">
        <v>9.8039215686272649E-2</v>
      </c>
    </row>
    <row r="1196" spans="1:20" ht="28">
      <c r="A1196" s="116"/>
      <c r="B1196" s="117" t="s">
        <v>1765</v>
      </c>
      <c r="C1196" s="5"/>
      <c r="D1196" s="5"/>
      <c r="E1196" s="132">
        <f>$O$1192-J1196*($O$1192-$O$1186)</f>
        <v>445.21</v>
      </c>
      <c r="F1196" s="139">
        <f>$O$1192-P1196*($O$1192-$O$1186)</f>
        <v>443.0718</v>
      </c>
      <c r="G1196" s="149" t="s">
        <v>1763</v>
      </c>
      <c r="H1196" s="82" t="str">
        <f t="shared" ref="H1196" si="834">CONCATENATE(K1196," percent up in ",L1196," international stage")</f>
        <v>0 percent up in Hirnantian international stage</v>
      </c>
      <c r="I1196" s="142" t="str">
        <f t="shared" ref="I1196" si="835">CONCATENATE(Q1196," percent up in ",R1196," international stage")</f>
        <v>100 percent up in Hirnantian international stage</v>
      </c>
      <c r="J1196" s="7">
        <v>0</v>
      </c>
      <c r="K1196" s="129">
        <f t="shared" ref="K1196" si="836">ROUND(J1196*100,1)</f>
        <v>0</v>
      </c>
      <c r="L1196" s="8" t="s">
        <v>159</v>
      </c>
      <c r="M1196" s="5" t="s">
        <v>82</v>
      </c>
      <c r="N1196" s="5" t="s">
        <v>82</v>
      </c>
      <c r="O1196" s="83"/>
      <c r="P1196" s="20">
        <v>1</v>
      </c>
      <c r="Q1196" s="143">
        <f t="shared" ref="Q1196" si="837">ROUND(P1196*100,1)</f>
        <v>100</v>
      </c>
      <c r="R1196" s="21" t="s">
        <v>159</v>
      </c>
      <c r="S1196" s="150" t="s">
        <v>1667</v>
      </c>
    </row>
    <row r="1197" spans="1:20" ht="28">
      <c r="A1197" s="116"/>
      <c r="B1197" s="117" t="s">
        <v>1766</v>
      </c>
      <c r="C1197" s="5"/>
      <c r="D1197" s="5"/>
      <c r="E1197" s="132">
        <f t="shared" ref="E1197:E1229" si="838">$O$1229-J1197*($O$1229-$O$1192)</f>
        <v>446.34100000000001</v>
      </c>
      <c r="F1197" s="139">
        <f>$O$1229-P1197*($O$1229-$O$1192)</f>
        <v>445.21</v>
      </c>
      <c r="G1197" s="149" t="s">
        <v>1668</v>
      </c>
      <c r="H1197" s="82" t="str">
        <f t="shared" ref="H1197:H1199" si="839">CONCATENATE(K1197," percent up in ",L1197," international stage")</f>
        <v>85 percent up in Katian international stage</v>
      </c>
      <c r="I1197" s="142" t="str">
        <f t="shared" ref="I1197:I1199" si="840">CONCATENATE(Q1197," percent up in ",R1197," international stage")</f>
        <v>100 percent up in Katian international stage</v>
      </c>
      <c r="J1197" s="7">
        <v>0.85</v>
      </c>
      <c r="K1197" s="129">
        <f t="shared" ref="K1197:K1199" si="841">ROUND(J1197*100,1)</f>
        <v>85</v>
      </c>
      <c r="L1197" s="8" t="s">
        <v>160</v>
      </c>
      <c r="M1197" s="5" t="s">
        <v>82</v>
      </c>
      <c r="N1197" s="5" t="s">
        <v>82</v>
      </c>
      <c r="O1197" s="83"/>
      <c r="P1197" s="20">
        <v>1</v>
      </c>
      <c r="Q1197" s="143">
        <f t="shared" ref="Q1197" si="842">ROUND(P1197*100,1)</f>
        <v>100</v>
      </c>
      <c r="R1197" s="21" t="s">
        <v>160</v>
      </c>
      <c r="S1197" s="150" t="s">
        <v>1668</v>
      </c>
    </row>
    <row r="1198" spans="1:20" ht="28">
      <c r="A1198" s="116"/>
      <c r="B1198" s="117" t="s">
        <v>1767</v>
      </c>
      <c r="C1198" s="5"/>
      <c r="D1198" s="5"/>
      <c r="E1198" s="132">
        <f t="shared" si="838"/>
        <v>447.7233333333333</v>
      </c>
      <c r="F1198" s="139">
        <f>$O$1229-P1198*($O$1229-$O$1192)</f>
        <v>446.34100000000001</v>
      </c>
      <c r="G1198" s="149" t="s">
        <v>1764</v>
      </c>
      <c r="H1198" s="82" t="str">
        <f t="shared" si="839"/>
        <v>66.7 percent up in Katian international stage</v>
      </c>
      <c r="I1198" s="142" t="str">
        <f t="shared" si="840"/>
        <v>85 percent up in Katian international stage</v>
      </c>
      <c r="J1198" s="7">
        <v>0.66666666666666852</v>
      </c>
      <c r="K1198" s="129">
        <f t="shared" si="841"/>
        <v>66.7</v>
      </c>
      <c r="L1198" s="8" t="s">
        <v>160</v>
      </c>
      <c r="M1198" s="5" t="s">
        <v>82</v>
      </c>
      <c r="N1198" s="5" t="s">
        <v>82</v>
      </c>
      <c r="O1198" s="83"/>
      <c r="P1198" s="20">
        <v>0.85</v>
      </c>
      <c r="Q1198" s="143">
        <f t="shared" ref="Q1198:Q1199" si="843">ROUND(P1198*100,1)</f>
        <v>85</v>
      </c>
      <c r="R1198" s="21" t="s">
        <v>160</v>
      </c>
      <c r="S1198" s="150" t="s">
        <v>1669</v>
      </c>
    </row>
    <row r="1199" spans="1:20" ht="34">
      <c r="A1199" s="116"/>
      <c r="B1199" s="117" t="s">
        <v>1926</v>
      </c>
      <c r="C1199" s="5"/>
      <c r="D1199" s="5"/>
      <c r="E1199" s="132">
        <f t="shared" ref="E1199" si="844">$O$1229-J1199*($O$1229-$O$1192)</f>
        <v>447.7233333333333</v>
      </c>
      <c r="F1199" s="139">
        <f>$O$1192-P1199*($O$1192-$O$1186)</f>
        <v>443.0718</v>
      </c>
      <c r="G1199" s="149"/>
      <c r="H1199" s="82" t="str">
        <f t="shared" si="839"/>
        <v>66.7 percent up in Katian international stage</v>
      </c>
      <c r="I1199" s="142" t="str">
        <f t="shared" si="840"/>
        <v>100 percent up in Hirnantian international stage</v>
      </c>
      <c r="J1199" s="7">
        <v>0.66666666666666852</v>
      </c>
      <c r="K1199" s="129">
        <f t="shared" si="841"/>
        <v>66.7</v>
      </c>
      <c r="L1199" s="8" t="s">
        <v>160</v>
      </c>
      <c r="M1199" s="5" t="s">
        <v>82</v>
      </c>
      <c r="N1199" s="5" t="s">
        <v>82</v>
      </c>
      <c r="O1199" s="83"/>
      <c r="P1199" s="20">
        <v>1</v>
      </c>
      <c r="Q1199" s="143">
        <f t="shared" si="843"/>
        <v>100</v>
      </c>
      <c r="R1199" s="21" t="s">
        <v>159</v>
      </c>
      <c r="S1199" s="82" t="s">
        <v>1930</v>
      </c>
    </row>
    <row r="1200" spans="1:20" ht="28">
      <c r="A1200" s="116" t="s">
        <v>1209</v>
      </c>
      <c r="B1200" s="117" t="s">
        <v>1219</v>
      </c>
      <c r="C1200" s="5"/>
      <c r="D1200" s="5" t="s">
        <v>82</v>
      </c>
      <c r="E1200" s="132">
        <f t="shared" si="838"/>
        <v>447.7233333333333</v>
      </c>
      <c r="F1200" s="139">
        <f>$O$1192-P1200*($O$1192-$O$1186)</f>
        <v>443.0718</v>
      </c>
      <c r="G1200" s="149"/>
      <c r="H1200" s="82" t="str">
        <f t="shared" si="759"/>
        <v>66.7 percent up in Katian international stage</v>
      </c>
      <c r="I1200" s="142" t="str">
        <f t="shared" si="760"/>
        <v>100 percent up in Hirnantian international stage</v>
      </c>
      <c r="J1200" s="7">
        <v>0.66666666666666852</v>
      </c>
      <c r="K1200" s="129">
        <f t="shared" si="761"/>
        <v>66.7</v>
      </c>
      <c r="L1200" s="8" t="s">
        <v>160</v>
      </c>
      <c r="M1200" s="5" t="s">
        <v>82</v>
      </c>
      <c r="N1200" s="5" t="s">
        <v>82</v>
      </c>
      <c r="O1200" s="83"/>
      <c r="P1200" s="20">
        <v>1</v>
      </c>
      <c r="Q1200" s="143">
        <f t="shared" si="762"/>
        <v>100</v>
      </c>
      <c r="R1200" s="21" t="s">
        <v>159</v>
      </c>
      <c r="S1200" s="8" t="s">
        <v>246</v>
      </c>
      <c r="T1200" s="7" t="s">
        <v>226</v>
      </c>
    </row>
    <row r="1201" spans="1:20" ht="28">
      <c r="A1201" s="116" t="s">
        <v>1209</v>
      </c>
      <c r="B1201" s="117" t="s">
        <v>1220</v>
      </c>
      <c r="C1201" s="5"/>
      <c r="D1201" s="5" t="s">
        <v>264</v>
      </c>
      <c r="E1201" s="132">
        <f t="shared" si="838"/>
        <v>447.7233333333333</v>
      </c>
      <c r="F1201" s="139">
        <f>$O$1229-P1201*($O$1229-$O$1192)</f>
        <v>446.61450980392152</v>
      </c>
      <c r="G1201" s="149"/>
      <c r="H1201" s="82" t="str">
        <f t="shared" si="759"/>
        <v>66.7 percent up in Katian international stage</v>
      </c>
      <c r="I1201" s="142" t="str">
        <f t="shared" si="760"/>
        <v>81.4 percent up in Katian international stage</v>
      </c>
      <c r="J1201" s="7">
        <v>0.66666666666666852</v>
      </c>
      <c r="K1201" s="129">
        <f t="shared" si="761"/>
        <v>66.7</v>
      </c>
      <c r="L1201" s="8" t="s">
        <v>160</v>
      </c>
      <c r="M1201" s="5" t="s">
        <v>82</v>
      </c>
      <c r="N1201" s="5" t="s">
        <v>82</v>
      </c>
      <c r="O1201" s="83"/>
      <c r="P1201" s="20">
        <v>0.81372549019608043</v>
      </c>
      <c r="Q1201" s="143">
        <f t="shared" si="762"/>
        <v>81.400000000000006</v>
      </c>
      <c r="R1201" s="21" t="s">
        <v>160</v>
      </c>
      <c r="S1201" s="8" t="s">
        <v>259</v>
      </c>
      <c r="T1201" s="7">
        <v>0.14705882352940897</v>
      </c>
    </row>
    <row r="1202" spans="1:20" ht="28">
      <c r="A1202" s="116" t="s">
        <v>1209</v>
      </c>
      <c r="B1202" s="117" t="s">
        <v>1221</v>
      </c>
      <c r="C1202" s="5"/>
      <c r="D1202" s="5" t="s">
        <v>82</v>
      </c>
      <c r="E1202" s="132">
        <f t="shared" si="838"/>
        <v>447.7233333333333</v>
      </c>
      <c r="F1202" s="139">
        <f>$O$1229-P1202*($O$1229-$O$1192)</f>
        <v>445.21</v>
      </c>
      <c r="G1202" s="149"/>
      <c r="H1202" s="82" t="str">
        <f t="shared" si="759"/>
        <v>66.7 percent up in Katian international stage</v>
      </c>
      <c r="I1202" s="142" t="str">
        <f t="shared" si="760"/>
        <v>100 percent up in Katian international stage</v>
      </c>
      <c r="J1202" s="7">
        <v>0.66666666666666852</v>
      </c>
      <c r="K1202" s="129">
        <f t="shared" si="761"/>
        <v>66.7</v>
      </c>
      <c r="L1202" s="8" t="s">
        <v>160</v>
      </c>
      <c r="M1202" s="5" t="s">
        <v>82</v>
      </c>
      <c r="N1202" s="5" t="s">
        <v>82</v>
      </c>
      <c r="O1202" s="83"/>
      <c r="P1202" s="20">
        <v>1</v>
      </c>
      <c r="Q1202" s="143">
        <f t="shared" si="762"/>
        <v>100</v>
      </c>
      <c r="R1202" s="21" t="s">
        <v>160</v>
      </c>
      <c r="S1202" s="8" t="s">
        <v>272</v>
      </c>
      <c r="T1202" s="7" t="s">
        <v>226</v>
      </c>
    </row>
    <row r="1203" spans="1:20" ht="28">
      <c r="A1203" s="116" t="s">
        <v>1209</v>
      </c>
      <c r="B1203" s="117" t="s">
        <v>1222</v>
      </c>
      <c r="C1203" s="5"/>
      <c r="D1203" s="5" t="s">
        <v>248</v>
      </c>
      <c r="E1203" s="132">
        <f t="shared" si="838"/>
        <v>447.7233333333333</v>
      </c>
      <c r="F1203" s="139">
        <f>$O$1192-P1203*($O$1192-$O$1186)</f>
        <v>443.0718</v>
      </c>
      <c r="G1203" s="149"/>
      <c r="H1203" s="82" t="str">
        <f t="shared" si="759"/>
        <v>66.7 percent up in Katian international stage</v>
      </c>
      <c r="I1203" s="142" t="str">
        <f t="shared" si="760"/>
        <v>100 percent up in Hirnantian international stage</v>
      </c>
      <c r="J1203" s="7">
        <v>0.66666666666666852</v>
      </c>
      <c r="K1203" s="129">
        <f t="shared" si="761"/>
        <v>66.7</v>
      </c>
      <c r="L1203" s="8" t="s">
        <v>160</v>
      </c>
      <c r="M1203" s="5" t="s">
        <v>82</v>
      </c>
      <c r="N1203" s="5" t="s">
        <v>82</v>
      </c>
      <c r="O1203" s="83"/>
      <c r="P1203" s="20">
        <v>1</v>
      </c>
      <c r="Q1203" s="143">
        <f t="shared" si="762"/>
        <v>100</v>
      </c>
      <c r="R1203" s="21" t="s">
        <v>159</v>
      </c>
      <c r="S1203" s="8" t="s">
        <v>246</v>
      </c>
      <c r="T1203" s="7" t="s">
        <v>226</v>
      </c>
    </row>
    <row r="1204" spans="1:20" ht="28">
      <c r="A1204" s="116" t="s">
        <v>1209</v>
      </c>
      <c r="B1204" s="117" t="s">
        <v>1223</v>
      </c>
      <c r="C1204" s="5"/>
      <c r="D1204" s="5" t="s">
        <v>1217</v>
      </c>
      <c r="E1204" s="132">
        <f t="shared" si="838"/>
        <v>448.29326862745097</v>
      </c>
      <c r="F1204" s="139">
        <f>$O$1229-P1204*($O$1229-$O$1192)</f>
        <v>446.31364901960785</v>
      </c>
      <c r="G1204" s="149"/>
      <c r="H1204" s="82" t="str">
        <f t="shared" si="759"/>
        <v>59.1 percent up in Katian international stage</v>
      </c>
      <c r="I1204" s="142" t="str">
        <f t="shared" si="760"/>
        <v>85.4 percent up in Katian international stage</v>
      </c>
      <c r="J1204" s="7">
        <v>0.59107843137254934</v>
      </c>
      <c r="K1204" s="129">
        <f t="shared" si="761"/>
        <v>59.1</v>
      </c>
      <c r="L1204" s="8" t="s">
        <v>160</v>
      </c>
      <c r="M1204" s="5" t="s">
        <v>82</v>
      </c>
      <c r="N1204" s="5" t="s">
        <v>82</v>
      </c>
      <c r="O1204" s="83"/>
      <c r="P1204" s="20">
        <v>0.8536274509803925</v>
      </c>
      <c r="Q1204" s="143">
        <f t="shared" si="762"/>
        <v>85.4</v>
      </c>
      <c r="R1204" s="21" t="s">
        <v>160</v>
      </c>
      <c r="S1204" s="8" t="s">
        <v>259</v>
      </c>
      <c r="T1204" s="7">
        <v>0.26254901960784593</v>
      </c>
    </row>
    <row r="1205" spans="1:20" ht="28">
      <c r="A1205" s="116" t="s">
        <v>1209</v>
      </c>
      <c r="B1205" s="118" t="s">
        <v>1224</v>
      </c>
      <c r="C1205" s="5"/>
      <c r="D1205" s="5" t="s">
        <v>1212</v>
      </c>
      <c r="E1205" s="132">
        <f t="shared" si="838"/>
        <v>448.44480784313726</v>
      </c>
      <c r="F1205" s="139">
        <f>$O$1229-P1205*($O$1229-$O$1192)</f>
        <v>445.21</v>
      </c>
      <c r="G1205" s="149"/>
      <c r="H1205" s="82" t="str">
        <f t="shared" si="759"/>
        <v>57.1 percent up in Katian international stage</v>
      </c>
      <c r="I1205" s="142" t="str">
        <f t="shared" si="760"/>
        <v>100 percent up in Katian international stage</v>
      </c>
      <c r="J1205" s="7">
        <v>0.57098039215686458</v>
      </c>
      <c r="K1205" s="129">
        <f t="shared" si="761"/>
        <v>57.1</v>
      </c>
      <c r="L1205" s="8" t="s">
        <v>160</v>
      </c>
      <c r="M1205" s="5" t="s">
        <v>82</v>
      </c>
      <c r="N1205" s="5" t="s">
        <v>82</v>
      </c>
      <c r="O1205" s="83"/>
      <c r="P1205" s="20">
        <v>1</v>
      </c>
      <c r="Q1205" s="143">
        <f t="shared" si="762"/>
        <v>100</v>
      </c>
      <c r="R1205" s="21" t="s">
        <v>160</v>
      </c>
      <c r="S1205" s="8" t="s">
        <v>272</v>
      </c>
      <c r="T1205" s="7" t="s">
        <v>226</v>
      </c>
    </row>
    <row r="1206" spans="1:20" ht="28">
      <c r="A1206" s="116" t="s">
        <v>1209</v>
      </c>
      <c r="B1206" s="117" t="s">
        <v>1225</v>
      </c>
      <c r="C1206" s="5"/>
      <c r="D1206" s="5" t="s">
        <v>368</v>
      </c>
      <c r="E1206" s="132">
        <f t="shared" si="838"/>
        <v>448.46254901960782</v>
      </c>
      <c r="F1206" s="139">
        <f>$O$1192-P1206*($O$1192-$O$1186)</f>
        <v>443.0718</v>
      </c>
      <c r="G1206" s="149"/>
      <c r="H1206" s="82" t="str">
        <f t="shared" si="759"/>
        <v>56.9 percent up in Katian international stage</v>
      </c>
      <c r="I1206" s="142" t="str">
        <f t="shared" si="760"/>
        <v>100 percent up in Hirnantian international stage</v>
      </c>
      <c r="J1206" s="7">
        <v>0.56862745098039391</v>
      </c>
      <c r="K1206" s="129">
        <f t="shared" si="761"/>
        <v>56.9</v>
      </c>
      <c r="L1206" s="8" t="s">
        <v>160</v>
      </c>
      <c r="M1206" s="5" t="s">
        <v>82</v>
      </c>
      <c r="N1206" s="5" t="s">
        <v>82</v>
      </c>
      <c r="O1206" s="83"/>
      <c r="P1206" s="20">
        <v>1</v>
      </c>
      <c r="Q1206" s="143">
        <f t="shared" si="762"/>
        <v>100</v>
      </c>
      <c r="R1206" s="21" t="s">
        <v>159</v>
      </c>
      <c r="S1206" s="8" t="s">
        <v>246</v>
      </c>
      <c r="T1206" s="7" t="s">
        <v>226</v>
      </c>
    </row>
    <row r="1207" spans="1:20" ht="28">
      <c r="A1207" s="116" t="s">
        <v>1209</v>
      </c>
      <c r="B1207" s="121" t="s">
        <v>1226</v>
      </c>
      <c r="C1207" s="5"/>
      <c r="D1207" s="5" t="s">
        <v>1227</v>
      </c>
      <c r="E1207" s="132">
        <f t="shared" si="838"/>
        <v>448.46254901960782</v>
      </c>
      <c r="F1207" s="139">
        <f>$O$785-P1207*($O$785-$O$768)</f>
        <v>273.17923076923074</v>
      </c>
      <c r="G1207" s="149"/>
      <c r="H1207" s="82" t="str">
        <f t="shared" si="759"/>
        <v>56.9 percent up in Katian international stage</v>
      </c>
      <c r="I1207" s="142" t="str">
        <f t="shared" si="760"/>
        <v>23.1 percent up in Roadian international stage</v>
      </c>
      <c r="J1207" s="7">
        <v>0.56862745098039391</v>
      </c>
      <c r="K1207" s="129">
        <f t="shared" si="761"/>
        <v>56.9</v>
      </c>
      <c r="L1207" s="8" t="s">
        <v>160</v>
      </c>
      <c r="M1207" s="5" t="s">
        <v>82</v>
      </c>
      <c r="N1207" s="5" t="s">
        <v>82</v>
      </c>
      <c r="O1207" s="83"/>
      <c r="P1207" s="20">
        <v>0.2307692307692375</v>
      </c>
      <c r="Q1207" s="143">
        <f t="shared" si="762"/>
        <v>23.1</v>
      </c>
      <c r="R1207" s="21" t="s">
        <v>113</v>
      </c>
      <c r="S1207" s="8" t="s">
        <v>246</v>
      </c>
      <c r="T1207" s="7" t="s">
        <v>226</v>
      </c>
    </row>
    <row r="1208" spans="1:20" ht="28">
      <c r="A1208" s="116" t="s">
        <v>1209</v>
      </c>
      <c r="B1208" s="118" t="s">
        <v>1228</v>
      </c>
      <c r="C1208" s="5"/>
      <c r="D1208" s="5" t="s">
        <v>248</v>
      </c>
      <c r="E1208" s="132">
        <f t="shared" si="838"/>
        <v>448.6103921568627</v>
      </c>
      <c r="F1208" s="139">
        <f>$O$1229-P1208*($O$1229-$O$1192)</f>
        <v>445.21</v>
      </c>
      <c r="G1208" s="149"/>
      <c r="H1208" s="82" t="str">
        <f t="shared" si="759"/>
        <v>54.9 percent up in Katian international stage</v>
      </c>
      <c r="I1208" s="142" t="str">
        <f t="shared" si="760"/>
        <v>100 percent up in Katian international stage</v>
      </c>
      <c r="J1208" s="7">
        <v>0.54901960784314008</v>
      </c>
      <c r="K1208" s="129">
        <f t="shared" si="761"/>
        <v>54.9</v>
      </c>
      <c r="L1208" s="8" t="s">
        <v>160</v>
      </c>
      <c r="M1208" s="5" t="s">
        <v>82</v>
      </c>
      <c r="N1208" s="5" t="s">
        <v>82</v>
      </c>
      <c r="O1208" s="83"/>
      <c r="P1208" s="20">
        <v>1</v>
      </c>
      <c r="Q1208" s="143">
        <f t="shared" si="762"/>
        <v>100</v>
      </c>
      <c r="R1208" s="21" t="s">
        <v>160</v>
      </c>
      <c r="S1208" s="8" t="s">
        <v>272</v>
      </c>
      <c r="T1208" s="7" t="s">
        <v>226</v>
      </c>
    </row>
    <row r="1209" spans="1:20" ht="28">
      <c r="A1209" s="116" t="s">
        <v>1209</v>
      </c>
      <c r="B1209" s="118" t="s">
        <v>1229</v>
      </c>
      <c r="C1209" s="5"/>
      <c r="D1209" s="5" t="s">
        <v>1201</v>
      </c>
      <c r="E1209" s="132">
        <f t="shared" si="838"/>
        <v>448.6103921568627</v>
      </c>
      <c r="F1209" s="139">
        <f>$O$1229-P1209*($O$1229-$O$1192)</f>
        <v>445.21</v>
      </c>
      <c r="G1209" s="149"/>
      <c r="H1209" s="82" t="str">
        <f t="shared" si="759"/>
        <v>54.9 percent up in Katian international stage</v>
      </c>
      <c r="I1209" s="142" t="str">
        <f t="shared" si="760"/>
        <v>100 percent up in Katian international stage</v>
      </c>
      <c r="J1209" s="7">
        <v>0.54901960784314008</v>
      </c>
      <c r="K1209" s="129">
        <f t="shared" si="761"/>
        <v>54.9</v>
      </c>
      <c r="L1209" s="8" t="s">
        <v>160</v>
      </c>
      <c r="M1209" s="5" t="s">
        <v>82</v>
      </c>
      <c r="N1209" s="5" t="s">
        <v>82</v>
      </c>
      <c r="O1209" s="83"/>
      <c r="P1209" s="20">
        <v>1</v>
      </c>
      <c r="Q1209" s="143">
        <f t="shared" si="762"/>
        <v>100</v>
      </c>
      <c r="R1209" s="21" t="s">
        <v>160</v>
      </c>
      <c r="S1209" s="8" t="s">
        <v>272</v>
      </c>
      <c r="T1209" s="7" t="s">
        <v>226</v>
      </c>
    </row>
    <row r="1210" spans="1:20" ht="28">
      <c r="A1210" s="116" t="s">
        <v>1209</v>
      </c>
      <c r="B1210" s="117" t="s">
        <v>1230</v>
      </c>
      <c r="C1210" s="5"/>
      <c r="D1210" s="5" t="s">
        <v>244</v>
      </c>
      <c r="E1210" s="132">
        <f t="shared" si="838"/>
        <v>449.20176470588234</v>
      </c>
      <c r="F1210" s="139">
        <f>$O$1192-P1210*($O$1192-$O$1186)</f>
        <v>443.0718</v>
      </c>
      <c r="G1210" s="149"/>
      <c r="H1210" s="82" t="str">
        <f t="shared" si="759"/>
        <v>47.1 percent up in Katian international stage</v>
      </c>
      <c r="I1210" s="142" t="str">
        <f t="shared" si="760"/>
        <v>100 percent up in Hirnantian international stage</v>
      </c>
      <c r="J1210" s="7">
        <v>0.47058823529411931</v>
      </c>
      <c r="K1210" s="129">
        <f t="shared" si="761"/>
        <v>47.1</v>
      </c>
      <c r="L1210" s="8" t="s">
        <v>160</v>
      </c>
      <c r="M1210" s="5" t="s">
        <v>82</v>
      </c>
      <c r="N1210" s="5" t="s">
        <v>82</v>
      </c>
      <c r="O1210" s="83"/>
      <c r="P1210" s="20">
        <v>1</v>
      </c>
      <c r="Q1210" s="143">
        <f t="shared" si="762"/>
        <v>100</v>
      </c>
      <c r="R1210" s="21" t="s">
        <v>159</v>
      </c>
      <c r="S1210" s="8" t="s">
        <v>246</v>
      </c>
      <c r="T1210" s="7" t="s">
        <v>226</v>
      </c>
    </row>
    <row r="1211" spans="1:20" ht="28">
      <c r="A1211" s="116" t="s">
        <v>1209</v>
      </c>
      <c r="B1211" s="118" t="s">
        <v>1231</v>
      </c>
      <c r="C1211" s="5"/>
      <c r="D1211" s="5" t="s">
        <v>1201</v>
      </c>
      <c r="E1211" s="132">
        <f t="shared" si="838"/>
        <v>449.5713725490196</v>
      </c>
      <c r="F1211" s="139">
        <f t="shared" ref="F1211:F1231" si="845">$O$1229-P1211*($O$1229-$O$1192)</f>
        <v>448.6103921568627</v>
      </c>
      <c r="G1211" s="149"/>
      <c r="H1211" s="82" t="str">
        <f t="shared" si="759"/>
        <v>42.2 percent up in Katian international stage</v>
      </c>
      <c r="I1211" s="142" t="str">
        <f t="shared" si="760"/>
        <v>54.9 percent up in Katian international stage</v>
      </c>
      <c r="J1211" s="7">
        <v>0.421568627450982</v>
      </c>
      <c r="K1211" s="129">
        <f t="shared" si="761"/>
        <v>42.2</v>
      </c>
      <c r="L1211" s="8" t="s">
        <v>160</v>
      </c>
      <c r="M1211" s="5" t="s">
        <v>82</v>
      </c>
      <c r="N1211" s="5" t="s">
        <v>82</v>
      </c>
      <c r="O1211" s="83"/>
      <c r="P1211" s="20">
        <v>0.54901960784314008</v>
      </c>
      <c r="Q1211" s="143">
        <f t="shared" si="762"/>
        <v>54.9</v>
      </c>
      <c r="R1211" s="21" t="s">
        <v>160</v>
      </c>
      <c r="S1211" s="8" t="s">
        <v>259</v>
      </c>
      <c r="T1211" s="7">
        <v>0.12745098039215735</v>
      </c>
    </row>
    <row r="1212" spans="1:20" ht="28">
      <c r="A1212" s="116" t="s">
        <v>1209</v>
      </c>
      <c r="B1212" s="117" t="s">
        <v>1232</v>
      </c>
      <c r="C1212" s="5"/>
      <c r="D1212" s="5" t="s">
        <v>264</v>
      </c>
      <c r="E1212" s="132">
        <f t="shared" si="838"/>
        <v>449.94098039215686</v>
      </c>
      <c r="F1212" s="139">
        <f t="shared" si="845"/>
        <v>447.7233333333333</v>
      </c>
      <c r="G1212" s="149"/>
      <c r="H1212" s="82" t="str">
        <f t="shared" si="759"/>
        <v>37.3 percent up in Katian international stage</v>
      </c>
      <c r="I1212" s="142" t="str">
        <f t="shared" si="760"/>
        <v>66.7 percent up in Katian international stage</v>
      </c>
      <c r="J1212" s="7">
        <v>0.3725490196078447</v>
      </c>
      <c r="K1212" s="129">
        <f t="shared" si="761"/>
        <v>37.299999999999997</v>
      </c>
      <c r="L1212" s="8" t="s">
        <v>160</v>
      </c>
      <c r="M1212" s="5" t="s">
        <v>82</v>
      </c>
      <c r="N1212" s="5" t="s">
        <v>82</v>
      </c>
      <c r="O1212" s="83"/>
      <c r="P1212" s="20">
        <v>0.66666666666666852</v>
      </c>
      <c r="Q1212" s="143">
        <f t="shared" si="762"/>
        <v>66.7</v>
      </c>
      <c r="R1212" s="21" t="s">
        <v>160</v>
      </c>
      <c r="S1212" s="8" t="s">
        <v>259</v>
      </c>
      <c r="T1212" s="7">
        <v>0.29411764705882526</v>
      </c>
    </row>
    <row r="1213" spans="1:20" ht="28">
      <c r="A1213" s="116" t="s">
        <v>1209</v>
      </c>
      <c r="B1213" s="117" t="s">
        <v>1233</v>
      </c>
      <c r="C1213" s="5"/>
      <c r="D1213" s="5" t="s">
        <v>1217</v>
      </c>
      <c r="E1213" s="132">
        <f t="shared" si="838"/>
        <v>450.5138725490196</v>
      </c>
      <c r="F1213" s="139">
        <f t="shared" si="845"/>
        <v>448.29326862745097</v>
      </c>
      <c r="G1213" s="149"/>
      <c r="H1213" s="82" t="str">
        <f t="shared" si="759"/>
        <v>29.7 percent up in Katian international stage</v>
      </c>
      <c r="I1213" s="142" t="str">
        <f t="shared" si="760"/>
        <v>59.1 percent up in Katian international stage</v>
      </c>
      <c r="J1213" s="7">
        <v>0.29656862745097845</v>
      </c>
      <c r="K1213" s="129">
        <f t="shared" si="761"/>
        <v>29.7</v>
      </c>
      <c r="L1213" s="8" t="s">
        <v>160</v>
      </c>
      <c r="M1213" s="5" t="s">
        <v>82</v>
      </c>
      <c r="N1213" s="5" t="s">
        <v>82</v>
      </c>
      <c r="O1213" s="83"/>
      <c r="P1213" s="20">
        <v>0.59107843137254934</v>
      </c>
      <c r="Q1213" s="143">
        <f t="shared" si="762"/>
        <v>59.1</v>
      </c>
      <c r="R1213" s="21" t="s">
        <v>160</v>
      </c>
      <c r="S1213" s="8" t="s">
        <v>259</v>
      </c>
      <c r="T1213" s="7">
        <v>0.29450980392156706</v>
      </c>
    </row>
    <row r="1214" spans="1:20" ht="28">
      <c r="A1214" s="116" t="s">
        <v>1209</v>
      </c>
      <c r="B1214" s="118" t="s">
        <v>1234</v>
      </c>
      <c r="C1214" s="5"/>
      <c r="D1214" s="5" t="s">
        <v>1109</v>
      </c>
      <c r="E1214" s="132">
        <f t="shared" si="838"/>
        <v>450.68019607843138</v>
      </c>
      <c r="F1214" s="139">
        <f t="shared" si="845"/>
        <v>446.61450980392152</v>
      </c>
      <c r="G1214" s="149"/>
      <c r="H1214" s="82" t="str">
        <f t="shared" ref="H1214:H1287" si="846">CONCATENATE(K1214," percent up in ",L1214," international stage")</f>
        <v>27.5 percent up in Katian international stage</v>
      </c>
      <c r="I1214" s="142" t="str">
        <f t="shared" ref="I1214:I1287" si="847">CONCATENATE(Q1214," percent up in ",R1214," international stage")</f>
        <v>81.4 percent up in Katian international stage</v>
      </c>
      <c r="J1214" s="7">
        <v>0.27450980392157009</v>
      </c>
      <c r="K1214" s="129">
        <f t="shared" ref="K1214:K1287" si="848">ROUND(J1214*100,1)</f>
        <v>27.5</v>
      </c>
      <c r="L1214" s="8" t="s">
        <v>160</v>
      </c>
      <c r="M1214" s="5" t="s">
        <v>82</v>
      </c>
      <c r="N1214" s="5" t="s">
        <v>82</v>
      </c>
      <c r="O1214" s="83"/>
      <c r="P1214" s="20">
        <v>0.81372549019608043</v>
      </c>
      <c r="Q1214" s="143">
        <f t="shared" ref="Q1214:Q1287" si="849">ROUND(P1214*100,1)</f>
        <v>81.400000000000006</v>
      </c>
      <c r="R1214" s="21" t="s">
        <v>160</v>
      </c>
      <c r="S1214" s="8" t="s">
        <v>259</v>
      </c>
      <c r="T1214" s="7">
        <v>0.53921568627450689</v>
      </c>
    </row>
    <row r="1215" spans="1:20" ht="28">
      <c r="A1215" s="116" t="s">
        <v>1209</v>
      </c>
      <c r="B1215" s="117" t="s">
        <v>1235</v>
      </c>
      <c r="C1215" s="5"/>
      <c r="D1215" s="158" t="s">
        <v>1929</v>
      </c>
      <c r="E1215" s="132">
        <f t="shared" si="838"/>
        <v>450.68019607843138</v>
      </c>
      <c r="F1215" s="139">
        <f t="shared" si="845"/>
        <v>446.61450980392152</v>
      </c>
      <c r="G1215" s="149"/>
      <c r="H1215" s="82" t="str">
        <f t="shared" si="846"/>
        <v>27.5 percent up in Katian international stage</v>
      </c>
      <c r="I1215" s="142" t="str">
        <f t="shared" si="847"/>
        <v>81.4 percent up in Katian international stage</v>
      </c>
      <c r="J1215" s="7">
        <v>0.27450980392157009</v>
      </c>
      <c r="K1215" s="129">
        <f t="shared" si="848"/>
        <v>27.5</v>
      </c>
      <c r="L1215" s="8" t="s">
        <v>160</v>
      </c>
      <c r="M1215" s="5" t="s">
        <v>82</v>
      </c>
      <c r="N1215" s="5" t="s">
        <v>82</v>
      </c>
      <c r="O1215" s="83"/>
      <c r="P1215" s="20">
        <v>0.81372549019608043</v>
      </c>
      <c r="Q1215" s="143">
        <f t="shared" si="849"/>
        <v>81.400000000000006</v>
      </c>
      <c r="R1215" s="21" t="s">
        <v>160</v>
      </c>
      <c r="S1215" s="8" t="s">
        <v>259</v>
      </c>
      <c r="T1215" s="7">
        <v>0.53921568627450689</v>
      </c>
    </row>
    <row r="1216" spans="1:20" ht="28">
      <c r="A1216" s="116" t="s">
        <v>1209</v>
      </c>
      <c r="B1216" s="118" t="s">
        <v>1236</v>
      </c>
      <c r="C1216" s="5"/>
      <c r="D1216" s="5" t="s">
        <v>1201</v>
      </c>
      <c r="E1216" s="132">
        <f t="shared" si="838"/>
        <v>450.68019607843138</v>
      </c>
      <c r="F1216" s="139">
        <f t="shared" si="845"/>
        <v>449.5713725490196</v>
      </c>
      <c r="G1216" s="149"/>
      <c r="H1216" s="82" t="str">
        <f t="shared" si="846"/>
        <v>27.5 percent up in Katian international stage</v>
      </c>
      <c r="I1216" s="142" t="str">
        <f t="shared" si="847"/>
        <v>42.2 percent up in Katian international stage</v>
      </c>
      <c r="J1216" s="7">
        <v>0.27450980392157009</v>
      </c>
      <c r="K1216" s="129">
        <f t="shared" si="848"/>
        <v>27.5</v>
      </c>
      <c r="L1216" s="8" t="s">
        <v>160</v>
      </c>
      <c r="M1216" s="5" t="s">
        <v>82</v>
      </c>
      <c r="N1216" s="5" t="s">
        <v>82</v>
      </c>
      <c r="O1216" s="83"/>
      <c r="P1216" s="20">
        <v>0.421568627450982</v>
      </c>
      <c r="Q1216" s="143">
        <f t="shared" si="849"/>
        <v>42.2</v>
      </c>
      <c r="R1216" s="21" t="s">
        <v>160</v>
      </c>
      <c r="S1216" s="8" t="s">
        <v>259</v>
      </c>
      <c r="T1216" s="7">
        <v>0.14705882352940897</v>
      </c>
    </row>
    <row r="1217" spans="1:20" ht="28">
      <c r="A1217" s="116" t="s">
        <v>1209</v>
      </c>
      <c r="B1217" s="117" t="s">
        <v>1237</v>
      </c>
      <c r="C1217" s="5"/>
      <c r="D1217" s="5" t="s">
        <v>82</v>
      </c>
      <c r="E1217" s="132">
        <f t="shared" si="838"/>
        <v>450.68019607843138</v>
      </c>
      <c r="F1217" s="139">
        <f t="shared" si="845"/>
        <v>447.7233333333333</v>
      </c>
      <c r="G1217" s="149"/>
      <c r="H1217" s="82" t="str">
        <f t="shared" si="846"/>
        <v>27.5 percent up in Katian international stage</v>
      </c>
      <c r="I1217" s="142" t="str">
        <f t="shared" si="847"/>
        <v>66.7 percent up in Katian international stage</v>
      </c>
      <c r="J1217" s="7">
        <v>0.27450980392157009</v>
      </c>
      <c r="K1217" s="129">
        <f t="shared" si="848"/>
        <v>27.5</v>
      </c>
      <c r="L1217" s="8" t="s">
        <v>160</v>
      </c>
      <c r="M1217" s="5" t="s">
        <v>82</v>
      </c>
      <c r="N1217" s="5" t="s">
        <v>82</v>
      </c>
      <c r="O1217" s="83"/>
      <c r="P1217" s="20">
        <v>0.66666666666666852</v>
      </c>
      <c r="Q1217" s="143">
        <f t="shared" si="849"/>
        <v>66.7</v>
      </c>
      <c r="R1217" s="21" t="s">
        <v>160</v>
      </c>
      <c r="S1217" s="8" t="s">
        <v>259</v>
      </c>
      <c r="T1217" s="7">
        <v>0.39215686274509792</v>
      </c>
    </row>
    <row r="1218" spans="1:20" ht="28">
      <c r="A1218" s="116" t="s">
        <v>1209</v>
      </c>
      <c r="B1218" s="117" t="s">
        <v>1238</v>
      </c>
      <c r="C1218" s="5"/>
      <c r="D1218" s="5" t="s">
        <v>82</v>
      </c>
      <c r="E1218" s="132">
        <f t="shared" si="838"/>
        <v>451.41941176470584</v>
      </c>
      <c r="F1218" s="139">
        <f t="shared" si="845"/>
        <v>450.68019607843138</v>
      </c>
      <c r="G1218" s="149"/>
      <c r="H1218" s="82" t="str">
        <f t="shared" si="846"/>
        <v>17.6 percent up in Katian international stage</v>
      </c>
      <c r="I1218" s="142" t="str">
        <f t="shared" si="847"/>
        <v>27.5 percent up in Katian international stage</v>
      </c>
      <c r="J1218" s="7">
        <v>0.17647058823529538</v>
      </c>
      <c r="K1218" s="129">
        <f t="shared" si="848"/>
        <v>17.600000000000001</v>
      </c>
      <c r="L1218" s="8" t="s">
        <v>160</v>
      </c>
      <c r="M1218" s="5" t="s">
        <v>82</v>
      </c>
      <c r="N1218" s="5" t="s">
        <v>82</v>
      </c>
      <c r="O1218" s="83"/>
      <c r="P1218" s="20">
        <v>0.27450980392157004</v>
      </c>
      <c r="Q1218" s="143">
        <f t="shared" si="849"/>
        <v>27.5</v>
      </c>
      <c r="R1218" s="21" t="s">
        <v>160</v>
      </c>
      <c r="S1218" s="8" t="s">
        <v>259</v>
      </c>
      <c r="T1218" s="7">
        <v>9.8039215686279935E-2</v>
      </c>
    </row>
    <row r="1219" spans="1:20" ht="28">
      <c r="A1219" s="116" t="s">
        <v>1209</v>
      </c>
      <c r="B1219" s="117" t="s">
        <v>1239</v>
      </c>
      <c r="C1219" s="5"/>
      <c r="D1219" s="5" t="s">
        <v>82</v>
      </c>
      <c r="E1219" s="132">
        <f t="shared" si="838"/>
        <v>451.41941176470584</v>
      </c>
      <c r="F1219" s="139">
        <f t="shared" si="845"/>
        <v>447.7233333333333</v>
      </c>
      <c r="G1219" s="149"/>
      <c r="H1219" s="82" t="str">
        <f t="shared" si="846"/>
        <v>17.6 percent up in Katian international stage</v>
      </c>
      <c r="I1219" s="142" t="str">
        <f t="shared" si="847"/>
        <v>66.7 percent up in Katian international stage</v>
      </c>
      <c r="J1219" s="7">
        <v>0.17647058823529538</v>
      </c>
      <c r="K1219" s="129">
        <f t="shared" si="848"/>
        <v>17.600000000000001</v>
      </c>
      <c r="L1219" s="8" t="s">
        <v>160</v>
      </c>
      <c r="M1219" s="5" t="s">
        <v>82</v>
      </c>
      <c r="N1219" s="5" t="s">
        <v>82</v>
      </c>
      <c r="O1219" s="83"/>
      <c r="P1219" s="20">
        <v>0.66666666666666852</v>
      </c>
      <c r="Q1219" s="143">
        <f t="shared" si="849"/>
        <v>66.7</v>
      </c>
      <c r="R1219" s="21" t="s">
        <v>160</v>
      </c>
      <c r="S1219" s="8" t="s">
        <v>259</v>
      </c>
      <c r="T1219" s="7">
        <v>0.49019607843137786</v>
      </c>
    </row>
    <row r="1220" spans="1:20" ht="28">
      <c r="A1220" s="116" t="s">
        <v>1209</v>
      </c>
      <c r="B1220" s="117" t="s">
        <v>1240</v>
      </c>
      <c r="C1220" s="5"/>
      <c r="D1220" s="5" t="s">
        <v>248</v>
      </c>
      <c r="E1220" s="132">
        <f t="shared" si="838"/>
        <v>451.7890196078431</v>
      </c>
      <c r="F1220" s="139">
        <f t="shared" si="845"/>
        <v>447.7233333333333</v>
      </c>
      <c r="G1220" s="149"/>
      <c r="H1220" s="82" t="str">
        <f t="shared" si="846"/>
        <v>12.7 percent up in Katian international stage</v>
      </c>
      <c r="I1220" s="142" t="str">
        <f t="shared" si="847"/>
        <v>66.7 percent up in Katian international stage</v>
      </c>
      <c r="J1220" s="7">
        <v>0.12745098039215808</v>
      </c>
      <c r="K1220" s="129">
        <f t="shared" si="848"/>
        <v>12.7</v>
      </c>
      <c r="L1220" s="8" t="s">
        <v>160</v>
      </c>
      <c r="M1220" s="5" t="s">
        <v>82</v>
      </c>
      <c r="N1220" s="5" t="s">
        <v>82</v>
      </c>
      <c r="O1220" s="83"/>
      <c r="P1220" s="20">
        <v>0.66666666666666852</v>
      </c>
      <c r="Q1220" s="143">
        <f t="shared" si="849"/>
        <v>66.7</v>
      </c>
      <c r="R1220" s="21" t="s">
        <v>160</v>
      </c>
      <c r="S1220" s="8" t="s">
        <v>259</v>
      </c>
      <c r="T1220" s="7">
        <v>0.53921568627451422</v>
      </c>
    </row>
    <row r="1221" spans="1:20" ht="28">
      <c r="A1221" s="116" t="s">
        <v>1209</v>
      </c>
      <c r="B1221" s="118" t="s">
        <v>1241</v>
      </c>
      <c r="C1221" s="5"/>
      <c r="D1221" s="5" t="s">
        <v>1201</v>
      </c>
      <c r="E1221" s="132">
        <f t="shared" si="838"/>
        <v>451.93686274509804</v>
      </c>
      <c r="F1221" s="139">
        <f t="shared" si="845"/>
        <v>450.68019607843138</v>
      </c>
      <c r="G1221" s="149"/>
      <c r="H1221" s="82" t="str">
        <f t="shared" si="846"/>
        <v>10.8 percent up in Katian international stage</v>
      </c>
      <c r="I1221" s="142" t="str">
        <f t="shared" si="847"/>
        <v>27.5 percent up in Katian international stage</v>
      </c>
      <c r="J1221" s="7">
        <v>0.10784313725490435</v>
      </c>
      <c r="K1221" s="129">
        <f t="shared" si="848"/>
        <v>10.8</v>
      </c>
      <c r="L1221" s="8" t="s">
        <v>160</v>
      </c>
      <c r="M1221" s="5" t="s">
        <v>82</v>
      </c>
      <c r="N1221" s="5" t="s">
        <v>82</v>
      </c>
      <c r="O1221" s="83"/>
      <c r="P1221" s="20">
        <v>0.27450980392157004</v>
      </c>
      <c r="Q1221" s="143">
        <f t="shared" si="849"/>
        <v>27.5</v>
      </c>
      <c r="R1221" s="21" t="s">
        <v>160</v>
      </c>
      <c r="S1221" s="8" t="s">
        <v>259</v>
      </c>
      <c r="T1221" s="7">
        <v>0.16666666666666788</v>
      </c>
    </row>
    <row r="1222" spans="1:20" ht="28">
      <c r="A1222" s="116" t="s">
        <v>1209</v>
      </c>
      <c r="B1222" s="117" t="s">
        <v>1242</v>
      </c>
      <c r="C1222" s="5"/>
      <c r="D1222" s="5" t="s">
        <v>264</v>
      </c>
      <c r="E1222" s="132">
        <f t="shared" si="838"/>
        <v>452.15862745098036</v>
      </c>
      <c r="F1222" s="139">
        <f t="shared" si="845"/>
        <v>449.94098039215686</v>
      </c>
      <c r="G1222" s="149"/>
      <c r="H1222" s="82" t="str">
        <f t="shared" si="846"/>
        <v>7.8 percent up in Katian international stage</v>
      </c>
      <c r="I1222" s="142" t="str">
        <f t="shared" si="847"/>
        <v>37.3 percent up in Katian international stage</v>
      </c>
      <c r="J1222" s="7">
        <v>7.8431372549020772E-2</v>
      </c>
      <c r="K1222" s="129">
        <f t="shared" si="848"/>
        <v>7.8</v>
      </c>
      <c r="L1222" s="8" t="s">
        <v>160</v>
      </c>
      <c r="M1222" s="5" t="s">
        <v>82</v>
      </c>
      <c r="N1222" s="5" t="s">
        <v>82</v>
      </c>
      <c r="O1222" s="83"/>
      <c r="P1222" s="20">
        <v>0.37254901960784464</v>
      </c>
      <c r="Q1222" s="143">
        <f t="shared" si="849"/>
        <v>37.299999999999997</v>
      </c>
      <c r="R1222" s="21" t="s">
        <v>160</v>
      </c>
      <c r="S1222" s="8" t="s">
        <v>259</v>
      </c>
      <c r="T1222" s="7">
        <v>0.29411764705882526</v>
      </c>
    </row>
    <row r="1223" spans="1:20" ht="28">
      <c r="A1223" s="116" t="s">
        <v>1209</v>
      </c>
      <c r="B1223" s="117" t="s">
        <v>1243</v>
      </c>
      <c r="C1223" s="5"/>
      <c r="D1223" s="5" t="s">
        <v>82</v>
      </c>
      <c r="E1223" s="132">
        <f t="shared" si="838"/>
        <v>452.15862745098036</v>
      </c>
      <c r="F1223" s="139">
        <f t="shared" si="845"/>
        <v>449.94098039215686</v>
      </c>
      <c r="G1223" s="149"/>
      <c r="H1223" s="82" t="str">
        <f t="shared" si="846"/>
        <v>7.8 percent up in Katian international stage</v>
      </c>
      <c r="I1223" s="142" t="str">
        <f t="shared" si="847"/>
        <v>37.3 percent up in Katian international stage</v>
      </c>
      <c r="J1223" s="7">
        <v>7.8431372549020772E-2</v>
      </c>
      <c r="K1223" s="129">
        <f t="shared" si="848"/>
        <v>7.8</v>
      </c>
      <c r="L1223" s="8" t="s">
        <v>160</v>
      </c>
      <c r="M1223" s="5" t="s">
        <v>82</v>
      </c>
      <c r="N1223" s="5" t="s">
        <v>82</v>
      </c>
      <c r="O1223" s="83"/>
      <c r="P1223" s="20">
        <v>0.37254901960784464</v>
      </c>
      <c r="Q1223" s="143">
        <f t="shared" si="849"/>
        <v>37.299999999999997</v>
      </c>
      <c r="R1223" s="21" t="s">
        <v>160</v>
      </c>
      <c r="S1223" s="8" t="s">
        <v>259</v>
      </c>
      <c r="T1223" s="7">
        <v>0.29411764705882526</v>
      </c>
    </row>
    <row r="1224" spans="1:20" ht="28">
      <c r="A1224" s="116" t="s">
        <v>1209</v>
      </c>
      <c r="B1224" s="117" t="s">
        <v>1244</v>
      </c>
      <c r="C1224" s="5"/>
      <c r="D1224" s="5" t="s">
        <v>82</v>
      </c>
      <c r="E1224" s="132">
        <f t="shared" si="838"/>
        <v>452.15862745098036</v>
      </c>
      <c r="F1224" s="139">
        <f t="shared" si="845"/>
        <v>451.41941176470584</v>
      </c>
      <c r="G1224" s="149"/>
      <c r="H1224" s="82" t="str">
        <f t="shared" si="846"/>
        <v>7.8 percent up in Katian international stage</v>
      </c>
      <c r="I1224" s="142" t="str">
        <f t="shared" si="847"/>
        <v>17.6 percent up in Katian international stage</v>
      </c>
      <c r="J1224" s="7">
        <v>7.8431372549020772E-2</v>
      </c>
      <c r="K1224" s="129">
        <f t="shared" si="848"/>
        <v>7.8</v>
      </c>
      <c r="L1224" s="8" t="s">
        <v>160</v>
      </c>
      <c r="M1224" s="5" t="s">
        <v>82</v>
      </c>
      <c r="N1224" s="5" t="s">
        <v>82</v>
      </c>
      <c r="O1224" s="83"/>
      <c r="P1224" s="20">
        <v>0.17647058823529543</v>
      </c>
      <c r="Q1224" s="143">
        <f t="shared" si="849"/>
        <v>17.600000000000001</v>
      </c>
      <c r="R1224" s="21" t="s">
        <v>160</v>
      </c>
      <c r="S1224" s="8" t="s">
        <v>259</v>
      </c>
      <c r="T1224" s="7">
        <v>9.8039215686272649E-2</v>
      </c>
    </row>
    <row r="1225" spans="1:20" ht="28">
      <c r="A1225" s="116" t="s">
        <v>1209</v>
      </c>
      <c r="B1225" s="118" t="s">
        <v>1245</v>
      </c>
      <c r="C1225" s="5"/>
      <c r="D1225" s="5" t="s">
        <v>1201</v>
      </c>
      <c r="E1225" s="132">
        <f t="shared" si="838"/>
        <v>452.75</v>
      </c>
      <c r="F1225" s="139">
        <f t="shared" si="845"/>
        <v>451.93686274509804</v>
      </c>
      <c r="G1225" s="149"/>
      <c r="H1225" s="82" t="str">
        <f t="shared" si="846"/>
        <v>0 percent up in Katian international stage</v>
      </c>
      <c r="I1225" s="142" t="str">
        <f t="shared" si="847"/>
        <v>10.8 percent up in Katian international stage</v>
      </c>
      <c r="J1225" s="7">
        <v>0</v>
      </c>
      <c r="K1225" s="129">
        <f t="shared" si="848"/>
        <v>0</v>
      </c>
      <c r="L1225" s="8" t="s">
        <v>160</v>
      </c>
      <c r="M1225" s="5" t="s">
        <v>82</v>
      </c>
      <c r="N1225" s="5" t="s">
        <v>82</v>
      </c>
      <c r="O1225" s="83"/>
      <c r="P1225" s="20">
        <v>0.10784313725490431</v>
      </c>
      <c r="Q1225" s="143">
        <f t="shared" si="849"/>
        <v>10.8</v>
      </c>
      <c r="R1225" s="21" t="s">
        <v>160</v>
      </c>
      <c r="S1225" s="8" t="s">
        <v>230</v>
      </c>
      <c r="T1225" s="7" t="s">
        <v>226</v>
      </c>
    </row>
    <row r="1226" spans="1:20" ht="28">
      <c r="A1226" s="116" t="s">
        <v>1209</v>
      </c>
      <c r="B1226" s="117" t="s">
        <v>1246</v>
      </c>
      <c r="C1226" s="5"/>
      <c r="D1226" s="5" t="s">
        <v>82</v>
      </c>
      <c r="E1226" s="132">
        <f t="shared" si="838"/>
        <v>452.75</v>
      </c>
      <c r="F1226" s="139">
        <f t="shared" si="845"/>
        <v>445.21</v>
      </c>
      <c r="G1226" s="149"/>
      <c r="H1226" s="82" t="str">
        <f t="shared" si="846"/>
        <v>0 percent up in Katian international stage</v>
      </c>
      <c r="I1226" s="142" t="str">
        <f t="shared" si="847"/>
        <v>100 percent up in Katian international stage</v>
      </c>
      <c r="J1226" s="7">
        <v>0</v>
      </c>
      <c r="K1226" s="129">
        <f t="shared" si="848"/>
        <v>0</v>
      </c>
      <c r="L1226" s="8" t="s">
        <v>160</v>
      </c>
      <c r="M1226" s="5" t="s">
        <v>82</v>
      </c>
      <c r="N1226" s="5" t="s">
        <v>82</v>
      </c>
      <c r="O1226" s="83"/>
      <c r="P1226" s="20">
        <v>1</v>
      </c>
      <c r="Q1226" s="143">
        <f t="shared" si="849"/>
        <v>100</v>
      </c>
      <c r="R1226" s="21" t="s">
        <v>160</v>
      </c>
      <c r="S1226" s="8" t="s">
        <v>232</v>
      </c>
      <c r="T1226" s="7" t="s">
        <v>226</v>
      </c>
    </row>
    <row r="1227" spans="1:20" ht="28">
      <c r="A1227" s="116"/>
      <c r="B1227" s="117" t="s">
        <v>1971</v>
      </c>
      <c r="C1227" s="5"/>
      <c r="D1227" s="5"/>
      <c r="E1227" s="132">
        <f t="shared" ref="E1227:E1228" si="850">$O$1229-J1227*($O$1229-$O$1192)</f>
        <v>448.98</v>
      </c>
      <c r="F1227" s="139">
        <f t="shared" ref="F1227:F1228" si="851">$O$1229-P1227*($O$1229-$O$1192)</f>
        <v>445.21</v>
      </c>
      <c r="G1227" s="149" t="s">
        <v>1601</v>
      </c>
      <c r="H1227" s="82" t="str">
        <f t="shared" ref="H1227:H1228" si="852">CONCATENATE(K1227," percent up in ",L1227," international stage")</f>
        <v>50 percent up in Katian international stage</v>
      </c>
      <c r="I1227" s="142" t="str">
        <f t="shared" ref="I1227:I1228" si="853">CONCATENATE(Q1227," percent up in ",R1227," international stage")</f>
        <v>100 percent up in Katian international stage</v>
      </c>
      <c r="J1227" s="7">
        <v>0.5</v>
      </c>
      <c r="K1227" s="129">
        <f t="shared" ref="K1227:K1228" si="854">ROUND(J1227*100,1)</f>
        <v>50</v>
      </c>
      <c r="L1227" s="8" t="s">
        <v>160</v>
      </c>
      <c r="M1227" s="5"/>
      <c r="O1227" s="83"/>
      <c r="P1227" s="20">
        <v>1</v>
      </c>
      <c r="Q1227" s="143">
        <f t="shared" ref="Q1227:Q1228" si="855">ROUND(P1227*100,1)</f>
        <v>100</v>
      </c>
      <c r="R1227" s="21" t="s">
        <v>160</v>
      </c>
      <c r="S1227" s="150" t="s">
        <v>1601</v>
      </c>
    </row>
    <row r="1228" spans="1:20" ht="28">
      <c r="A1228" s="116"/>
      <c r="B1228" s="117" t="s">
        <v>1972</v>
      </c>
      <c r="C1228" s="5"/>
      <c r="D1228" s="5"/>
      <c r="E1228" s="132">
        <f t="shared" si="850"/>
        <v>452.75</v>
      </c>
      <c r="F1228" s="139">
        <f t="shared" si="851"/>
        <v>448.98</v>
      </c>
      <c r="G1228" s="149" t="s">
        <v>1602</v>
      </c>
      <c r="H1228" s="82" t="str">
        <f t="shared" si="852"/>
        <v>0 percent up in Katian international stage</v>
      </c>
      <c r="I1228" s="142" t="str">
        <f t="shared" si="853"/>
        <v>50 percent up in Katian international stage</v>
      </c>
      <c r="J1228" s="7">
        <v>0</v>
      </c>
      <c r="K1228" s="129">
        <f t="shared" si="854"/>
        <v>0</v>
      </c>
      <c r="L1228" s="8" t="s">
        <v>160</v>
      </c>
      <c r="M1228" s="5"/>
      <c r="O1228" s="83"/>
      <c r="P1228" s="20">
        <v>0.5</v>
      </c>
      <c r="Q1228" s="143">
        <f t="shared" si="855"/>
        <v>50</v>
      </c>
      <c r="R1228" s="21" t="s">
        <v>160</v>
      </c>
      <c r="S1228" s="150" t="s">
        <v>1602</v>
      </c>
    </row>
    <row r="1229" spans="1:20" ht="28">
      <c r="A1229" s="116" t="s">
        <v>1209</v>
      </c>
      <c r="B1229" s="117" t="s">
        <v>160</v>
      </c>
      <c r="C1229" s="135"/>
      <c r="D1229" s="135" t="s">
        <v>222</v>
      </c>
      <c r="E1229" s="132">
        <f t="shared" si="838"/>
        <v>452.75</v>
      </c>
      <c r="F1229" s="139">
        <f t="shared" si="845"/>
        <v>445.21</v>
      </c>
      <c r="G1229" s="149"/>
      <c r="H1229" s="82" t="str">
        <f t="shared" si="846"/>
        <v>0 percent up in Katian international stage</v>
      </c>
      <c r="I1229" s="142" t="str">
        <f t="shared" si="847"/>
        <v>100 percent up in Katian international stage</v>
      </c>
      <c r="J1229" s="7">
        <v>0</v>
      </c>
      <c r="K1229" s="129">
        <f t="shared" si="848"/>
        <v>0</v>
      </c>
      <c r="L1229" s="8" t="s">
        <v>160</v>
      </c>
      <c r="M1229" s="5" t="s">
        <v>224</v>
      </c>
      <c r="N1229" s="5" t="s">
        <v>1247</v>
      </c>
      <c r="O1229" s="84">
        <f>Master_Chronostrat!I147</f>
        <v>452.75</v>
      </c>
      <c r="P1229" s="20">
        <v>1</v>
      </c>
      <c r="Q1229" s="143">
        <f t="shared" si="849"/>
        <v>100</v>
      </c>
      <c r="R1229" s="21" t="s">
        <v>160</v>
      </c>
      <c r="S1229" s="8" t="s">
        <v>224</v>
      </c>
      <c r="T1229" s="7" t="s">
        <v>226</v>
      </c>
    </row>
    <row r="1230" spans="1:20" ht="28">
      <c r="A1230" s="116" t="s">
        <v>1209</v>
      </c>
      <c r="B1230" s="117" t="s">
        <v>1248</v>
      </c>
      <c r="C1230" s="5"/>
      <c r="D1230" s="5" t="s">
        <v>368</v>
      </c>
      <c r="E1230" s="132">
        <f t="shared" ref="E1230:E1253" si="856">$O$1270-J1230*($O$1270-$O$1229)</f>
        <v>452.96283137254903</v>
      </c>
      <c r="F1230" s="139">
        <f t="shared" si="845"/>
        <v>448.46254901960782</v>
      </c>
      <c r="G1230" s="149"/>
      <c r="H1230" s="82" t="str">
        <f t="shared" si="846"/>
        <v>96.1 percent up in Sandbian international stage</v>
      </c>
      <c r="I1230" s="142" t="str">
        <f t="shared" si="847"/>
        <v>56.9 percent up in Katian international stage</v>
      </c>
      <c r="J1230" s="7">
        <v>0.96078431372549211</v>
      </c>
      <c r="K1230" s="129">
        <f t="shared" si="848"/>
        <v>96.1</v>
      </c>
      <c r="L1230" s="8" t="s">
        <v>161</v>
      </c>
      <c r="M1230" s="5" t="s">
        <v>82</v>
      </c>
      <c r="N1230" s="5" t="s">
        <v>82</v>
      </c>
      <c r="O1230" s="83"/>
      <c r="P1230" s="20">
        <v>0.56862745098039391</v>
      </c>
      <c r="Q1230" s="143">
        <f t="shared" si="849"/>
        <v>56.9</v>
      </c>
      <c r="R1230" s="21" t="s">
        <v>160</v>
      </c>
      <c r="S1230" s="8" t="s">
        <v>246</v>
      </c>
      <c r="T1230" s="7" t="s">
        <v>226</v>
      </c>
    </row>
    <row r="1231" spans="1:20" ht="28">
      <c r="A1231" s="116" t="s">
        <v>1209</v>
      </c>
      <c r="B1231" s="118" t="s">
        <v>1249</v>
      </c>
      <c r="C1231" s="5"/>
      <c r="D1231" s="5" t="s">
        <v>244</v>
      </c>
      <c r="E1231" s="132">
        <f t="shared" si="856"/>
        <v>453.49490980392159</v>
      </c>
      <c r="F1231" s="139">
        <f t="shared" si="845"/>
        <v>451.04980392156864</v>
      </c>
      <c r="G1231" s="149"/>
      <c r="H1231" s="82" t="str">
        <f t="shared" si="846"/>
        <v>86.3 percent up in Sandbian international stage</v>
      </c>
      <c r="I1231" s="142" t="str">
        <f t="shared" si="847"/>
        <v>22.5 percent up in Katian international stage</v>
      </c>
      <c r="J1231" s="7">
        <v>0.86274509803921706</v>
      </c>
      <c r="K1231" s="129">
        <f t="shared" si="848"/>
        <v>86.3</v>
      </c>
      <c r="L1231" s="8" t="s">
        <v>161</v>
      </c>
      <c r="M1231" s="5" t="s">
        <v>82</v>
      </c>
      <c r="N1231" s="5" t="s">
        <v>82</v>
      </c>
      <c r="O1231" s="83"/>
      <c r="P1231" s="20">
        <v>0.22549019607843274</v>
      </c>
      <c r="Q1231" s="143">
        <f t="shared" si="849"/>
        <v>22.5</v>
      </c>
      <c r="R1231" s="21" t="s">
        <v>160</v>
      </c>
      <c r="S1231" s="8" t="s">
        <v>246</v>
      </c>
      <c r="T1231" s="7" t="s">
        <v>226</v>
      </c>
    </row>
    <row r="1232" spans="1:20" ht="28">
      <c r="A1232" s="116" t="s">
        <v>1209</v>
      </c>
      <c r="B1232" s="118" t="s">
        <v>1250</v>
      </c>
      <c r="C1232" s="5"/>
      <c r="D1232" s="5" t="s">
        <v>1201</v>
      </c>
      <c r="E1232" s="132">
        <f t="shared" si="856"/>
        <v>453.49490980392159</v>
      </c>
      <c r="F1232" s="139">
        <f>$O$1270-P1232*($O$1270-$O$1229)</f>
        <v>452.75</v>
      </c>
      <c r="G1232" s="149"/>
      <c r="H1232" s="82" t="str">
        <f t="shared" si="846"/>
        <v>86.3 percent up in Sandbian international stage</v>
      </c>
      <c r="I1232" s="142" t="str">
        <f t="shared" si="847"/>
        <v>100 percent up in Sandbian international stage</v>
      </c>
      <c r="J1232" s="7">
        <v>0.86274509803921706</v>
      </c>
      <c r="K1232" s="129">
        <f t="shared" si="848"/>
        <v>86.3</v>
      </c>
      <c r="L1232" s="8" t="s">
        <v>161</v>
      </c>
      <c r="M1232" s="5" t="s">
        <v>82</v>
      </c>
      <c r="N1232" s="5" t="s">
        <v>82</v>
      </c>
      <c r="O1232" s="83"/>
      <c r="P1232" s="20">
        <v>1</v>
      </c>
      <c r="Q1232" s="143">
        <f t="shared" si="849"/>
        <v>100</v>
      </c>
      <c r="R1232" s="21" t="s">
        <v>161</v>
      </c>
      <c r="S1232" s="8" t="s">
        <v>272</v>
      </c>
      <c r="T1232" s="7" t="s">
        <v>226</v>
      </c>
    </row>
    <row r="1233" spans="1:20" ht="28">
      <c r="A1233" s="116" t="s">
        <v>1209</v>
      </c>
      <c r="B1233" s="117" t="s">
        <v>1251</v>
      </c>
      <c r="C1233" s="5"/>
      <c r="D1233" s="5" t="s">
        <v>82</v>
      </c>
      <c r="E1233" s="132">
        <f t="shared" si="856"/>
        <v>454.02698823529414</v>
      </c>
      <c r="F1233" s="139">
        <f>$O$1229-P1233*($O$1229-$O$1192)</f>
        <v>452.15862745098036</v>
      </c>
      <c r="G1233" s="149"/>
      <c r="H1233" s="82" t="str">
        <f t="shared" si="846"/>
        <v>76.5 percent up in Sandbian international stage</v>
      </c>
      <c r="I1233" s="142" t="str">
        <f t="shared" si="847"/>
        <v>7.8 percent up in Katian international stage</v>
      </c>
      <c r="J1233" s="7">
        <v>0.76470588235294179</v>
      </c>
      <c r="K1233" s="129">
        <f t="shared" si="848"/>
        <v>76.5</v>
      </c>
      <c r="L1233" s="8" t="s">
        <v>161</v>
      </c>
      <c r="M1233" s="5" t="s">
        <v>82</v>
      </c>
      <c r="N1233" s="5" t="s">
        <v>82</v>
      </c>
      <c r="O1233" s="83"/>
      <c r="P1233" s="20">
        <v>7.8431372549020814E-2</v>
      </c>
      <c r="Q1233" s="143">
        <f t="shared" si="849"/>
        <v>7.8</v>
      </c>
      <c r="R1233" s="21" t="s">
        <v>160</v>
      </c>
      <c r="S1233" s="8" t="s">
        <v>246</v>
      </c>
      <c r="T1233" s="7" t="s">
        <v>226</v>
      </c>
    </row>
    <row r="1234" spans="1:20" ht="28">
      <c r="A1234" s="116" t="s">
        <v>1209</v>
      </c>
      <c r="B1234" s="117" t="s">
        <v>1252</v>
      </c>
      <c r="C1234" s="5"/>
      <c r="D1234" s="5" t="s">
        <v>82</v>
      </c>
      <c r="E1234" s="132">
        <f t="shared" si="856"/>
        <v>454.02698823529414</v>
      </c>
      <c r="F1234" s="139">
        <f>$O$1229-P1234*($O$1229-$O$1192)</f>
        <v>451.41941176470584</v>
      </c>
      <c r="G1234" s="149"/>
      <c r="H1234" s="82" t="str">
        <f t="shared" si="846"/>
        <v>76.5 percent up in Sandbian international stage</v>
      </c>
      <c r="I1234" s="142" t="str">
        <f t="shared" si="847"/>
        <v>17.6 percent up in Katian international stage</v>
      </c>
      <c r="J1234" s="7">
        <v>0.76470588235294179</v>
      </c>
      <c r="K1234" s="129">
        <f t="shared" si="848"/>
        <v>76.5</v>
      </c>
      <c r="L1234" s="8" t="s">
        <v>161</v>
      </c>
      <c r="M1234" s="5" t="s">
        <v>82</v>
      </c>
      <c r="N1234" s="5" t="s">
        <v>82</v>
      </c>
      <c r="O1234" s="83"/>
      <c r="P1234" s="20">
        <v>0.17647058823529543</v>
      </c>
      <c r="Q1234" s="143">
        <f t="shared" si="849"/>
        <v>17.600000000000001</v>
      </c>
      <c r="R1234" s="21" t="s">
        <v>160</v>
      </c>
      <c r="S1234" s="8" t="s">
        <v>246</v>
      </c>
      <c r="T1234" s="7" t="s">
        <v>226</v>
      </c>
    </row>
    <row r="1235" spans="1:20" ht="28">
      <c r="A1235" s="116" t="s">
        <v>1209</v>
      </c>
      <c r="B1235" s="117" t="s">
        <v>1253</v>
      </c>
      <c r="C1235" s="5"/>
      <c r="D1235" s="5" t="s">
        <v>1217</v>
      </c>
      <c r="E1235" s="132">
        <f t="shared" si="856"/>
        <v>454.25152533333329</v>
      </c>
      <c r="F1235" s="139">
        <f>$O$1229-P1235*($O$1229-$O$1192)</f>
        <v>450.5138725490196</v>
      </c>
      <c r="G1235" s="149"/>
      <c r="H1235" s="82" t="str">
        <f t="shared" si="846"/>
        <v>72.3 percent up in Sandbian international stage</v>
      </c>
      <c r="I1235" s="142" t="str">
        <f t="shared" si="847"/>
        <v>29.7 percent up in Katian international stage</v>
      </c>
      <c r="J1235" s="7">
        <v>0.72333333333334238</v>
      </c>
      <c r="K1235" s="129">
        <f t="shared" si="848"/>
        <v>72.3</v>
      </c>
      <c r="L1235" s="8" t="s">
        <v>161</v>
      </c>
      <c r="M1235" s="5" t="s">
        <v>82</v>
      </c>
      <c r="N1235" s="5" t="s">
        <v>82</v>
      </c>
      <c r="O1235" s="83"/>
      <c r="P1235" s="20">
        <v>0.29656862745097851</v>
      </c>
      <c r="Q1235" s="143">
        <f t="shared" si="849"/>
        <v>29.7</v>
      </c>
      <c r="R1235" s="21" t="s">
        <v>160</v>
      </c>
      <c r="S1235" s="8" t="s">
        <v>246</v>
      </c>
      <c r="T1235" s="7" t="s">
        <v>226</v>
      </c>
    </row>
    <row r="1236" spans="1:20" ht="28">
      <c r="A1236" s="116" t="s">
        <v>1209</v>
      </c>
      <c r="B1236" s="118" t="s">
        <v>1254</v>
      </c>
      <c r="C1236" s="5"/>
      <c r="D1236" s="5" t="s">
        <v>1255</v>
      </c>
      <c r="E1236" s="132">
        <f t="shared" si="856"/>
        <v>454.77189803921567</v>
      </c>
      <c r="F1236" s="139">
        <f>$O$1229-P1236*($O$1229-$O$1192)</f>
        <v>452.3064705882353</v>
      </c>
      <c r="G1236" s="149"/>
      <c r="H1236" s="82" t="str">
        <f t="shared" si="846"/>
        <v>62.7 percent up in Sandbian international stage</v>
      </c>
      <c r="I1236" s="142" t="str">
        <f t="shared" si="847"/>
        <v>5.9 percent up in Katian international stage</v>
      </c>
      <c r="J1236" s="7">
        <v>0.62745098039215885</v>
      </c>
      <c r="K1236" s="129">
        <f t="shared" si="848"/>
        <v>62.7</v>
      </c>
      <c r="L1236" s="8" t="s">
        <v>161</v>
      </c>
      <c r="M1236" s="5" t="s">
        <v>82</v>
      </c>
      <c r="N1236" s="5" t="s">
        <v>82</v>
      </c>
      <c r="O1236" s="83"/>
      <c r="P1236" s="20">
        <v>5.8823529411767002E-2</v>
      </c>
      <c r="Q1236" s="143">
        <f t="shared" si="849"/>
        <v>5.9</v>
      </c>
      <c r="R1236" s="21" t="s">
        <v>160</v>
      </c>
      <c r="S1236" s="8" t="s">
        <v>246</v>
      </c>
      <c r="T1236" s="7" t="s">
        <v>226</v>
      </c>
    </row>
    <row r="1237" spans="1:20" ht="28">
      <c r="A1237" s="116" t="s">
        <v>1209</v>
      </c>
      <c r="B1237" s="117" t="s">
        <v>1256</v>
      </c>
      <c r="C1237" s="5"/>
      <c r="D1237" s="5" t="s">
        <v>264</v>
      </c>
      <c r="E1237" s="132">
        <f t="shared" si="856"/>
        <v>454.77189803921567</v>
      </c>
      <c r="F1237" s="139">
        <f>$O$1229-P1237*($O$1229-$O$1192)</f>
        <v>452.3064705882353</v>
      </c>
      <c r="G1237" s="149"/>
      <c r="H1237" s="82" t="str">
        <f t="shared" si="846"/>
        <v>62.7 percent up in Sandbian international stage</v>
      </c>
      <c r="I1237" s="142" t="str">
        <f t="shared" si="847"/>
        <v>5.9 percent up in Katian international stage</v>
      </c>
      <c r="J1237" s="7">
        <v>0.62745098039215885</v>
      </c>
      <c r="K1237" s="129">
        <f t="shared" si="848"/>
        <v>62.7</v>
      </c>
      <c r="L1237" s="8" t="s">
        <v>161</v>
      </c>
      <c r="M1237" s="5" t="s">
        <v>82</v>
      </c>
      <c r="N1237" s="5" t="s">
        <v>82</v>
      </c>
      <c r="O1237" s="83"/>
      <c r="P1237" s="20">
        <v>5.8823529411767002E-2</v>
      </c>
      <c r="Q1237" s="143">
        <f t="shared" si="849"/>
        <v>5.9</v>
      </c>
      <c r="R1237" s="21" t="s">
        <v>160</v>
      </c>
      <c r="S1237" s="8" t="s">
        <v>246</v>
      </c>
      <c r="T1237" s="7" t="s">
        <v>226</v>
      </c>
    </row>
    <row r="1238" spans="1:20" ht="28">
      <c r="A1238" s="116" t="s">
        <v>1209</v>
      </c>
      <c r="B1238" s="118" t="s">
        <v>1257</v>
      </c>
      <c r="C1238" s="5"/>
      <c r="D1238" s="5" t="s">
        <v>1201</v>
      </c>
      <c r="E1238" s="132">
        <f t="shared" si="856"/>
        <v>455.09114509803925</v>
      </c>
      <c r="F1238" s="139">
        <f t="shared" ref="F1238:F1244" si="857">$O$1270-P1238*($O$1270-$O$1229)</f>
        <v>453.49490980392159</v>
      </c>
      <c r="G1238" s="149"/>
      <c r="H1238" s="82" t="str">
        <f t="shared" si="846"/>
        <v>56.9 percent up in Sandbian international stage</v>
      </c>
      <c r="I1238" s="142" t="str">
        <f t="shared" si="847"/>
        <v>86.3 percent up in Sandbian international stage</v>
      </c>
      <c r="J1238" s="7">
        <v>0.56862745098039147</v>
      </c>
      <c r="K1238" s="129">
        <f t="shared" si="848"/>
        <v>56.9</v>
      </c>
      <c r="L1238" s="8" t="s">
        <v>161</v>
      </c>
      <c r="M1238" s="5" t="s">
        <v>82</v>
      </c>
      <c r="N1238" s="5" t="s">
        <v>82</v>
      </c>
      <c r="O1238" s="83"/>
      <c r="P1238" s="20">
        <v>0.86274509803921695</v>
      </c>
      <c r="Q1238" s="143">
        <f t="shared" si="849"/>
        <v>86.3</v>
      </c>
      <c r="R1238" s="21" t="s">
        <v>161</v>
      </c>
      <c r="S1238" s="8" t="s">
        <v>259</v>
      </c>
      <c r="T1238" s="7">
        <v>0.29411764705882043</v>
      </c>
    </row>
    <row r="1239" spans="1:20" ht="28">
      <c r="A1239" s="116" t="s">
        <v>1209</v>
      </c>
      <c r="B1239" s="118" t="s">
        <v>1258</v>
      </c>
      <c r="C1239" s="5"/>
      <c r="D1239" s="5" t="s">
        <v>1109</v>
      </c>
      <c r="E1239" s="132">
        <f t="shared" si="856"/>
        <v>455.09114509803925</v>
      </c>
      <c r="F1239" s="139">
        <f t="shared" si="857"/>
        <v>454.02698823529414</v>
      </c>
      <c r="G1239" s="149"/>
      <c r="H1239" s="82" t="str">
        <f t="shared" si="846"/>
        <v>56.9 percent up in Sandbian international stage</v>
      </c>
      <c r="I1239" s="142" t="str">
        <f t="shared" si="847"/>
        <v>76.5 percent up in Sandbian international stage</v>
      </c>
      <c r="J1239" s="7">
        <v>0.56862745098039147</v>
      </c>
      <c r="K1239" s="129">
        <f t="shared" si="848"/>
        <v>56.9</v>
      </c>
      <c r="L1239" s="8" t="s">
        <v>161</v>
      </c>
      <c r="M1239" s="5" t="s">
        <v>82</v>
      </c>
      <c r="N1239" s="5" t="s">
        <v>82</v>
      </c>
      <c r="O1239" s="83"/>
      <c r="P1239" s="20">
        <v>0.76470588235294179</v>
      </c>
      <c r="Q1239" s="143">
        <f t="shared" si="849"/>
        <v>76.5</v>
      </c>
      <c r="R1239" s="21" t="s">
        <v>161</v>
      </c>
      <c r="S1239" s="8" t="s">
        <v>259</v>
      </c>
      <c r="T1239" s="7">
        <v>0.19607843137255046</v>
      </c>
    </row>
    <row r="1240" spans="1:20" ht="28">
      <c r="A1240" s="116" t="s">
        <v>1209</v>
      </c>
      <c r="B1240" s="117" t="s">
        <v>1259</v>
      </c>
      <c r="C1240" s="5"/>
      <c r="D1240" s="5" t="s">
        <v>82</v>
      </c>
      <c r="E1240" s="132">
        <f t="shared" si="856"/>
        <v>455.09114509803925</v>
      </c>
      <c r="F1240" s="139">
        <f t="shared" si="857"/>
        <v>454.02698823529414</v>
      </c>
      <c r="G1240" s="149"/>
      <c r="H1240" s="82" t="str">
        <f t="shared" si="846"/>
        <v>56.9 percent up in Sandbian international stage</v>
      </c>
      <c r="I1240" s="142" t="str">
        <f t="shared" si="847"/>
        <v>76.5 percent up in Sandbian international stage</v>
      </c>
      <c r="J1240" s="7">
        <v>0.56862745098039147</v>
      </c>
      <c r="K1240" s="129">
        <f t="shared" si="848"/>
        <v>56.9</v>
      </c>
      <c r="L1240" s="8" t="s">
        <v>161</v>
      </c>
      <c r="M1240" s="5" t="s">
        <v>82</v>
      </c>
      <c r="N1240" s="5" t="s">
        <v>82</v>
      </c>
      <c r="O1240" s="83"/>
      <c r="P1240" s="20">
        <v>0.76470588235294179</v>
      </c>
      <c r="Q1240" s="143">
        <f t="shared" si="849"/>
        <v>76.5</v>
      </c>
      <c r="R1240" s="21" t="s">
        <v>161</v>
      </c>
      <c r="S1240" s="8" t="s">
        <v>259</v>
      </c>
      <c r="T1240" s="7">
        <v>0.19607843137255046</v>
      </c>
    </row>
    <row r="1241" spans="1:20" ht="28">
      <c r="A1241" s="116" t="s">
        <v>1209</v>
      </c>
      <c r="B1241" s="117" t="s">
        <v>1260</v>
      </c>
      <c r="C1241" s="5"/>
      <c r="D1241" s="5" t="s">
        <v>82</v>
      </c>
      <c r="E1241" s="132">
        <f t="shared" si="856"/>
        <v>455.09114509803925</v>
      </c>
      <c r="F1241" s="139">
        <f t="shared" si="857"/>
        <v>454.02698823529414</v>
      </c>
      <c r="G1241" s="149"/>
      <c r="H1241" s="82" t="str">
        <f t="shared" si="846"/>
        <v>56.9 percent up in Sandbian international stage</v>
      </c>
      <c r="I1241" s="142" t="str">
        <f t="shared" si="847"/>
        <v>76.5 percent up in Sandbian international stage</v>
      </c>
      <c r="J1241" s="7">
        <v>0.56862745098039147</v>
      </c>
      <c r="K1241" s="129">
        <f t="shared" si="848"/>
        <v>56.9</v>
      </c>
      <c r="L1241" s="8" t="s">
        <v>161</v>
      </c>
      <c r="M1241" s="5" t="s">
        <v>82</v>
      </c>
      <c r="N1241" s="5" t="s">
        <v>82</v>
      </c>
      <c r="O1241" s="83"/>
      <c r="P1241" s="20">
        <v>0.76470588235294179</v>
      </c>
      <c r="Q1241" s="143">
        <f t="shared" si="849"/>
        <v>76.5</v>
      </c>
      <c r="R1241" s="21" t="s">
        <v>161</v>
      </c>
      <c r="S1241" s="8" t="s">
        <v>259</v>
      </c>
      <c r="T1241" s="7">
        <v>0.19607843137255046</v>
      </c>
    </row>
    <row r="1242" spans="1:20" ht="28">
      <c r="A1242" s="116" t="s">
        <v>1209</v>
      </c>
      <c r="B1242" s="118" t="s">
        <v>1261</v>
      </c>
      <c r="C1242" s="5"/>
      <c r="D1242" s="5" t="s">
        <v>244</v>
      </c>
      <c r="E1242" s="132">
        <f t="shared" si="856"/>
        <v>455.09114509803925</v>
      </c>
      <c r="F1242" s="139">
        <f t="shared" si="857"/>
        <v>453.49490980392159</v>
      </c>
      <c r="G1242" s="149"/>
      <c r="H1242" s="82" t="str">
        <f t="shared" si="846"/>
        <v>56.9 percent up in Sandbian international stage</v>
      </c>
      <c r="I1242" s="142" t="str">
        <f t="shared" si="847"/>
        <v>86.3 percent up in Sandbian international stage</v>
      </c>
      <c r="J1242" s="7">
        <v>0.56862745098039147</v>
      </c>
      <c r="K1242" s="129">
        <f t="shared" si="848"/>
        <v>56.9</v>
      </c>
      <c r="L1242" s="8" t="s">
        <v>161</v>
      </c>
      <c r="M1242" s="5" t="s">
        <v>82</v>
      </c>
      <c r="N1242" s="5" t="s">
        <v>82</v>
      </c>
      <c r="O1242" s="83"/>
      <c r="P1242" s="20">
        <v>0.86274509803921695</v>
      </c>
      <c r="Q1242" s="143">
        <f t="shared" si="849"/>
        <v>86.3</v>
      </c>
      <c r="R1242" s="21" t="s">
        <v>161</v>
      </c>
      <c r="S1242" s="8" t="s">
        <v>259</v>
      </c>
      <c r="T1242" s="7">
        <v>0.29411764705882043</v>
      </c>
    </row>
    <row r="1243" spans="1:20" ht="28">
      <c r="A1243" s="116" t="s">
        <v>1209</v>
      </c>
      <c r="B1243" s="117" t="s">
        <v>1262</v>
      </c>
      <c r="C1243" s="5"/>
      <c r="D1243" s="5" t="s">
        <v>82</v>
      </c>
      <c r="E1243" s="132">
        <f t="shared" si="856"/>
        <v>456.15530196078436</v>
      </c>
      <c r="F1243" s="139">
        <f t="shared" si="857"/>
        <v>455.09114509803925</v>
      </c>
      <c r="G1243" s="149"/>
      <c r="H1243" s="82" t="str">
        <f t="shared" si="846"/>
        <v>37.3 percent up in Sandbian international stage</v>
      </c>
      <c r="I1243" s="142" t="str">
        <f t="shared" si="847"/>
        <v>56.9 percent up in Sandbian international stage</v>
      </c>
      <c r="J1243" s="7">
        <v>0.37254901960784115</v>
      </c>
      <c r="K1243" s="129">
        <f t="shared" si="848"/>
        <v>37.299999999999997</v>
      </c>
      <c r="L1243" s="8" t="s">
        <v>161</v>
      </c>
      <c r="M1243" s="5" t="s">
        <v>82</v>
      </c>
      <c r="N1243" s="5" t="s">
        <v>82</v>
      </c>
      <c r="O1243" s="83"/>
      <c r="P1243" s="20">
        <v>0.56862745098039147</v>
      </c>
      <c r="Q1243" s="143">
        <f t="shared" si="849"/>
        <v>56.9</v>
      </c>
      <c r="R1243" s="21" t="s">
        <v>161</v>
      </c>
      <c r="S1243" s="8" t="s">
        <v>259</v>
      </c>
      <c r="T1243" s="7">
        <v>0.19607843137255046</v>
      </c>
    </row>
    <row r="1244" spans="1:20" ht="28">
      <c r="A1244" s="116" t="s">
        <v>1209</v>
      </c>
      <c r="B1244" s="117" t="s">
        <v>1263</v>
      </c>
      <c r="C1244" s="5"/>
      <c r="D1244" s="5" t="s">
        <v>82</v>
      </c>
      <c r="E1244" s="132">
        <f t="shared" si="856"/>
        <v>456.15530196078436</v>
      </c>
      <c r="F1244" s="139">
        <f t="shared" si="857"/>
        <v>455.09114509803925</v>
      </c>
      <c r="G1244" s="149"/>
      <c r="H1244" s="82" t="str">
        <f t="shared" si="846"/>
        <v>37.3 percent up in Sandbian international stage</v>
      </c>
      <c r="I1244" s="142" t="str">
        <f t="shared" si="847"/>
        <v>56.9 percent up in Sandbian international stage</v>
      </c>
      <c r="J1244" s="7">
        <v>0.37254901960784115</v>
      </c>
      <c r="K1244" s="129">
        <f t="shared" si="848"/>
        <v>37.299999999999997</v>
      </c>
      <c r="L1244" s="8" t="s">
        <v>161</v>
      </c>
      <c r="M1244" s="5" t="s">
        <v>82</v>
      </c>
      <c r="N1244" s="5" t="s">
        <v>82</v>
      </c>
      <c r="O1244" s="83"/>
      <c r="P1244" s="20">
        <v>0.56862745098039147</v>
      </c>
      <c r="Q1244" s="143">
        <f t="shared" si="849"/>
        <v>56.9</v>
      </c>
      <c r="R1244" s="21" t="s">
        <v>161</v>
      </c>
      <c r="S1244" s="8" t="s">
        <v>259</v>
      </c>
      <c r="T1244" s="7">
        <v>0.19607843137255046</v>
      </c>
    </row>
    <row r="1245" spans="1:20" ht="28">
      <c r="A1245" s="116" t="s">
        <v>1209</v>
      </c>
      <c r="B1245" s="118" t="s">
        <v>1264</v>
      </c>
      <c r="C1245" s="5"/>
      <c r="D1245" s="5" t="s">
        <v>1212</v>
      </c>
      <c r="E1245" s="132">
        <f t="shared" si="856"/>
        <v>457.2577684705883</v>
      </c>
      <c r="F1245" s="139">
        <f>$O$1229-P1245*($O$1229-$O$1192)</f>
        <v>448.44480784313726</v>
      </c>
      <c r="G1245" s="149"/>
      <c r="H1245" s="82" t="str">
        <f t="shared" si="846"/>
        <v>16.9 percent up in Sandbian international stage</v>
      </c>
      <c r="I1245" s="142" t="str">
        <f t="shared" si="847"/>
        <v>57.1 percent up in Katian international stage</v>
      </c>
      <c r="J1245" s="7">
        <v>0.16941176470587871</v>
      </c>
      <c r="K1245" s="129">
        <f t="shared" si="848"/>
        <v>16.899999999999999</v>
      </c>
      <c r="L1245" s="8" t="s">
        <v>161</v>
      </c>
      <c r="M1245" s="5" t="s">
        <v>82</v>
      </c>
      <c r="N1245" s="5" t="s">
        <v>82</v>
      </c>
      <c r="O1245" s="83"/>
      <c r="P1245" s="20">
        <v>0.57098039215686458</v>
      </c>
      <c r="Q1245" s="143">
        <f t="shared" si="849"/>
        <v>57.1</v>
      </c>
      <c r="R1245" s="21" t="s">
        <v>160</v>
      </c>
      <c r="S1245" s="8" t="s">
        <v>246</v>
      </c>
      <c r="T1245" s="7" t="s">
        <v>226</v>
      </c>
    </row>
    <row r="1246" spans="1:20" ht="28">
      <c r="A1246" s="116" t="s">
        <v>1209</v>
      </c>
      <c r="B1246" s="118" t="s">
        <v>1265</v>
      </c>
      <c r="C1246" s="5"/>
      <c r="D1246" s="5" t="s">
        <v>1201</v>
      </c>
      <c r="E1246" s="132">
        <f t="shared" si="856"/>
        <v>457.75153725490202</v>
      </c>
      <c r="F1246" s="139">
        <f>$O$1270-P1246*($O$1270-$O$1229)</f>
        <v>455.09114509803925</v>
      </c>
      <c r="G1246" s="149"/>
      <c r="H1246" s="82" t="str">
        <f t="shared" si="846"/>
        <v>7.8 percent up in Sandbian international stage</v>
      </c>
      <c r="I1246" s="142" t="str">
        <f t="shared" si="847"/>
        <v>56.9 percent up in Sandbian international stage</v>
      </c>
      <c r="J1246" s="7">
        <v>7.8431372549015665E-2</v>
      </c>
      <c r="K1246" s="129">
        <f t="shared" si="848"/>
        <v>7.8</v>
      </c>
      <c r="L1246" s="8" t="s">
        <v>161</v>
      </c>
      <c r="M1246" s="5" t="s">
        <v>82</v>
      </c>
      <c r="N1246" s="5" t="s">
        <v>82</v>
      </c>
      <c r="O1246" s="83"/>
      <c r="P1246" s="20">
        <v>0.56862745098039147</v>
      </c>
      <c r="Q1246" s="143">
        <f t="shared" si="849"/>
        <v>56.9</v>
      </c>
      <c r="R1246" s="21" t="s">
        <v>161</v>
      </c>
      <c r="S1246" s="8" t="s">
        <v>259</v>
      </c>
      <c r="T1246" s="7">
        <v>0.49019607843138141</v>
      </c>
    </row>
    <row r="1247" spans="1:20" ht="28">
      <c r="A1247" s="116" t="s">
        <v>1209</v>
      </c>
      <c r="B1247" s="117" t="s">
        <v>1266</v>
      </c>
      <c r="C1247" s="5"/>
      <c r="D1247" s="5" t="s">
        <v>264</v>
      </c>
      <c r="E1247" s="132">
        <f t="shared" si="856"/>
        <v>458.17720000000003</v>
      </c>
      <c r="F1247" s="139">
        <f>$O$1270-P1247*($O$1270-$O$1229)</f>
        <v>454.02698823529414</v>
      </c>
      <c r="G1247" s="149"/>
      <c r="H1247" s="82" t="str">
        <f t="shared" si="846"/>
        <v>0 percent up in Sandbian international stage</v>
      </c>
      <c r="I1247" s="142" t="str">
        <f t="shared" si="847"/>
        <v>76.5 percent up in Sandbian international stage</v>
      </c>
      <c r="J1247" s="7">
        <v>0</v>
      </c>
      <c r="K1247" s="129">
        <f t="shared" si="848"/>
        <v>0</v>
      </c>
      <c r="L1247" s="8" t="s">
        <v>161</v>
      </c>
      <c r="M1247" s="5" t="s">
        <v>82</v>
      </c>
      <c r="N1247" s="5" t="s">
        <v>82</v>
      </c>
      <c r="O1247" s="83"/>
      <c r="P1247" s="20">
        <v>0.76470588235294179</v>
      </c>
      <c r="Q1247" s="143">
        <f t="shared" si="849"/>
        <v>76.5</v>
      </c>
      <c r="R1247" s="21" t="s">
        <v>161</v>
      </c>
      <c r="S1247" s="8" t="s">
        <v>230</v>
      </c>
      <c r="T1247" s="7" t="s">
        <v>226</v>
      </c>
    </row>
    <row r="1248" spans="1:20" ht="28">
      <c r="A1248" s="116" t="s">
        <v>1209</v>
      </c>
      <c r="B1248" s="117" t="s">
        <v>1267</v>
      </c>
      <c r="C1248" s="5"/>
      <c r="D1248" s="5" t="s">
        <v>82</v>
      </c>
      <c r="E1248" s="132">
        <f t="shared" si="856"/>
        <v>458.17720000000003</v>
      </c>
      <c r="F1248" s="139">
        <f>$O$1192-P1248*($O$1192-$O$1186)</f>
        <v>443.0718</v>
      </c>
      <c r="G1248" s="149"/>
      <c r="H1248" s="82" t="str">
        <f t="shared" si="846"/>
        <v>0 percent up in Sandbian international stage</v>
      </c>
      <c r="I1248" s="142" t="str">
        <f t="shared" si="847"/>
        <v>100 percent up in Hirnantian international stage</v>
      </c>
      <c r="J1248" s="7">
        <v>0</v>
      </c>
      <c r="K1248" s="129">
        <f t="shared" si="848"/>
        <v>0</v>
      </c>
      <c r="L1248" s="8" t="s">
        <v>161</v>
      </c>
      <c r="M1248" s="5" t="s">
        <v>82</v>
      </c>
      <c r="N1248" s="5" t="s">
        <v>82</v>
      </c>
      <c r="O1248" s="83"/>
      <c r="P1248" s="20">
        <v>1</v>
      </c>
      <c r="Q1248" s="143">
        <f t="shared" si="849"/>
        <v>100</v>
      </c>
      <c r="R1248" s="21" t="s">
        <v>159</v>
      </c>
      <c r="S1248" s="8" t="s">
        <v>232</v>
      </c>
      <c r="T1248" s="7" t="s">
        <v>226</v>
      </c>
    </row>
    <row r="1249" spans="1:20" ht="28">
      <c r="A1249" s="116" t="s">
        <v>1209</v>
      </c>
      <c r="B1249" s="117" t="s">
        <v>1268</v>
      </c>
      <c r="C1249" s="5"/>
      <c r="D1249" s="5" t="s">
        <v>82</v>
      </c>
      <c r="E1249" s="132">
        <f t="shared" si="856"/>
        <v>458.17720000000003</v>
      </c>
      <c r="F1249" s="139">
        <f>$O$1192-P1249*($O$1192-$O$1186)</f>
        <v>443.0718</v>
      </c>
      <c r="G1249" s="149"/>
      <c r="H1249" s="82" t="str">
        <f t="shared" si="846"/>
        <v>0 percent up in Sandbian international stage</v>
      </c>
      <c r="I1249" s="142" t="str">
        <f t="shared" si="847"/>
        <v>100 percent up in Hirnantian international stage</v>
      </c>
      <c r="J1249" s="7">
        <v>0</v>
      </c>
      <c r="K1249" s="129">
        <f t="shared" si="848"/>
        <v>0</v>
      </c>
      <c r="L1249" s="8" t="s">
        <v>161</v>
      </c>
      <c r="M1249" s="5" t="s">
        <v>82</v>
      </c>
      <c r="N1249" s="5" t="s">
        <v>82</v>
      </c>
      <c r="O1249" s="83"/>
      <c r="P1249" s="20">
        <v>1</v>
      </c>
      <c r="Q1249" s="143">
        <f t="shared" si="849"/>
        <v>100</v>
      </c>
      <c r="R1249" s="21" t="s">
        <v>159</v>
      </c>
      <c r="S1249" s="8" t="s">
        <v>232</v>
      </c>
      <c r="T1249" s="7" t="s">
        <v>226</v>
      </c>
    </row>
    <row r="1250" spans="1:20" ht="28">
      <c r="A1250" s="116" t="s">
        <v>1209</v>
      </c>
      <c r="B1250" s="117" t="s">
        <v>1269</v>
      </c>
      <c r="C1250" s="5"/>
      <c r="D1250" s="5" t="s">
        <v>248</v>
      </c>
      <c r="E1250" s="132">
        <f t="shared" si="856"/>
        <v>458.17720000000003</v>
      </c>
      <c r="F1250" s="139">
        <f>$O$1229-P1250*($O$1229-$O$1192)</f>
        <v>451.7890196078431</v>
      </c>
      <c r="G1250" s="149"/>
      <c r="H1250" s="82" t="str">
        <f t="shared" si="846"/>
        <v>0 percent up in Sandbian international stage</v>
      </c>
      <c r="I1250" s="142" t="str">
        <f t="shared" si="847"/>
        <v>12.7 percent up in Katian international stage</v>
      </c>
      <c r="J1250" s="7">
        <v>0</v>
      </c>
      <c r="K1250" s="129">
        <f t="shared" si="848"/>
        <v>0</v>
      </c>
      <c r="L1250" s="8" t="s">
        <v>161</v>
      </c>
      <c r="M1250" s="5" t="s">
        <v>82</v>
      </c>
      <c r="N1250" s="5" t="s">
        <v>82</v>
      </c>
      <c r="O1250" s="83"/>
      <c r="P1250" s="20">
        <v>0.12745098039215813</v>
      </c>
      <c r="Q1250" s="143">
        <f t="shared" si="849"/>
        <v>12.7</v>
      </c>
      <c r="R1250" s="21" t="s">
        <v>160</v>
      </c>
      <c r="S1250" s="8" t="s">
        <v>246</v>
      </c>
      <c r="T1250" s="7" t="s">
        <v>226</v>
      </c>
    </row>
    <row r="1251" spans="1:20" ht="28">
      <c r="A1251" s="116" t="s">
        <v>1209</v>
      </c>
      <c r="B1251" s="117" t="s">
        <v>1270</v>
      </c>
      <c r="C1251" s="5"/>
      <c r="D1251" s="5" t="s">
        <v>82</v>
      </c>
      <c r="E1251" s="132">
        <f t="shared" si="856"/>
        <v>458.17720000000003</v>
      </c>
      <c r="F1251" s="139">
        <f>$O$1270-P1251*($O$1270-$O$1229)</f>
        <v>456.15530196078436</v>
      </c>
      <c r="G1251" s="149"/>
      <c r="H1251" s="82" t="str">
        <f t="shared" si="846"/>
        <v>0 percent up in Sandbian international stage</v>
      </c>
      <c r="I1251" s="142" t="str">
        <f t="shared" si="847"/>
        <v>37.3 percent up in Sandbian international stage</v>
      </c>
      <c r="J1251" s="7">
        <v>0</v>
      </c>
      <c r="K1251" s="129">
        <f t="shared" si="848"/>
        <v>0</v>
      </c>
      <c r="L1251" s="8" t="s">
        <v>161</v>
      </c>
      <c r="M1251" s="5" t="s">
        <v>82</v>
      </c>
      <c r="N1251" s="5" t="s">
        <v>82</v>
      </c>
      <c r="O1251" s="83"/>
      <c r="P1251" s="20">
        <v>0.37254901960784115</v>
      </c>
      <c r="Q1251" s="143">
        <f t="shared" si="849"/>
        <v>37.299999999999997</v>
      </c>
      <c r="R1251" s="21" t="s">
        <v>161</v>
      </c>
      <c r="S1251" s="8" t="s">
        <v>230</v>
      </c>
      <c r="T1251" s="7" t="s">
        <v>226</v>
      </c>
    </row>
    <row r="1252" spans="1:20" ht="28">
      <c r="A1252" s="116" t="s">
        <v>1209</v>
      </c>
      <c r="B1252" s="117" t="s">
        <v>1271</v>
      </c>
      <c r="C1252" s="5"/>
      <c r="D1252" s="5" t="s">
        <v>82</v>
      </c>
      <c r="E1252" s="132">
        <f t="shared" si="856"/>
        <v>458.17720000000003</v>
      </c>
      <c r="F1252" s="139">
        <f>$O$1270-P1252*($O$1270-$O$1229)</f>
        <v>456.15530196078436</v>
      </c>
      <c r="G1252" s="149"/>
      <c r="H1252" s="82" t="str">
        <f t="shared" si="846"/>
        <v>0 percent up in Sandbian international stage</v>
      </c>
      <c r="I1252" s="142" t="str">
        <f t="shared" si="847"/>
        <v>37.3 percent up in Sandbian international stage</v>
      </c>
      <c r="J1252" s="7">
        <v>0</v>
      </c>
      <c r="K1252" s="129">
        <f t="shared" si="848"/>
        <v>0</v>
      </c>
      <c r="L1252" s="8" t="s">
        <v>161</v>
      </c>
      <c r="M1252" s="5" t="s">
        <v>82</v>
      </c>
      <c r="N1252" s="5" t="s">
        <v>82</v>
      </c>
      <c r="O1252" s="83"/>
      <c r="P1252" s="20">
        <v>0.37254901960784115</v>
      </c>
      <c r="Q1252" s="143">
        <f t="shared" si="849"/>
        <v>37.299999999999997</v>
      </c>
      <c r="R1252" s="21" t="s">
        <v>161</v>
      </c>
      <c r="S1252" s="8" t="s">
        <v>230</v>
      </c>
      <c r="T1252" s="7" t="s">
        <v>226</v>
      </c>
    </row>
    <row r="1253" spans="1:20" ht="28">
      <c r="A1253" s="116" t="s">
        <v>1209</v>
      </c>
      <c r="B1253" s="117" t="s">
        <v>1272</v>
      </c>
      <c r="C1253" s="5"/>
      <c r="D1253" s="5" t="s">
        <v>82</v>
      </c>
      <c r="E1253" s="132">
        <f t="shared" si="856"/>
        <v>458.17720000000003</v>
      </c>
      <c r="F1253" s="139">
        <f>$O$1270-P1253*($O$1270-$O$1229)</f>
        <v>456.15530196078436</v>
      </c>
      <c r="G1253" s="149"/>
      <c r="H1253" s="82" t="str">
        <f t="shared" si="846"/>
        <v>0 percent up in Sandbian international stage</v>
      </c>
      <c r="I1253" s="142" t="str">
        <f t="shared" si="847"/>
        <v>37.3 percent up in Sandbian international stage</v>
      </c>
      <c r="J1253" s="7">
        <v>0</v>
      </c>
      <c r="K1253" s="129">
        <f t="shared" si="848"/>
        <v>0</v>
      </c>
      <c r="L1253" s="8" t="s">
        <v>161</v>
      </c>
      <c r="M1253" s="5" t="s">
        <v>82</v>
      </c>
      <c r="N1253" s="5" t="s">
        <v>82</v>
      </c>
      <c r="O1253" s="83"/>
      <c r="P1253" s="20">
        <v>0.37254901960784115</v>
      </c>
      <c r="Q1253" s="143">
        <f t="shared" si="849"/>
        <v>37.299999999999997</v>
      </c>
      <c r="R1253" s="21" t="s">
        <v>161</v>
      </c>
      <c r="S1253" s="8" t="s">
        <v>230</v>
      </c>
      <c r="T1253" s="7" t="s">
        <v>226</v>
      </c>
    </row>
    <row r="1254" spans="1:20" ht="28">
      <c r="A1254" s="116"/>
      <c r="B1254" s="117" t="s">
        <v>1771</v>
      </c>
      <c r="C1254" s="5"/>
      <c r="D1254" s="5"/>
      <c r="E1254" s="132">
        <f>$O$1229-J1254*($O$1229-$O$1192)</f>
        <v>450.86500000000001</v>
      </c>
      <c r="F1254" s="139">
        <f>$O$1229-P1254*($O$1229-$O$1192)</f>
        <v>447.7233333333333</v>
      </c>
      <c r="G1254" s="149" t="s">
        <v>1768</v>
      </c>
      <c r="H1254" s="82" t="str">
        <f t="shared" si="846"/>
        <v>25 percent up in Katian international stage</v>
      </c>
      <c r="I1254" s="142" t="str">
        <f t="shared" si="847"/>
        <v>66.7 percent up in Katian international stage</v>
      </c>
      <c r="J1254" s="7">
        <v>0.25</v>
      </c>
      <c r="K1254" s="129">
        <f t="shared" ref="K1254" si="858">ROUND(J1254*100,1)</f>
        <v>25</v>
      </c>
      <c r="L1254" s="8" t="s">
        <v>160</v>
      </c>
      <c r="M1254" s="5"/>
      <c r="O1254" s="83"/>
      <c r="P1254" s="20">
        <v>0.66666666666666852</v>
      </c>
      <c r="Q1254" s="143">
        <f t="shared" ref="Q1254:Q1255" si="859">ROUND(P1254*100,1)</f>
        <v>66.7</v>
      </c>
      <c r="R1254" s="21" t="s">
        <v>160</v>
      </c>
      <c r="S1254" s="8"/>
    </row>
    <row r="1255" spans="1:20" ht="28">
      <c r="A1255" s="116"/>
      <c r="B1255" s="117" t="s">
        <v>1772</v>
      </c>
      <c r="C1255" s="5"/>
      <c r="D1255" s="5"/>
      <c r="E1255" s="132">
        <f t="shared" ref="E1255:E1270" si="860">$O$1270-J1255*($O$1270-$O$1229)</f>
        <v>454.10680000000002</v>
      </c>
      <c r="F1255" s="139">
        <f>$O$1229-P1255*($O$1229-$O$1192)</f>
        <v>450.86500000000001</v>
      </c>
      <c r="G1255" s="149" t="s">
        <v>1769</v>
      </c>
      <c r="H1255" s="82" t="str">
        <f t="shared" ref="H1255" si="861">CONCATENATE(K1255," percent up in ",L1255," international stage")</f>
        <v>75 percent up in Sandbian international stage</v>
      </c>
      <c r="I1255" s="142" t="str">
        <f t="shared" ref="I1255" si="862">CONCATENATE(Q1255," percent up in ",R1255," international stage")</f>
        <v>25 percent up in Katian international stage</v>
      </c>
      <c r="J1255" s="7">
        <v>0.75</v>
      </c>
      <c r="K1255" s="129">
        <f t="shared" ref="K1255" si="863">ROUND(J1255*100,1)</f>
        <v>75</v>
      </c>
      <c r="L1255" s="8" t="s">
        <v>161</v>
      </c>
      <c r="M1255" s="5"/>
      <c r="O1255" s="83"/>
      <c r="P1255" s="20">
        <v>0.25</v>
      </c>
      <c r="Q1255" s="143">
        <f t="shared" si="859"/>
        <v>25</v>
      </c>
      <c r="R1255" s="21" t="s">
        <v>160</v>
      </c>
      <c r="S1255" s="8"/>
    </row>
    <row r="1256" spans="1:20" ht="28">
      <c r="A1256" s="116"/>
      <c r="B1256" s="117" t="s">
        <v>1773</v>
      </c>
      <c r="C1256" s="5"/>
      <c r="D1256" s="5"/>
      <c r="E1256" s="132">
        <f t="shared" si="860"/>
        <v>458.17720000000003</v>
      </c>
      <c r="F1256" s="139">
        <f>$O$1270-P1256*($O$1270-$O$1229)</f>
        <v>454.10680000000002</v>
      </c>
      <c r="G1256" s="149" t="s">
        <v>1770</v>
      </c>
      <c r="H1256" s="82" t="str">
        <f t="shared" ref="H1256:H1257" si="864">CONCATENATE(K1256," percent up in ",L1256," international stage")</f>
        <v>0 percent up in Sandbian international stage</v>
      </c>
      <c r="I1256" s="142" t="str">
        <f t="shared" ref="I1256:I1257" si="865">CONCATENATE(Q1256," percent up in ",R1256," international stage")</f>
        <v>75 percent up in Sandbian international stage</v>
      </c>
      <c r="J1256" s="7">
        <v>0</v>
      </c>
      <c r="K1256" s="129">
        <f t="shared" ref="K1256:K1257" si="866">ROUND(J1256*100,1)</f>
        <v>0</v>
      </c>
      <c r="L1256" s="8" t="s">
        <v>161</v>
      </c>
      <c r="M1256" s="5"/>
      <c r="O1256" s="83"/>
      <c r="P1256" s="20">
        <v>0.75</v>
      </c>
      <c r="Q1256" s="143">
        <f t="shared" ref="Q1256:Q1257" si="867">ROUND(P1256*100,1)</f>
        <v>75</v>
      </c>
      <c r="R1256" s="21" t="s">
        <v>161</v>
      </c>
      <c r="S1256" s="8"/>
    </row>
    <row r="1257" spans="1:20" ht="34">
      <c r="A1257" s="116"/>
      <c r="B1257" s="117" t="s">
        <v>1927</v>
      </c>
      <c r="C1257" s="5"/>
      <c r="D1257" s="5"/>
      <c r="E1257" s="132">
        <f t="shared" si="860"/>
        <v>458.17720000000003</v>
      </c>
      <c r="F1257" s="139">
        <f>$O$1229-P1257*($O$1229-$O$1192)</f>
        <v>447.7233333333333</v>
      </c>
      <c r="G1257" s="149"/>
      <c r="H1257" s="82" t="str">
        <f t="shared" si="864"/>
        <v>0 percent up in Sandbian international stage</v>
      </c>
      <c r="I1257" s="142" t="str">
        <f t="shared" si="865"/>
        <v>66.7 percent up in Katian international stage</v>
      </c>
      <c r="J1257" s="7">
        <v>0</v>
      </c>
      <c r="K1257" s="129">
        <f t="shared" si="866"/>
        <v>0</v>
      </c>
      <c r="L1257" s="8" t="s">
        <v>161</v>
      </c>
      <c r="M1257" s="5" t="s">
        <v>82</v>
      </c>
      <c r="N1257" s="5" t="s">
        <v>82</v>
      </c>
      <c r="O1257" s="83"/>
      <c r="P1257" s="20">
        <v>0.66666666666666852</v>
      </c>
      <c r="Q1257" s="143">
        <f t="shared" si="867"/>
        <v>66.7</v>
      </c>
      <c r="R1257" s="21" t="s">
        <v>160</v>
      </c>
      <c r="S1257" s="8" t="s">
        <v>1928</v>
      </c>
    </row>
    <row r="1258" spans="1:20" ht="28">
      <c r="A1258" s="116" t="s">
        <v>1209</v>
      </c>
      <c r="B1258" s="117" t="s">
        <v>1273</v>
      </c>
      <c r="C1258" s="5"/>
      <c r="D1258" s="5" t="s">
        <v>82</v>
      </c>
      <c r="E1258" s="132">
        <f t="shared" si="860"/>
        <v>458.17720000000003</v>
      </c>
      <c r="F1258" s="139">
        <f>$O$1229-P1258*($O$1229-$O$1192)</f>
        <v>447.7233333333333</v>
      </c>
      <c r="G1258" s="149"/>
      <c r="H1258" s="82" t="str">
        <f t="shared" si="846"/>
        <v>0 percent up in Sandbian international stage</v>
      </c>
      <c r="I1258" s="142" t="str">
        <f t="shared" si="847"/>
        <v>66.7 percent up in Katian international stage</v>
      </c>
      <c r="J1258" s="7">
        <v>0</v>
      </c>
      <c r="K1258" s="129">
        <f t="shared" si="848"/>
        <v>0</v>
      </c>
      <c r="L1258" s="8" t="s">
        <v>161</v>
      </c>
      <c r="M1258" s="5" t="s">
        <v>82</v>
      </c>
      <c r="N1258" s="5" t="s">
        <v>82</v>
      </c>
      <c r="O1258" s="83"/>
      <c r="P1258" s="20">
        <v>0.66666666666666852</v>
      </c>
      <c r="Q1258" s="143">
        <f t="shared" si="849"/>
        <v>66.7</v>
      </c>
      <c r="R1258" s="21" t="s">
        <v>160</v>
      </c>
      <c r="S1258" s="8" t="s">
        <v>246</v>
      </c>
      <c r="T1258" s="7" t="s">
        <v>226</v>
      </c>
    </row>
    <row r="1259" spans="1:20" ht="28">
      <c r="A1259" s="116" t="s">
        <v>1209</v>
      </c>
      <c r="B1259" s="117" t="s">
        <v>1274</v>
      </c>
      <c r="C1259" s="5"/>
      <c r="D1259" s="5" t="s">
        <v>82</v>
      </c>
      <c r="E1259" s="132">
        <f t="shared" si="860"/>
        <v>458.17720000000003</v>
      </c>
      <c r="F1259" s="139">
        <f>$O$1229-P1259*($O$1229-$O$1192)</f>
        <v>447.7233333333333</v>
      </c>
      <c r="G1259" s="149"/>
      <c r="H1259" s="82" t="str">
        <f t="shared" si="846"/>
        <v>0 percent up in Sandbian international stage</v>
      </c>
      <c r="I1259" s="142" t="str">
        <f t="shared" si="847"/>
        <v>66.7 percent up in Katian international stage</v>
      </c>
      <c r="J1259" s="7">
        <v>0</v>
      </c>
      <c r="K1259" s="129">
        <f t="shared" si="848"/>
        <v>0</v>
      </c>
      <c r="L1259" s="8" t="s">
        <v>161</v>
      </c>
      <c r="M1259" s="5" t="s">
        <v>82</v>
      </c>
      <c r="N1259" s="5" t="s">
        <v>82</v>
      </c>
      <c r="O1259" s="83"/>
      <c r="P1259" s="20">
        <v>0.66666666666666852</v>
      </c>
      <c r="Q1259" s="143">
        <f t="shared" si="849"/>
        <v>66.7</v>
      </c>
      <c r="R1259" s="21" t="s">
        <v>160</v>
      </c>
      <c r="S1259" s="8" t="s">
        <v>246</v>
      </c>
      <c r="T1259" s="7" t="s">
        <v>226</v>
      </c>
    </row>
    <row r="1260" spans="1:20" ht="28">
      <c r="A1260" s="116" t="s">
        <v>1209</v>
      </c>
      <c r="B1260" s="117" t="s">
        <v>1275</v>
      </c>
      <c r="C1260" s="5"/>
      <c r="D1260" s="5" t="s">
        <v>1217</v>
      </c>
      <c r="E1260" s="132">
        <f t="shared" si="860"/>
        <v>458.17720000000003</v>
      </c>
      <c r="F1260" s="139">
        <f>$O$1270-P1260*($O$1270-$O$1229)</f>
        <v>454.25152533333329</v>
      </c>
      <c r="G1260" s="149"/>
      <c r="H1260" s="82" t="str">
        <f t="shared" si="846"/>
        <v>0 percent up in Sandbian international stage</v>
      </c>
      <c r="I1260" s="142" t="str">
        <f t="shared" si="847"/>
        <v>72.3 percent up in Sandbian international stage</v>
      </c>
      <c r="J1260" s="7">
        <v>0</v>
      </c>
      <c r="K1260" s="129">
        <f t="shared" si="848"/>
        <v>0</v>
      </c>
      <c r="L1260" s="8" t="s">
        <v>161</v>
      </c>
      <c r="M1260" s="5" t="s">
        <v>82</v>
      </c>
      <c r="N1260" s="5" t="s">
        <v>82</v>
      </c>
      <c r="O1260" s="83"/>
      <c r="P1260" s="20">
        <v>0.72333333333334238</v>
      </c>
      <c r="Q1260" s="143">
        <f t="shared" si="849"/>
        <v>72.3</v>
      </c>
      <c r="R1260" s="21" t="s">
        <v>161</v>
      </c>
      <c r="S1260" s="8" t="s">
        <v>230</v>
      </c>
      <c r="T1260" s="7" t="s">
        <v>226</v>
      </c>
    </row>
    <row r="1261" spans="1:20" ht="28">
      <c r="A1261" s="116" t="s">
        <v>1209</v>
      </c>
      <c r="B1261" s="117" t="s">
        <v>1276</v>
      </c>
      <c r="C1261" s="5"/>
      <c r="D1261" s="5" t="s">
        <v>82</v>
      </c>
      <c r="E1261" s="132">
        <f t="shared" si="860"/>
        <v>458.17720000000003</v>
      </c>
      <c r="F1261" s="139">
        <f>$O$1270-P1261*($O$1270-$O$1229)</f>
        <v>456.15530196078436</v>
      </c>
      <c r="G1261" s="149"/>
      <c r="H1261" s="82" t="str">
        <f t="shared" si="846"/>
        <v>0 percent up in Sandbian international stage</v>
      </c>
      <c r="I1261" s="142" t="str">
        <f t="shared" si="847"/>
        <v>37.3 percent up in Sandbian international stage</v>
      </c>
      <c r="J1261" s="7">
        <v>0</v>
      </c>
      <c r="K1261" s="129">
        <f t="shared" si="848"/>
        <v>0</v>
      </c>
      <c r="L1261" s="8" t="s">
        <v>161</v>
      </c>
      <c r="M1261" s="5" t="s">
        <v>82</v>
      </c>
      <c r="N1261" s="5" t="s">
        <v>82</v>
      </c>
      <c r="O1261" s="83"/>
      <c r="P1261" s="20">
        <v>0.37254901960784115</v>
      </c>
      <c r="Q1261" s="143">
        <f t="shared" si="849"/>
        <v>37.299999999999997</v>
      </c>
      <c r="R1261" s="21" t="s">
        <v>161</v>
      </c>
      <c r="S1261" s="8" t="s">
        <v>230</v>
      </c>
      <c r="T1261" s="7" t="s">
        <v>226</v>
      </c>
    </row>
    <row r="1262" spans="1:20" ht="28">
      <c r="A1262" s="116" t="s">
        <v>1209</v>
      </c>
      <c r="B1262" s="117" t="s">
        <v>1277</v>
      </c>
      <c r="C1262" s="5"/>
      <c r="D1262" s="5" t="s">
        <v>368</v>
      </c>
      <c r="E1262" s="132">
        <f t="shared" si="860"/>
        <v>458.17720000000003</v>
      </c>
      <c r="F1262" s="139">
        <f>$O$1270-P1262*($O$1270-$O$1229)</f>
        <v>452.96283137254903</v>
      </c>
      <c r="G1262" s="149"/>
      <c r="H1262" s="82" t="str">
        <f t="shared" si="846"/>
        <v>0 percent up in Sandbian international stage</v>
      </c>
      <c r="I1262" s="142" t="str">
        <f t="shared" si="847"/>
        <v>96.1 percent up in Sandbian international stage</v>
      </c>
      <c r="J1262" s="7">
        <v>0</v>
      </c>
      <c r="K1262" s="129">
        <f t="shared" si="848"/>
        <v>0</v>
      </c>
      <c r="L1262" s="8" t="s">
        <v>161</v>
      </c>
      <c r="M1262" s="5" t="s">
        <v>82</v>
      </c>
      <c r="N1262" s="5" t="s">
        <v>82</v>
      </c>
      <c r="O1262" s="83"/>
      <c r="P1262" s="20">
        <v>0.96078431372549211</v>
      </c>
      <c r="Q1262" s="143">
        <f t="shared" si="849"/>
        <v>96.1</v>
      </c>
      <c r="R1262" s="21" t="s">
        <v>161</v>
      </c>
      <c r="S1262" s="8" t="s">
        <v>230</v>
      </c>
      <c r="T1262" s="7" t="s">
        <v>226</v>
      </c>
    </row>
    <row r="1263" spans="1:20" ht="28">
      <c r="A1263" s="116" t="s">
        <v>1209</v>
      </c>
      <c r="B1263" s="118" t="s">
        <v>1278</v>
      </c>
      <c r="C1263" s="5"/>
      <c r="D1263" s="5" t="s">
        <v>248</v>
      </c>
      <c r="E1263" s="132">
        <f t="shared" si="860"/>
        <v>458.17720000000003</v>
      </c>
      <c r="F1263" s="139">
        <f>$O$1229-P1263*($O$1229-$O$1192)</f>
        <v>448.6103921568627</v>
      </c>
      <c r="G1263" s="149"/>
      <c r="H1263" s="82" t="str">
        <f t="shared" si="846"/>
        <v>0 percent up in Sandbian international stage</v>
      </c>
      <c r="I1263" s="142" t="str">
        <f t="shared" si="847"/>
        <v>54.9 percent up in Katian international stage</v>
      </c>
      <c r="J1263" s="7">
        <v>0</v>
      </c>
      <c r="K1263" s="129">
        <f t="shared" si="848"/>
        <v>0</v>
      </c>
      <c r="L1263" s="8" t="s">
        <v>161</v>
      </c>
      <c r="M1263" s="5" t="s">
        <v>82</v>
      </c>
      <c r="N1263" s="5" t="s">
        <v>82</v>
      </c>
      <c r="O1263" s="83"/>
      <c r="P1263" s="20">
        <v>0.54901960784314008</v>
      </c>
      <c r="Q1263" s="143">
        <f t="shared" si="849"/>
        <v>54.9</v>
      </c>
      <c r="R1263" s="21" t="s">
        <v>160</v>
      </c>
      <c r="S1263" s="8" t="s">
        <v>246</v>
      </c>
      <c r="T1263" s="7" t="s">
        <v>226</v>
      </c>
    </row>
    <row r="1264" spans="1:20" ht="28">
      <c r="A1264" s="116" t="s">
        <v>1209</v>
      </c>
      <c r="B1264" s="117" t="s">
        <v>1279</v>
      </c>
      <c r="C1264" s="5"/>
      <c r="D1264" s="5" t="s">
        <v>82</v>
      </c>
      <c r="E1264" s="132">
        <f t="shared" si="860"/>
        <v>458.17720000000003</v>
      </c>
      <c r="F1264" s="139">
        <f>$O$1270-P1264*($O$1270-$O$1229)</f>
        <v>452.75</v>
      </c>
      <c r="G1264" s="149"/>
      <c r="H1264" s="82" t="str">
        <f t="shared" si="846"/>
        <v>0 percent up in Sandbian international stage</v>
      </c>
      <c r="I1264" s="142" t="str">
        <f t="shared" si="847"/>
        <v>100 percent up in Sandbian international stage</v>
      </c>
      <c r="J1264" s="7">
        <v>0</v>
      </c>
      <c r="K1264" s="129">
        <f t="shared" si="848"/>
        <v>0</v>
      </c>
      <c r="L1264" s="8" t="s">
        <v>161</v>
      </c>
      <c r="M1264" s="5" t="s">
        <v>82</v>
      </c>
      <c r="N1264" s="5" t="s">
        <v>82</v>
      </c>
      <c r="O1264" s="83"/>
      <c r="P1264" s="20">
        <v>1</v>
      </c>
      <c r="Q1264" s="143">
        <f t="shared" si="849"/>
        <v>100</v>
      </c>
      <c r="R1264" s="21" t="s">
        <v>161</v>
      </c>
      <c r="S1264" s="8" t="s">
        <v>232</v>
      </c>
      <c r="T1264" s="7" t="s">
        <v>226</v>
      </c>
    </row>
    <row r="1265" spans="1:20" ht="28">
      <c r="A1265" s="116" t="s">
        <v>1209</v>
      </c>
      <c r="B1265" s="119" t="s">
        <v>1280</v>
      </c>
      <c r="C1265" s="5"/>
      <c r="D1265" s="5" t="s">
        <v>82</v>
      </c>
      <c r="E1265" s="132">
        <f t="shared" si="860"/>
        <v>458.17720000000003</v>
      </c>
      <c r="F1265" s="139">
        <f>$O$1229-P1265*($O$1229-$O$1192)</f>
        <v>447.7233333333333</v>
      </c>
      <c r="G1265" s="149"/>
      <c r="H1265" s="82" t="str">
        <f t="shared" si="846"/>
        <v>0 percent up in Sandbian international stage</v>
      </c>
      <c r="I1265" s="142" t="str">
        <f t="shared" si="847"/>
        <v>66.7 percent up in Katian international stage</v>
      </c>
      <c r="J1265" s="7">
        <v>0</v>
      </c>
      <c r="K1265" s="129">
        <f t="shared" si="848"/>
        <v>0</v>
      </c>
      <c r="L1265" s="8" t="s">
        <v>161</v>
      </c>
      <c r="M1265" s="5" t="s">
        <v>82</v>
      </c>
      <c r="N1265" s="5" t="s">
        <v>82</v>
      </c>
      <c r="O1265" s="83"/>
      <c r="P1265" s="20">
        <v>0.66666666666666852</v>
      </c>
      <c r="Q1265" s="143">
        <f t="shared" si="849"/>
        <v>66.7</v>
      </c>
      <c r="R1265" s="21" t="s">
        <v>160</v>
      </c>
      <c r="S1265" s="8" t="s">
        <v>246</v>
      </c>
      <c r="T1265" s="7" t="s">
        <v>226</v>
      </c>
    </row>
    <row r="1266" spans="1:20" ht="28">
      <c r="A1266" s="116" t="s">
        <v>1209</v>
      </c>
      <c r="B1266" s="117" t="s">
        <v>1281</v>
      </c>
      <c r="C1266" s="5"/>
      <c r="D1266" s="5" t="s">
        <v>82</v>
      </c>
      <c r="E1266" s="132">
        <f t="shared" si="860"/>
        <v>458.17720000000003</v>
      </c>
      <c r="F1266" s="139">
        <f>$O$1229-P1266*($O$1229-$O$1192)</f>
        <v>447.7233333333333</v>
      </c>
      <c r="G1266" s="149"/>
      <c r="H1266" s="82" t="str">
        <f t="shared" si="846"/>
        <v>0 percent up in Sandbian international stage</v>
      </c>
      <c r="I1266" s="142" t="str">
        <f t="shared" si="847"/>
        <v>66.7 percent up in Katian international stage</v>
      </c>
      <c r="J1266" s="7">
        <v>0</v>
      </c>
      <c r="K1266" s="129">
        <f t="shared" si="848"/>
        <v>0</v>
      </c>
      <c r="L1266" s="8" t="s">
        <v>161</v>
      </c>
      <c r="M1266" s="5" t="s">
        <v>82</v>
      </c>
      <c r="N1266" s="5" t="s">
        <v>82</v>
      </c>
      <c r="O1266" s="83"/>
      <c r="P1266" s="20">
        <v>0.66666666666666852</v>
      </c>
      <c r="Q1266" s="143">
        <f t="shared" si="849"/>
        <v>66.7</v>
      </c>
      <c r="R1266" s="21" t="s">
        <v>160</v>
      </c>
      <c r="S1266" s="8" t="s">
        <v>246</v>
      </c>
      <c r="T1266" s="7" t="s">
        <v>226</v>
      </c>
    </row>
    <row r="1267" spans="1:20" ht="28">
      <c r="A1267" s="116"/>
      <c r="B1267" s="117" t="s">
        <v>1931</v>
      </c>
      <c r="C1267" s="5"/>
      <c r="D1267" s="5"/>
      <c r="E1267" s="132">
        <f t="shared" si="860"/>
        <v>455.46360000000004</v>
      </c>
      <c r="F1267" s="139">
        <f>$O$1270-P1267*($O$1270-$O$1229)</f>
        <v>452.75</v>
      </c>
      <c r="G1267" s="149"/>
      <c r="H1267" s="82" t="str">
        <f t="shared" ref="H1267:H1268" si="868">CONCATENATE(K1267," percent up in ",L1267," international stage")</f>
        <v>50 percent up in Sandbian international stage</v>
      </c>
      <c r="I1267" s="142" t="str">
        <f t="shared" ref="I1267:I1268" si="869">CONCATENATE(Q1267," percent up in ",R1267," international stage")</f>
        <v>100 percent up in Sandbian international stage</v>
      </c>
      <c r="J1267" s="7">
        <v>0.5</v>
      </c>
      <c r="K1267" s="129">
        <f t="shared" ref="K1267:K1268" si="870">ROUND(J1267*100,1)</f>
        <v>50</v>
      </c>
      <c r="L1267" s="8" t="s">
        <v>161</v>
      </c>
      <c r="M1267" s="5"/>
      <c r="O1267" s="83"/>
      <c r="P1267" s="20">
        <v>1</v>
      </c>
      <c r="Q1267" s="143">
        <f t="shared" ref="Q1267:Q1268" si="871">ROUND(P1267*100,1)</f>
        <v>100</v>
      </c>
      <c r="R1267" s="21" t="s">
        <v>161</v>
      </c>
      <c r="S1267" s="159" t="s">
        <v>1601</v>
      </c>
    </row>
    <row r="1268" spans="1:20" ht="28">
      <c r="A1268" s="116"/>
      <c r="B1268" s="117" t="s">
        <v>1932</v>
      </c>
      <c r="C1268" s="5"/>
      <c r="D1268" s="5"/>
      <c r="E1268" s="132">
        <f t="shared" si="860"/>
        <v>458.17720000000003</v>
      </c>
      <c r="F1268" s="139">
        <f>$O$1270-P1268*($O$1270-$O$1229)</f>
        <v>455.46360000000004</v>
      </c>
      <c r="G1268" s="149"/>
      <c r="H1268" s="82" t="str">
        <f t="shared" si="868"/>
        <v>0 percent up in Sandbian international stage</v>
      </c>
      <c r="I1268" s="142" t="str">
        <f t="shared" si="869"/>
        <v>50 percent up in Sandbian international stage</v>
      </c>
      <c r="J1268" s="7">
        <v>0</v>
      </c>
      <c r="K1268" s="129">
        <f t="shared" si="870"/>
        <v>0</v>
      </c>
      <c r="L1268" s="8" t="s">
        <v>161</v>
      </c>
      <c r="M1268" s="5"/>
      <c r="O1268" s="83"/>
      <c r="P1268" s="20">
        <v>0.5</v>
      </c>
      <c r="Q1268" s="143">
        <f t="shared" si="871"/>
        <v>50</v>
      </c>
      <c r="R1268" s="21" t="s">
        <v>161</v>
      </c>
      <c r="S1268" s="159" t="s">
        <v>1602</v>
      </c>
    </row>
    <row r="1269" spans="1:20" ht="28">
      <c r="A1269" s="116" t="s">
        <v>1209</v>
      </c>
      <c r="B1269" s="117" t="s">
        <v>161</v>
      </c>
      <c r="C1269" s="135"/>
      <c r="D1269" s="135" t="s">
        <v>222</v>
      </c>
      <c r="E1269" s="132">
        <f t="shared" si="860"/>
        <v>458.17720000000003</v>
      </c>
      <c r="F1269" s="139">
        <f>$O$1270-P1269*($O$1270-$O$1229)</f>
        <v>452.75</v>
      </c>
      <c r="G1269" s="149"/>
      <c r="H1269" s="82" t="str">
        <f t="shared" si="846"/>
        <v>0 percent up in Sandbian international stage</v>
      </c>
      <c r="I1269" s="142" t="str">
        <f t="shared" si="847"/>
        <v>100 percent up in Sandbian international stage</v>
      </c>
      <c r="J1269" s="7">
        <v>0</v>
      </c>
      <c r="K1269" s="129">
        <f t="shared" si="848"/>
        <v>0</v>
      </c>
      <c r="L1269" s="8" t="s">
        <v>161</v>
      </c>
      <c r="M1269" s="5" t="s">
        <v>224</v>
      </c>
      <c r="N1269" s="5" t="s">
        <v>1282</v>
      </c>
      <c r="O1269" s="84">
        <f>Master_Chronostrat!I148</f>
        <v>458.17720000000003</v>
      </c>
      <c r="P1269" s="20">
        <v>1</v>
      </c>
      <c r="Q1269" s="143">
        <f t="shared" si="849"/>
        <v>100</v>
      </c>
      <c r="R1269" s="21" t="s">
        <v>161</v>
      </c>
      <c r="S1269" s="8" t="s">
        <v>224</v>
      </c>
      <c r="T1269" s="7" t="s">
        <v>226</v>
      </c>
    </row>
    <row r="1270" spans="1:20" ht="28">
      <c r="A1270" s="116" t="s">
        <v>1209</v>
      </c>
      <c r="B1270" s="117" t="s">
        <v>1283</v>
      </c>
      <c r="C1270" s="135"/>
      <c r="D1270" s="135" t="s">
        <v>222</v>
      </c>
      <c r="E1270" s="132">
        <f t="shared" si="860"/>
        <v>458.17720000000003</v>
      </c>
      <c r="F1270" s="139">
        <f>$O$1192-P1270*($O$1192-$O$1186)</f>
        <v>443.0718</v>
      </c>
      <c r="G1270" s="149"/>
      <c r="H1270" s="82" t="str">
        <f t="shared" si="846"/>
        <v>0 percent up in Sandbian international stage</v>
      </c>
      <c r="I1270" s="142" t="str">
        <f t="shared" si="847"/>
        <v>100 percent up in Hirnantian international stage</v>
      </c>
      <c r="J1270" s="7">
        <v>0</v>
      </c>
      <c r="K1270" s="129">
        <f t="shared" si="848"/>
        <v>0</v>
      </c>
      <c r="L1270" s="8" t="s">
        <v>161</v>
      </c>
      <c r="M1270" s="5" t="s">
        <v>224</v>
      </c>
      <c r="N1270" s="5" t="s">
        <v>1284</v>
      </c>
      <c r="O1270" s="84">
        <f>Master_Chronostrat!I148</f>
        <v>458.17720000000003</v>
      </c>
      <c r="P1270" s="20">
        <v>1</v>
      </c>
      <c r="Q1270" s="143">
        <f t="shared" si="849"/>
        <v>100</v>
      </c>
      <c r="R1270" s="21" t="s">
        <v>159</v>
      </c>
      <c r="S1270" s="8" t="s">
        <v>239</v>
      </c>
      <c r="T1270" s="7" t="s">
        <v>226</v>
      </c>
    </row>
    <row r="1271" spans="1:20" ht="28">
      <c r="A1271" s="116" t="s">
        <v>1209</v>
      </c>
      <c r="B1271" s="117" t="s">
        <v>1285</v>
      </c>
      <c r="C1271" s="5"/>
      <c r="D1271" s="5" t="s">
        <v>244</v>
      </c>
      <c r="E1271" s="132">
        <f t="shared" ref="E1271:E1292" si="872">$O$1292-J1271*($O$1292-$O$1270)</f>
        <v>459.89485000000008</v>
      </c>
      <c r="F1271" s="139">
        <f>$O$1229-P1271*($O$1229-$O$1192)</f>
        <v>449.20176470588234</v>
      </c>
      <c r="G1271" s="149"/>
      <c r="H1271" s="82" t="str">
        <f t="shared" si="846"/>
        <v>84.7 percent up in Darriwilian international stage</v>
      </c>
      <c r="I1271" s="142" t="str">
        <f t="shared" si="847"/>
        <v>47.1 percent up in Katian international stage</v>
      </c>
      <c r="J1271" s="7">
        <v>0.84722222222221999</v>
      </c>
      <c r="K1271" s="129">
        <f t="shared" si="848"/>
        <v>84.7</v>
      </c>
      <c r="L1271" s="8" t="s">
        <v>162</v>
      </c>
      <c r="M1271" s="5" t="s">
        <v>82</v>
      </c>
      <c r="N1271" s="5" t="s">
        <v>82</v>
      </c>
      <c r="O1271" s="83"/>
      <c r="P1271" s="20">
        <v>0.47058823529411931</v>
      </c>
      <c r="Q1271" s="143">
        <f t="shared" si="849"/>
        <v>47.1</v>
      </c>
      <c r="R1271" s="21" t="s">
        <v>160</v>
      </c>
      <c r="S1271" s="8" t="s">
        <v>246</v>
      </c>
      <c r="T1271" s="7" t="s">
        <v>226</v>
      </c>
    </row>
    <row r="1272" spans="1:20" ht="28">
      <c r="A1272" s="116" t="s">
        <v>1209</v>
      </c>
      <c r="B1272" s="118" t="s">
        <v>1286</v>
      </c>
      <c r="C1272" s="5"/>
      <c r="D1272" s="5" t="s">
        <v>1212</v>
      </c>
      <c r="E1272" s="132">
        <f t="shared" si="872"/>
        <v>460.20715000000001</v>
      </c>
      <c r="F1272" s="139">
        <f>$O$1270-P1272*($O$1270-$O$1229)</f>
        <v>457.2577684705883</v>
      </c>
      <c r="G1272" s="149"/>
      <c r="H1272" s="82" t="str">
        <f t="shared" si="846"/>
        <v>81.9 percent up in Darriwilian international stage</v>
      </c>
      <c r="I1272" s="142" t="str">
        <f t="shared" si="847"/>
        <v>16.9 percent up in Sandbian international stage</v>
      </c>
      <c r="J1272" s="7">
        <v>0.81944444444444398</v>
      </c>
      <c r="K1272" s="129">
        <f t="shared" si="848"/>
        <v>81.900000000000006</v>
      </c>
      <c r="L1272" s="8" t="s">
        <v>162</v>
      </c>
      <c r="M1272" s="5" t="s">
        <v>82</v>
      </c>
      <c r="N1272" s="5" t="s">
        <v>82</v>
      </c>
      <c r="O1272" s="83"/>
      <c r="P1272" s="20">
        <v>0.16941176470587876</v>
      </c>
      <c r="Q1272" s="143">
        <f t="shared" si="849"/>
        <v>16.899999999999999</v>
      </c>
      <c r="R1272" s="21" t="s">
        <v>161</v>
      </c>
      <c r="S1272" s="8" t="s">
        <v>246</v>
      </c>
      <c r="T1272" s="7" t="s">
        <v>226</v>
      </c>
    </row>
    <row r="1273" spans="1:20" ht="28">
      <c r="A1273" s="116" t="s">
        <v>1209</v>
      </c>
      <c r="B1273" s="118" t="s">
        <v>1287</v>
      </c>
      <c r="C1273" s="5"/>
      <c r="D1273" s="5" t="s">
        <v>1201</v>
      </c>
      <c r="E1273" s="132">
        <f t="shared" si="872"/>
        <v>460.67560000000003</v>
      </c>
      <c r="F1273" s="139">
        <f>$O$1270-P1273*($O$1270-$O$1229)</f>
        <v>457.75153725490202</v>
      </c>
      <c r="G1273" s="149"/>
      <c r="H1273" s="82" t="str">
        <f t="shared" si="846"/>
        <v>77.8 percent up in Darriwilian international stage</v>
      </c>
      <c r="I1273" s="142" t="str">
        <f t="shared" si="847"/>
        <v>7.8 percent up in Sandbian international stage</v>
      </c>
      <c r="J1273" s="7">
        <v>0.77777777777777601</v>
      </c>
      <c r="K1273" s="129">
        <f t="shared" si="848"/>
        <v>77.8</v>
      </c>
      <c r="L1273" s="8" t="s">
        <v>162</v>
      </c>
      <c r="M1273" s="5" t="s">
        <v>82</v>
      </c>
      <c r="N1273" s="5" t="s">
        <v>82</v>
      </c>
      <c r="O1273" s="83"/>
      <c r="P1273" s="20">
        <v>7.8431372549015679E-2</v>
      </c>
      <c r="Q1273" s="143">
        <f t="shared" si="849"/>
        <v>7.8</v>
      </c>
      <c r="R1273" s="21" t="s">
        <v>161</v>
      </c>
      <c r="S1273" s="8" t="s">
        <v>246</v>
      </c>
      <c r="T1273" s="7" t="s">
        <v>226</v>
      </c>
    </row>
    <row r="1274" spans="1:20" ht="28">
      <c r="A1274" s="116" t="s">
        <v>1209</v>
      </c>
      <c r="B1274" s="117" t="s">
        <v>1288</v>
      </c>
      <c r="C1274" s="5"/>
      <c r="D1274" s="5" t="s">
        <v>1217</v>
      </c>
      <c r="E1274" s="132">
        <f t="shared" si="872"/>
        <v>460.78802800000011</v>
      </c>
      <c r="F1274" s="139">
        <f t="shared" ref="F1274:F1298" si="873">$O$1292-P1274*($O$1292-$O$1270)</f>
        <v>458.17720000000003</v>
      </c>
      <c r="G1274" s="149"/>
      <c r="H1274" s="82" t="str">
        <f t="shared" si="846"/>
        <v>76.8 percent up in Darriwilian international stage</v>
      </c>
      <c r="I1274" s="142" t="str">
        <f t="shared" si="847"/>
        <v>100 percent up in Darriwilian international stage</v>
      </c>
      <c r="J1274" s="7">
        <v>0.76777777777776779</v>
      </c>
      <c r="K1274" s="129">
        <f t="shared" si="848"/>
        <v>76.8</v>
      </c>
      <c r="L1274" s="8" t="s">
        <v>162</v>
      </c>
      <c r="M1274" s="5" t="s">
        <v>82</v>
      </c>
      <c r="N1274" s="5" t="s">
        <v>82</v>
      </c>
      <c r="O1274" s="83"/>
      <c r="P1274" s="20">
        <v>1</v>
      </c>
      <c r="Q1274" s="143">
        <f t="shared" si="849"/>
        <v>100</v>
      </c>
      <c r="R1274" s="21" t="s">
        <v>162</v>
      </c>
      <c r="S1274" s="8" t="s">
        <v>272</v>
      </c>
      <c r="T1274" s="7" t="s">
        <v>226</v>
      </c>
    </row>
    <row r="1275" spans="1:20" ht="28">
      <c r="A1275" s="116" t="s">
        <v>1209</v>
      </c>
      <c r="B1275" s="117" t="s">
        <v>1289</v>
      </c>
      <c r="C1275" s="5"/>
      <c r="D1275" s="5" t="s">
        <v>1217</v>
      </c>
      <c r="E1275" s="132">
        <f t="shared" si="872"/>
        <v>460.78802800000011</v>
      </c>
      <c r="F1275" s="139">
        <f t="shared" si="873"/>
        <v>458.17720000000003</v>
      </c>
      <c r="G1275" s="149"/>
      <c r="H1275" s="82" t="str">
        <f t="shared" si="846"/>
        <v>76.8 percent up in Darriwilian international stage</v>
      </c>
      <c r="I1275" s="142" t="str">
        <f t="shared" si="847"/>
        <v>100 percent up in Darriwilian international stage</v>
      </c>
      <c r="J1275" s="7">
        <v>0.76777777777776779</v>
      </c>
      <c r="K1275" s="129">
        <f t="shared" si="848"/>
        <v>76.8</v>
      </c>
      <c r="L1275" s="8" t="s">
        <v>162</v>
      </c>
      <c r="M1275" s="5" t="s">
        <v>82</v>
      </c>
      <c r="N1275" s="5" t="s">
        <v>82</v>
      </c>
      <c r="O1275" s="83"/>
      <c r="P1275" s="20">
        <v>1</v>
      </c>
      <c r="Q1275" s="143">
        <f t="shared" si="849"/>
        <v>100</v>
      </c>
      <c r="R1275" s="21" t="s">
        <v>162</v>
      </c>
      <c r="S1275" s="8" t="s">
        <v>272</v>
      </c>
      <c r="T1275" s="7" t="s">
        <v>226</v>
      </c>
    </row>
    <row r="1276" spans="1:20" ht="28">
      <c r="A1276" s="116" t="s">
        <v>1209</v>
      </c>
      <c r="B1276" s="118" t="s">
        <v>1290</v>
      </c>
      <c r="C1276" s="5"/>
      <c r="D1276" s="5" t="s">
        <v>1201</v>
      </c>
      <c r="E1276" s="132">
        <f t="shared" si="872"/>
        <v>461.76865000000004</v>
      </c>
      <c r="F1276" s="139">
        <f t="shared" si="873"/>
        <v>460.67560000000003</v>
      </c>
      <c r="G1276" s="149"/>
      <c r="H1276" s="82" t="str">
        <f t="shared" si="846"/>
        <v>68.1 percent up in Darriwilian international stage</v>
      </c>
      <c r="I1276" s="142" t="str">
        <f t="shared" si="847"/>
        <v>77.8 percent up in Darriwilian international stage</v>
      </c>
      <c r="J1276" s="7">
        <v>0.68055555555555602</v>
      </c>
      <c r="K1276" s="129">
        <f t="shared" si="848"/>
        <v>68.099999999999994</v>
      </c>
      <c r="L1276" s="8" t="s">
        <v>162</v>
      </c>
      <c r="M1276" s="5" t="s">
        <v>82</v>
      </c>
      <c r="N1276" s="5" t="s">
        <v>82</v>
      </c>
      <c r="O1276" s="83"/>
      <c r="P1276" s="20">
        <v>0.77777777777777601</v>
      </c>
      <c r="Q1276" s="143">
        <f t="shared" si="849"/>
        <v>77.8</v>
      </c>
      <c r="R1276" s="21" t="s">
        <v>162</v>
      </c>
      <c r="S1276" s="8" t="s">
        <v>259</v>
      </c>
      <c r="T1276" s="7">
        <v>9.7222222222218588E-2</v>
      </c>
    </row>
    <row r="1277" spans="1:20" ht="28">
      <c r="A1277" s="116" t="s">
        <v>1209</v>
      </c>
      <c r="B1277" s="118" t="s">
        <v>1291</v>
      </c>
      <c r="C1277" s="5"/>
      <c r="D1277" s="5" t="s">
        <v>1201</v>
      </c>
      <c r="E1277" s="132">
        <f t="shared" si="872"/>
        <v>462.54939999999999</v>
      </c>
      <c r="F1277" s="139">
        <f t="shared" si="873"/>
        <v>461.76865000000004</v>
      </c>
      <c r="G1277" s="149"/>
      <c r="H1277" s="82" t="str">
        <f t="shared" si="846"/>
        <v>61.1 percent up in Darriwilian international stage</v>
      </c>
      <c r="I1277" s="142" t="str">
        <f t="shared" si="847"/>
        <v>68.1 percent up in Darriwilian international stage</v>
      </c>
      <c r="J1277" s="7">
        <v>0.61111111111111205</v>
      </c>
      <c r="K1277" s="129">
        <f t="shared" si="848"/>
        <v>61.1</v>
      </c>
      <c r="L1277" s="8" t="s">
        <v>162</v>
      </c>
      <c r="M1277" s="5" t="s">
        <v>82</v>
      </c>
      <c r="N1277" s="5" t="s">
        <v>82</v>
      </c>
      <c r="O1277" s="83"/>
      <c r="P1277" s="20">
        <v>0.68055555555555602</v>
      </c>
      <c r="Q1277" s="143">
        <f t="shared" si="849"/>
        <v>68.099999999999994</v>
      </c>
      <c r="R1277" s="21" t="s">
        <v>162</v>
      </c>
      <c r="S1277" s="8" t="s">
        <v>259</v>
      </c>
      <c r="T1277" s="7">
        <v>6.9444444444442754E-2</v>
      </c>
    </row>
    <row r="1278" spans="1:20" ht="28">
      <c r="A1278" s="116" t="s">
        <v>1209</v>
      </c>
      <c r="B1278" s="117" t="s">
        <v>1292</v>
      </c>
      <c r="C1278" s="5"/>
      <c r="D1278" s="5" t="s">
        <v>1217</v>
      </c>
      <c r="E1278" s="132">
        <f t="shared" si="872"/>
        <v>462.84296200000006</v>
      </c>
      <c r="F1278" s="139">
        <f t="shared" si="873"/>
        <v>460.78802800000011</v>
      </c>
      <c r="G1278" s="149"/>
      <c r="H1278" s="82" t="str">
        <f t="shared" si="846"/>
        <v>58.5 percent up in Darriwilian international stage</v>
      </c>
      <c r="I1278" s="142" t="str">
        <f t="shared" si="847"/>
        <v>76.8 percent up in Darriwilian international stage</v>
      </c>
      <c r="J1278" s="7">
        <v>0.58499999999999486</v>
      </c>
      <c r="K1278" s="129">
        <f t="shared" si="848"/>
        <v>58.5</v>
      </c>
      <c r="L1278" s="8" t="s">
        <v>162</v>
      </c>
      <c r="M1278" s="5" t="s">
        <v>82</v>
      </c>
      <c r="N1278" s="5" t="s">
        <v>82</v>
      </c>
      <c r="O1278" s="83"/>
      <c r="P1278" s="20">
        <v>0.76777777777776779</v>
      </c>
      <c r="Q1278" s="143">
        <f t="shared" si="849"/>
        <v>76.8</v>
      </c>
      <c r="R1278" s="21" t="s">
        <v>162</v>
      </c>
      <c r="S1278" s="8" t="s">
        <v>259</v>
      </c>
      <c r="T1278" s="7">
        <v>0.18277777777777604</v>
      </c>
    </row>
    <row r="1279" spans="1:20" ht="28">
      <c r="A1279" s="116" t="s">
        <v>1209</v>
      </c>
      <c r="B1279" s="117" t="s">
        <v>1293</v>
      </c>
      <c r="C1279" s="5"/>
      <c r="D1279" s="5" t="s">
        <v>82</v>
      </c>
      <c r="E1279" s="132">
        <f t="shared" si="872"/>
        <v>463.01785000000001</v>
      </c>
      <c r="F1279" s="139">
        <f t="shared" si="873"/>
        <v>458.17720000000003</v>
      </c>
      <c r="G1279" s="149"/>
      <c r="H1279" s="82" t="str">
        <f t="shared" si="846"/>
        <v>56.9 percent up in Darriwilian international stage</v>
      </c>
      <c r="I1279" s="142" t="str">
        <f t="shared" si="847"/>
        <v>100 percent up in Darriwilian international stage</v>
      </c>
      <c r="J1279" s="7">
        <v>0.56944444444444398</v>
      </c>
      <c r="K1279" s="129">
        <f t="shared" si="848"/>
        <v>56.9</v>
      </c>
      <c r="L1279" s="8" t="s">
        <v>162</v>
      </c>
      <c r="M1279" s="5" t="s">
        <v>82</v>
      </c>
      <c r="N1279" s="5" t="s">
        <v>82</v>
      </c>
      <c r="O1279" s="83"/>
      <c r="P1279" s="20">
        <v>1</v>
      </c>
      <c r="Q1279" s="143">
        <f t="shared" si="849"/>
        <v>100</v>
      </c>
      <c r="R1279" s="21" t="s">
        <v>162</v>
      </c>
      <c r="S1279" s="8" t="s">
        <v>272</v>
      </c>
      <c r="T1279" s="7" t="s">
        <v>226</v>
      </c>
    </row>
    <row r="1280" spans="1:20" ht="28">
      <c r="A1280" s="116" t="s">
        <v>1209</v>
      </c>
      <c r="B1280" s="117" t="s">
        <v>1294</v>
      </c>
      <c r="C1280" s="5"/>
      <c r="D1280" s="5" t="s">
        <v>264</v>
      </c>
      <c r="E1280" s="132">
        <f t="shared" si="872"/>
        <v>463.01785000000001</v>
      </c>
      <c r="F1280" s="139">
        <f t="shared" si="873"/>
        <v>458.17720000000003</v>
      </c>
      <c r="G1280" s="149"/>
      <c r="H1280" s="82" t="str">
        <f t="shared" si="846"/>
        <v>56.9 percent up in Darriwilian international stage</v>
      </c>
      <c r="I1280" s="142" t="str">
        <f t="shared" si="847"/>
        <v>100 percent up in Darriwilian international stage</v>
      </c>
      <c r="J1280" s="7">
        <v>0.56944444444444398</v>
      </c>
      <c r="K1280" s="129">
        <f t="shared" si="848"/>
        <v>56.9</v>
      </c>
      <c r="L1280" s="8" t="s">
        <v>162</v>
      </c>
      <c r="M1280" s="5" t="s">
        <v>82</v>
      </c>
      <c r="N1280" s="5" t="s">
        <v>82</v>
      </c>
      <c r="O1280" s="83"/>
      <c r="P1280" s="20">
        <v>1</v>
      </c>
      <c r="Q1280" s="143">
        <f t="shared" si="849"/>
        <v>100</v>
      </c>
      <c r="R1280" s="21" t="s">
        <v>162</v>
      </c>
      <c r="S1280" s="8" t="s">
        <v>272</v>
      </c>
      <c r="T1280" s="7" t="s">
        <v>226</v>
      </c>
    </row>
    <row r="1281" spans="1:20" ht="28">
      <c r="A1281" s="116"/>
      <c r="B1281" s="117" t="s">
        <v>1774</v>
      </c>
      <c r="C1281" s="5"/>
      <c r="D1281" s="5"/>
      <c r="E1281" s="132">
        <f t="shared" ref="E1281:E1282" si="874">$O$1292-J1281*($O$1292-$O$1270)</f>
        <v>460.53818800000005</v>
      </c>
      <c r="F1281" s="139">
        <f t="shared" ref="F1281:F1282" si="875">$O$1292-P1281*($O$1292-$O$1270)</f>
        <v>458.17720000000003</v>
      </c>
      <c r="G1281" s="149" t="s">
        <v>1601</v>
      </c>
      <c r="H1281" s="82" t="str">
        <f t="shared" ref="H1281:H1282" si="876">CONCATENATE(K1281," percent up in ",L1281," international stage")</f>
        <v>79 percent up in Darriwilian international stage</v>
      </c>
      <c r="I1281" s="142" t="str">
        <f t="shared" ref="I1281:I1282" si="877">CONCATENATE(Q1281," percent up in ",R1281," international stage")</f>
        <v>100 percent up in Darriwilian international stage</v>
      </c>
      <c r="J1281" s="7">
        <v>0.79</v>
      </c>
      <c r="K1281" s="129">
        <f t="shared" ref="K1281:K1282" si="878">ROUND(J1281*100,1)</f>
        <v>79</v>
      </c>
      <c r="L1281" s="8" t="s">
        <v>162</v>
      </c>
      <c r="M1281" s="5" t="s">
        <v>82</v>
      </c>
      <c r="N1281" s="5" t="s">
        <v>82</v>
      </c>
      <c r="O1281" s="83"/>
      <c r="P1281" s="20">
        <v>1</v>
      </c>
      <c r="Q1281" s="143">
        <f t="shared" ref="Q1281:Q1282" si="879">ROUND(P1281*100,1)</f>
        <v>100</v>
      </c>
      <c r="R1281" s="21" t="s">
        <v>162</v>
      </c>
      <c r="S1281" s="151" t="s">
        <v>1601</v>
      </c>
    </row>
    <row r="1282" spans="1:20" ht="28">
      <c r="A1282" s="116"/>
      <c r="B1282" s="117" t="s">
        <v>1775</v>
      </c>
      <c r="C1282" s="5"/>
      <c r="D1282" s="5"/>
      <c r="E1282" s="132">
        <f t="shared" si="874"/>
        <v>463.01785000000001</v>
      </c>
      <c r="F1282" s="139">
        <f t="shared" si="875"/>
        <v>460.53818800000005</v>
      </c>
      <c r="G1282" s="149" t="s">
        <v>1602</v>
      </c>
      <c r="H1282" s="82" t="str">
        <f t="shared" si="876"/>
        <v>56.9 percent up in Darriwilian international stage</v>
      </c>
      <c r="I1282" s="142" t="str">
        <f t="shared" si="877"/>
        <v>79 percent up in Darriwilian international stage</v>
      </c>
      <c r="J1282" s="7">
        <v>0.56944444444444398</v>
      </c>
      <c r="K1282" s="129">
        <f t="shared" si="878"/>
        <v>56.9</v>
      </c>
      <c r="L1282" s="8" t="s">
        <v>162</v>
      </c>
      <c r="M1282" s="5" t="s">
        <v>82</v>
      </c>
      <c r="N1282" s="5" t="s">
        <v>82</v>
      </c>
      <c r="O1282" s="83"/>
      <c r="P1282" s="20">
        <v>0.79</v>
      </c>
      <c r="Q1282" s="143">
        <f t="shared" si="879"/>
        <v>79</v>
      </c>
      <c r="R1282" s="21" t="s">
        <v>162</v>
      </c>
      <c r="S1282" s="151" t="s">
        <v>1602</v>
      </c>
    </row>
    <row r="1283" spans="1:20" ht="28">
      <c r="A1283" s="116" t="s">
        <v>1209</v>
      </c>
      <c r="B1283" s="117" t="s">
        <v>1295</v>
      </c>
      <c r="C1283" s="5"/>
      <c r="D1283" s="5" t="s">
        <v>82</v>
      </c>
      <c r="E1283" s="132">
        <f t="shared" si="872"/>
        <v>463.01785000000001</v>
      </c>
      <c r="F1283" s="139">
        <f t="shared" si="873"/>
        <v>458.17720000000003</v>
      </c>
      <c r="G1283" s="149"/>
      <c r="H1283" s="82" t="str">
        <f t="shared" si="846"/>
        <v>56.9 percent up in Darriwilian international stage</v>
      </c>
      <c r="I1283" s="142" t="str">
        <f t="shared" si="847"/>
        <v>100 percent up in Darriwilian international stage</v>
      </c>
      <c r="J1283" s="7">
        <v>0.56944444444444398</v>
      </c>
      <c r="K1283" s="129">
        <f t="shared" si="848"/>
        <v>56.9</v>
      </c>
      <c r="L1283" s="8" t="s">
        <v>162</v>
      </c>
      <c r="M1283" s="5" t="s">
        <v>82</v>
      </c>
      <c r="N1283" s="5" t="s">
        <v>82</v>
      </c>
      <c r="O1283" s="83"/>
      <c r="P1283" s="20">
        <v>1</v>
      </c>
      <c r="Q1283" s="143">
        <f t="shared" si="849"/>
        <v>100</v>
      </c>
      <c r="R1283" s="21" t="s">
        <v>162</v>
      </c>
      <c r="S1283" s="8" t="s">
        <v>272</v>
      </c>
      <c r="T1283" s="7" t="s">
        <v>226</v>
      </c>
    </row>
    <row r="1284" spans="1:20" ht="28">
      <c r="A1284" s="116" t="s">
        <v>1209</v>
      </c>
      <c r="B1284" s="117" t="s">
        <v>1296</v>
      </c>
      <c r="C1284" s="5"/>
      <c r="D1284" s="5" t="s">
        <v>248</v>
      </c>
      <c r="E1284" s="132">
        <f t="shared" si="872"/>
        <v>463.01785000000001</v>
      </c>
      <c r="F1284" s="139">
        <f t="shared" si="873"/>
        <v>458.17720000000003</v>
      </c>
      <c r="G1284" s="149"/>
      <c r="H1284" s="82" t="str">
        <f t="shared" si="846"/>
        <v>56.9 percent up in Darriwilian international stage</v>
      </c>
      <c r="I1284" s="142" t="str">
        <f t="shared" si="847"/>
        <v>100 percent up in Darriwilian international stage</v>
      </c>
      <c r="J1284" s="7">
        <v>0.56944444444444398</v>
      </c>
      <c r="K1284" s="129">
        <f t="shared" si="848"/>
        <v>56.9</v>
      </c>
      <c r="L1284" s="8" t="s">
        <v>162</v>
      </c>
      <c r="M1284" s="5" t="s">
        <v>82</v>
      </c>
      <c r="N1284" s="5" t="s">
        <v>82</v>
      </c>
      <c r="O1284" s="83"/>
      <c r="P1284" s="20">
        <v>1</v>
      </c>
      <c r="Q1284" s="143">
        <f t="shared" si="849"/>
        <v>100</v>
      </c>
      <c r="R1284" s="21" t="s">
        <v>162</v>
      </c>
      <c r="S1284" s="8" t="s">
        <v>272</v>
      </c>
      <c r="T1284" s="7" t="s">
        <v>226</v>
      </c>
    </row>
    <row r="1285" spans="1:20" ht="28">
      <c r="A1285" s="116" t="s">
        <v>1209</v>
      </c>
      <c r="B1285" s="117" t="s">
        <v>1297</v>
      </c>
      <c r="C1285" s="5"/>
      <c r="D1285" s="5" t="s">
        <v>1217</v>
      </c>
      <c r="E1285" s="132">
        <f t="shared" si="872"/>
        <v>465.35073100000005</v>
      </c>
      <c r="F1285" s="139">
        <f t="shared" si="873"/>
        <v>462.84296200000006</v>
      </c>
      <c r="G1285" s="149"/>
      <c r="H1285" s="82" t="str">
        <f t="shared" si="846"/>
        <v>36.2 percent up in Darriwilian international stage</v>
      </c>
      <c r="I1285" s="142" t="str">
        <f t="shared" si="847"/>
        <v>58.5 percent up in Darriwilian international stage</v>
      </c>
      <c r="J1285" s="7">
        <v>0.3619444444444414</v>
      </c>
      <c r="K1285" s="129">
        <f t="shared" si="848"/>
        <v>36.200000000000003</v>
      </c>
      <c r="L1285" s="8" t="s">
        <v>162</v>
      </c>
      <c r="M1285" s="5" t="s">
        <v>82</v>
      </c>
      <c r="N1285" s="5" t="s">
        <v>82</v>
      </c>
      <c r="O1285" s="83"/>
      <c r="P1285" s="20">
        <v>0.58499999999999475</v>
      </c>
      <c r="Q1285" s="143">
        <f t="shared" si="849"/>
        <v>58.5</v>
      </c>
      <c r="R1285" s="21" t="s">
        <v>162</v>
      </c>
      <c r="S1285" s="8" t="s">
        <v>259</v>
      </c>
      <c r="T1285" s="7">
        <v>0.22305555555555004</v>
      </c>
    </row>
    <row r="1286" spans="1:20" ht="28">
      <c r="A1286" s="116" t="s">
        <v>1209</v>
      </c>
      <c r="B1286" s="118" t="s">
        <v>1298</v>
      </c>
      <c r="C1286" s="5"/>
      <c r="D1286" s="5" t="s">
        <v>1212</v>
      </c>
      <c r="E1286" s="132">
        <f t="shared" si="872"/>
        <v>466.10493549999995</v>
      </c>
      <c r="F1286" s="139">
        <f t="shared" si="873"/>
        <v>460.20715000000001</v>
      </c>
      <c r="G1286" s="149"/>
      <c r="H1286" s="82" t="str">
        <f t="shared" si="846"/>
        <v>29.5 percent up in Darriwilian international stage</v>
      </c>
      <c r="I1286" s="142" t="str">
        <f t="shared" si="847"/>
        <v>81.9 percent up in Darriwilian international stage</v>
      </c>
      <c r="J1286" s="7">
        <v>0.29486111111111579</v>
      </c>
      <c r="K1286" s="129">
        <f t="shared" si="848"/>
        <v>29.5</v>
      </c>
      <c r="L1286" s="8" t="s">
        <v>162</v>
      </c>
      <c r="M1286" s="5" t="s">
        <v>82</v>
      </c>
      <c r="N1286" s="5" t="s">
        <v>82</v>
      </c>
      <c r="O1286" s="83"/>
      <c r="P1286" s="20">
        <v>0.81944444444444398</v>
      </c>
      <c r="Q1286" s="143">
        <f t="shared" si="849"/>
        <v>81.900000000000006</v>
      </c>
      <c r="R1286" s="21" t="s">
        <v>162</v>
      </c>
      <c r="S1286" s="8" t="s">
        <v>259</v>
      </c>
      <c r="T1286" s="7">
        <v>0.52458333333332463</v>
      </c>
    </row>
    <row r="1287" spans="1:20" ht="28">
      <c r="A1287" s="116" t="s">
        <v>1209</v>
      </c>
      <c r="B1287" s="117" t="s">
        <v>1299</v>
      </c>
      <c r="C1287" s="5"/>
      <c r="D1287" s="5" t="s">
        <v>1217</v>
      </c>
      <c r="E1287" s="132">
        <f t="shared" si="872"/>
        <v>467.85850000000005</v>
      </c>
      <c r="F1287" s="139">
        <f t="shared" si="873"/>
        <v>465.35073100000005</v>
      </c>
      <c r="G1287" s="149"/>
      <c r="H1287" s="82" t="str">
        <f t="shared" si="846"/>
        <v>13.9 percent up in Darriwilian international stage</v>
      </c>
      <c r="I1287" s="142" t="str">
        <f t="shared" si="847"/>
        <v>36.2 percent up in Darriwilian international stage</v>
      </c>
      <c r="J1287" s="7">
        <v>0.13888888888888806</v>
      </c>
      <c r="K1287" s="129">
        <f t="shared" si="848"/>
        <v>13.9</v>
      </c>
      <c r="L1287" s="8" t="s">
        <v>162</v>
      </c>
      <c r="M1287" s="5" t="s">
        <v>82</v>
      </c>
      <c r="N1287" s="5" t="s">
        <v>82</v>
      </c>
      <c r="O1287" s="83"/>
      <c r="P1287" s="20">
        <v>0.3619444444444414</v>
      </c>
      <c r="Q1287" s="143">
        <f t="shared" si="849"/>
        <v>36.200000000000003</v>
      </c>
      <c r="R1287" s="21" t="s">
        <v>162</v>
      </c>
      <c r="S1287" s="8" t="s">
        <v>259</v>
      </c>
      <c r="T1287" s="7">
        <v>0.22305555555555642</v>
      </c>
    </row>
    <row r="1288" spans="1:20" ht="28">
      <c r="A1288" s="116" t="s">
        <v>1209</v>
      </c>
      <c r="B1288" s="118" t="s">
        <v>1300</v>
      </c>
      <c r="C1288" s="5"/>
      <c r="D1288" s="5" t="s">
        <v>1201</v>
      </c>
      <c r="E1288" s="132">
        <f t="shared" si="872"/>
        <v>468.01464999999996</v>
      </c>
      <c r="F1288" s="139">
        <f t="shared" si="873"/>
        <v>462.54939999999999</v>
      </c>
      <c r="G1288" s="149"/>
      <c r="H1288" s="82" t="str">
        <f t="shared" ref="H1288:H1376" si="880">CONCATENATE(K1288," percent up in ",L1288," international stage")</f>
        <v>12.5 percent up in Darriwilian international stage</v>
      </c>
      <c r="I1288" s="142" t="str">
        <f t="shared" ref="I1288:I1376" si="881">CONCATENATE(Q1288," percent up in ",R1288," international stage")</f>
        <v>61.1 percent up in Darriwilian international stage</v>
      </c>
      <c r="J1288" s="7">
        <v>0.125000000000004</v>
      </c>
      <c r="K1288" s="129">
        <f t="shared" ref="K1288:K1376" si="882">ROUND(J1288*100,1)</f>
        <v>12.5</v>
      </c>
      <c r="L1288" s="8" t="s">
        <v>162</v>
      </c>
      <c r="M1288" s="5" t="s">
        <v>82</v>
      </c>
      <c r="N1288" s="5" t="s">
        <v>82</v>
      </c>
      <c r="O1288" s="83"/>
      <c r="P1288" s="20">
        <v>0.61111111111111194</v>
      </c>
      <c r="Q1288" s="143">
        <f t="shared" ref="Q1288:Q1376" si="883">ROUND(P1288*100,1)</f>
        <v>61.1</v>
      </c>
      <c r="R1288" s="21" t="s">
        <v>162</v>
      </c>
      <c r="S1288" s="8" t="s">
        <v>259</v>
      </c>
      <c r="T1288" s="7">
        <v>0.4861111111111121</v>
      </c>
    </row>
    <row r="1289" spans="1:20" ht="28">
      <c r="A1289" s="116"/>
      <c r="B1289" s="117" t="s">
        <v>1933</v>
      </c>
      <c r="C1289" s="5"/>
      <c r="D1289" s="5"/>
      <c r="E1289" s="132">
        <f t="shared" ref="E1289:E1291" si="884">$O$1292-J1289*($O$1292-$O$1270)</f>
        <v>463.79860000000002</v>
      </c>
      <c r="F1289" s="139">
        <f t="shared" ref="F1289:F1291" si="885">$O$1292-P1289*($O$1292-$O$1270)</f>
        <v>458.17720000000003</v>
      </c>
      <c r="G1289" s="149"/>
      <c r="H1289" s="82" t="str">
        <f t="shared" ref="H1289:H1291" si="886">CONCATENATE(K1289," percent up in ",L1289," international stage")</f>
        <v>50 percent up in Darriwilian international stage</v>
      </c>
      <c r="I1289" s="142" t="str">
        <f t="shared" ref="I1289:I1291" si="887">CONCATENATE(Q1289," percent up in ",R1289," international stage")</f>
        <v>100 percent up in Darriwilian international stage</v>
      </c>
      <c r="J1289" s="7">
        <v>0.5</v>
      </c>
      <c r="K1289" s="129">
        <f t="shared" ref="K1289:K1291" si="888">ROUND(J1289*100,1)</f>
        <v>50</v>
      </c>
      <c r="L1289" s="8" t="s">
        <v>162</v>
      </c>
      <c r="M1289" s="5"/>
      <c r="O1289" s="83"/>
      <c r="P1289" s="20">
        <v>1</v>
      </c>
      <c r="Q1289" s="143">
        <f t="shared" ref="Q1289:Q1291" si="889">ROUND(P1289*100,1)</f>
        <v>100</v>
      </c>
      <c r="R1289" s="21" t="s">
        <v>162</v>
      </c>
      <c r="S1289" s="159" t="s">
        <v>1601</v>
      </c>
    </row>
    <row r="1290" spans="1:20" ht="65">
      <c r="A1290" s="116"/>
      <c r="B1290" s="161" t="s">
        <v>1973</v>
      </c>
      <c r="C1290" s="162"/>
      <c r="D1290" s="162"/>
      <c r="E1290" s="163">
        <f t="shared" ref="E1290" si="890">$O$1292-J1290*($O$1292-$O$1270)</f>
        <v>465.48502000000002</v>
      </c>
      <c r="F1290" s="164">
        <f t="shared" ref="F1290" si="891">$O$1292-P1290*($O$1292-$O$1270)</f>
        <v>462.11218000000002</v>
      </c>
      <c r="G1290" s="165" t="s">
        <v>1974</v>
      </c>
      <c r="H1290" s="166" t="str">
        <f t="shared" ref="H1290" si="892">CONCATENATE(K1290," percent up in ",L1290," international stage")</f>
        <v>35 percent up in Darriwilian international stage</v>
      </c>
      <c r="I1290" s="167" t="str">
        <f t="shared" ref="I1290" si="893">CONCATENATE(Q1290," percent up in ",R1290," international stage")</f>
        <v>65 percent up in Darriwilian international stage</v>
      </c>
      <c r="J1290" s="168">
        <v>0.35</v>
      </c>
      <c r="K1290" s="169">
        <f t="shared" ref="K1290" si="894">ROUND(J1290*100,1)</f>
        <v>35</v>
      </c>
      <c r="L1290" s="166" t="s">
        <v>162</v>
      </c>
      <c r="M1290" s="162"/>
      <c r="N1290" s="162"/>
      <c r="O1290" s="170"/>
      <c r="P1290" s="171">
        <v>0.65</v>
      </c>
      <c r="Q1290" s="172">
        <f t="shared" ref="Q1290" si="895">ROUND(P1290*100,1)</f>
        <v>65</v>
      </c>
      <c r="R1290" s="173" t="s">
        <v>162</v>
      </c>
      <c r="S1290" s="159" t="s">
        <v>1975</v>
      </c>
    </row>
    <row r="1291" spans="1:20" ht="28">
      <c r="A1291" s="116"/>
      <c r="B1291" s="117" t="s">
        <v>1934</v>
      </c>
      <c r="C1291" s="5"/>
      <c r="D1291" s="5"/>
      <c r="E1291" s="132">
        <f t="shared" si="884"/>
        <v>469.42</v>
      </c>
      <c r="F1291" s="139">
        <f t="shared" si="885"/>
        <v>463.79860000000002</v>
      </c>
      <c r="G1291" s="149"/>
      <c r="H1291" s="82" t="str">
        <f t="shared" si="886"/>
        <v>0 percent up in Darriwilian international stage</v>
      </c>
      <c r="I1291" s="142" t="str">
        <f t="shared" si="887"/>
        <v>50 percent up in Darriwilian international stage</v>
      </c>
      <c r="J1291" s="7">
        <v>0</v>
      </c>
      <c r="K1291" s="129">
        <f t="shared" si="888"/>
        <v>0</v>
      </c>
      <c r="L1291" s="8" t="s">
        <v>162</v>
      </c>
      <c r="M1291" s="5"/>
      <c r="O1291" s="83"/>
      <c r="P1291" s="20">
        <v>0.5</v>
      </c>
      <c r="Q1291" s="143">
        <f t="shared" si="889"/>
        <v>50</v>
      </c>
      <c r="R1291" s="21" t="s">
        <v>162</v>
      </c>
      <c r="S1291" s="159" t="s">
        <v>1602</v>
      </c>
    </row>
    <row r="1292" spans="1:20" ht="28">
      <c r="A1292" s="116" t="s">
        <v>1209</v>
      </c>
      <c r="B1292" s="117" t="s">
        <v>162</v>
      </c>
      <c r="C1292" s="135"/>
      <c r="D1292" s="135" t="s">
        <v>222</v>
      </c>
      <c r="E1292" s="132">
        <f t="shared" si="872"/>
        <v>469.42</v>
      </c>
      <c r="F1292" s="139">
        <f t="shared" si="873"/>
        <v>458.17720000000003</v>
      </c>
      <c r="G1292" s="149"/>
      <c r="H1292" s="82" t="str">
        <f t="shared" si="880"/>
        <v>0 percent up in Darriwilian international stage</v>
      </c>
      <c r="I1292" s="142" t="str">
        <f t="shared" si="881"/>
        <v>100 percent up in Darriwilian international stage</v>
      </c>
      <c r="J1292" s="7">
        <v>0</v>
      </c>
      <c r="K1292" s="129">
        <f t="shared" si="882"/>
        <v>0</v>
      </c>
      <c r="L1292" s="8" t="s">
        <v>162</v>
      </c>
      <c r="M1292" s="5" t="s">
        <v>224</v>
      </c>
      <c r="N1292" s="5" t="s">
        <v>1301</v>
      </c>
      <c r="O1292" s="84">
        <f>Master_Chronostrat!I149</f>
        <v>469.42</v>
      </c>
      <c r="P1292" s="20">
        <v>1</v>
      </c>
      <c r="Q1292" s="143">
        <f t="shared" si="883"/>
        <v>100</v>
      </c>
      <c r="R1292" s="21" t="s">
        <v>162</v>
      </c>
      <c r="S1292" s="8" t="s">
        <v>224</v>
      </c>
      <c r="T1292" s="7" t="s">
        <v>226</v>
      </c>
    </row>
    <row r="1293" spans="1:20" ht="28">
      <c r="A1293" s="116" t="s">
        <v>1209</v>
      </c>
      <c r="B1293" s="118" t="s">
        <v>1302</v>
      </c>
      <c r="C1293" s="5"/>
      <c r="D1293" s="5" t="s">
        <v>368</v>
      </c>
      <c r="E1293" s="132">
        <f t="shared" ref="E1293:E1318" si="896">$O$1318-J1293*($O$1318-$O$1292)</f>
        <v>469.86837027027025</v>
      </c>
      <c r="F1293" s="139">
        <f>$O$1317-P1293*($O$1317-$O$1292)</f>
        <v>469.42</v>
      </c>
      <c r="G1293" s="149"/>
      <c r="H1293" s="82" t="str">
        <f t="shared" si="880"/>
        <v>75.7 percent up in Dapingian international stage</v>
      </c>
      <c r="I1293" s="142" t="str">
        <f t="shared" si="881"/>
        <v>100 percent up in Dapingian international stage</v>
      </c>
      <c r="J1293" s="7">
        <v>0.75675675675676213</v>
      </c>
      <c r="K1293" s="129">
        <f t="shared" si="882"/>
        <v>75.7</v>
      </c>
      <c r="L1293" s="8" t="s">
        <v>163</v>
      </c>
      <c r="M1293" s="5" t="s">
        <v>82</v>
      </c>
      <c r="N1293" s="5" t="s">
        <v>82</v>
      </c>
      <c r="O1293" s="83"/>
      <c r="P1293" s="20">
        <v>1</v>
      </c>
      <c r="Q1293" s="143">
        <f t="shared" si="883"/>
        <v>100</v>
      </c>
      <c r="R1293" s="21" t="s">
        <v>163</v>
      </c>
      <c r="S1293" s="8" t="s">
        <v>272</v>
      </c>
      <c r="T1293" s="7" t="s">
        <v>226</v>
      </c>
    </row>
    <row r="1294" spans="1:20" ht="28">
      <c r="A1294" s="116" t="s">
        <v>1209</v>
      </c>
      <c r="B1294" s="117" t="s">
        <v>1303</v>
      </c>
      <c r="C1294" s="5"/>
      <c r="D1294" s="5" t="s">
        <v>368</v>
      </c>
      <c r="E1294" s="132">
        <f t="shared" si="896"/>
        <v>470.36655945945949</v>
      </c>
      <c r="F1294" s="139">
        <f>$O$1317-P1294*($O$1317-$O$1292)</f>
        <v>469.42</v>
      </c>
      <c r="G1294" s="149"/>
      <c r="H1294" s="82" t="str">
        <f t="shared" si="880"/>
        <v>48.6 percent up in Dapingian international stage</v>
      </c>
      <c r="I1294" s="142" t="str">
        <f t="shared" si="881"/>
        <v>100 percent up in Dapingian international stage</v>
      </c>
      <c r="J1294" s="7">
        <v>0.48648648648649107</v>
      </c>
      <c r="K1294" s="129">
        <f t="shared" si="882"/>
        <v>48.6</v>
      </c>
      <c r="L1294" s="8" t="s">
        <v>163</v>
      </c>
      <c r="M1294" s="5" t="s">
        <v>82</v>
      </c>
      <c r="N1294" s="5" t="s">
        <v>82</v>
      </c>
      <c r="O1294" s="83"/>
      <c r="P1294" s="20">
        <v>1</v>
      </c>
      <c r="Q1294" s="143">
        <f t="shared" si="883"/>
        <v>100</v>
      </c>
      <c r="R1294" s="21" t="s">
        <v>163</v>
      </c>
      <c r="S1294" s="8" t="s">
        <v>272</v>
      </c>
      <c r="T1294" s="7" t="s">
        <v>226</v>
      </c>
    </row>
    <row r="1295" spans="1:20" ht="28">
      <c r="A1295" s="116" t="s">
        <v>1209</v>
      </c>
      <c r="B1295" s="117" t="s">
        <v>1304</v>
      </c>
      <c r="C1295" s="5"/>
      <c r="D1295" s="5" t="s">
        <v>368</v>
      </c>
      <c r="E1295" s="132">
        <f t="shared" si="896"/>
        <v>470.86474864864863</v>
      </c>
      <c r="F1295" s="139">
        <f>$O$1317-P1295*($O$1317-$O$1292)</f>
        <v>470.36655945945949</v>
      </c>
      <c r="G1295" s="149"/>
      <c r="H1295" s="82" t="str">
        <f t="shared" si="880"/>
        <v>21.6 percent up in Dapingian international stage</v>
      </c>
      <c r="I1295" s="142" t="str">
        <f t="shared" si="881"/>
        <v>48.6 percent up in Dapingian international stage</v>
      </c>
      <c r="J1295" s="7">
        <v>0.21621621621622</v>
      </c>
      <c r="K1295" s="129">
        <f t="shared" si="882"/>
        <v>21.6</v>
      </c>
      <c r="L1295" s="8" t="s">
        <v>163</v>
      </c>
      <c r="M1295" s="5" t="s">
        <v>82</v>
      </c>
      <c r="N1295" s="5" t="s">
        <v>82</v>
      </c>
      <c r="O1295" s="83"/>
      <c r="P1295" s="20">
        <v>0.48648648648649107</v>
      </c>
      <c r="Q1295" s="143">
        <f t="shared" si="883"/>
        <v>48.6</v>
      </c>
      <c r="R1295" s="21" t="s">
        <v>163</v>
      </c>
      <c r="S1295" s="8" t="s">
        <v>259</v>
      </c>
      <c r="T1295" s="7">
        <v>0.27027027027025435</v>
      </c>
    </row>
    <row r="1296" spans="1:20" ht="28">
      <c r="A1296" s="116" t="s">
        <v>1209</v>
      </c>
      <c r="B1296" s="117" t="s">
        <v>1305</v>
      </c>
      <c r="C1296" s="5"/>
      <c r="D1296" s="5" t="s">
        <v>264</v>
      </c>
      <c r="E1296" s="132">
        <f t="shared" si="896"/>
        <v>471.26330000000002</v>
      </c>
      <c r="F1296" s="139">
        <f t="shared" si="873"/>
        <v>463.01785000000001</v>
      </c>
      <c r="G1296" s="149"/>
      <c r="H1296" s="82" t="str">
        <f t="shared" si="880"/>
        <v>0 percent up in Dapingian international stage</v>
      </c>
      <c r="I1296" s="142" t="str">
        <f t="shared" si="881"/>
        <v>56.9 percent up in Darriwilian international stage</v>
      </c>
      <c r="J1296" s="7">
        <v>0</v>
      </c>
      <c r="K1296" s="129">
        <f t="shared" si="882"/>
        <v>0</v>
      </c>
      <c r="L1296" s="8" t="s">
        <v>163</v>
      </c>
      <c r="M1296" s="5" t="s">
        <v>82</v>
      </c>
      <c r="N1296" s="5" t="s">
        <v>82</v>
      </c>
      <c r="O1296" s="83"/>
      <c r="P1296" s="20">
        <v>0.56944444444444398</v>
      </c>
      <c r="Q1296" s="143">
        <f t="shared" si="883"/>
        <v>56.9</v>
      </c>
      <c r="R1296" s="21" t="s">
        <v>162</v>
      </c>
      <c r="S1296" s="8" t="s">
        <v>246</v>
      </c>
      <c r="T1296" s="7" t="s">
        <v>226</v>
      </c>
    </row>
    <row r="1297" spans="1:20" ht="28">
      <c r="A1297" s="116"/>
      <c r="B1297" s="118" t="s">
        <v>2069</v>
      </c>
      <c r="C1297" s="5"/>
      <c r="D1297" s="5"/>
      <c r="E1297" s="132">
        <f t="shared" ref="E1297" si="897">$O$1292-J1297*($O$1292-$O$1270)</f>
        <v>461.55004000000002</v>
      </c>
      <c r="F1297" s="139">
        <f>$O$1229-P1297*($O$1229-$O$1192)</f>
        <v>451.41941176470584</v>
      </c>
      <c r="G1297" s="149" t="s">
        <v>1601</v>
      </c>
      <c r="H1297" s="82" t="str">
        <f t="shared" si="880"/>
        <v>70 percent up in Darriwilian international stage</v>
      </c>
      <c r="I1297" s="142" t="str">
        <f t="shared" si="881"/>
        <v>17.6 percent up in Katian international stage</v>
      </c>
      <c r="J1297" s="7">
        <v>0.7</v>
      </c>
      <c r="K1297" s="129">
        <f t="shared" ref="K1297" si="898">ROUND(J1297*100,1)</f>
        <v>70</v>
      </c>
      <c r="L1297" s="8" t="s">
        <v>162</v>
      </c>
      <c r="M1297" s="5"/>
      <c r="O1297" s="83"/>
      <c r="P1297" s="20">
        <v>0.17647058823529543</v>
      </c>
      <c r="Q1297" s="143">
        <f t="shared" ref="Q1297" si="899">ROUND(P1297*100,1)</f>
        <v>17.600000000000001</v>
      </c>
      <c r="R1297" s="21" t="s">
        <v>160</v>
      </c>
      <c r="S1297" s="8"/>
    </row>
    <row r="1298" spans="1:20" ht="34">
      <c r="A1298" s="116"/>
      <c r="B1298" s="118" t="s">
        <v>2070</v>
      </c>
      <c r="C1298" s="5"/>
      <c r="D1298" s="5"/>
      <c r="E1298" s="132">
        <f t="shared" ref="E1298" si="900">$O$1318-J1298*($O$1318-$O$1292)</f>
        <v>471.26330000000002</v>
      </c>
      <c r="F1298" s="139">
        <f t="shared" si="873"/>
        <v>461.55004000000002</v>
      </c>
      <c r="G1298" s="149" t="s">
        <v>1602</v>
      </c>
      <c r="H1298" s="82" t="str">
        <f t="shared" ref="H1298" si="901">CONCATENATE(K1298," percent up in ",L1298," international stage")</f>
        <v>0 percent up in Dapingian international stage</v>
      </c>
      <c r="I1298" s="142" t="str">
        <f t="shared" ref="I1298" si="902">CONCATENATE(Q1298," percent up in ",R1298," international stage")</f>
        <v>70 percent up in Darriwilian international stage</v>
      </c>
      <c r="J1298" s="7">
        <v>0</v>
      </c>
      <c r="K1298" s="129">
        <f t="shared" ref="K1298" si="903">ROUND(J1298*100,1)</f>
        <v>0</v>
      </c>
      <c r="L1298" s="8" t="s">
        <v>163</v>
      </c>
      <c r="M1298" s="5"/>
      <c r="O1298" s="83"/>
      <c r="P1298" s="20">
        <v>0.7</v>
      </c>
      <c r="Q1298" s="143">
        <f t="shared" ref="Q1298" si="904">ROUND(P1298*100,1)</f>
        <v>70</v>
      </c>
      <c r="R1298" s="21" t="s">
        <v>162</v>
      </c>
      <c r="S1298" s="8"/>
    </row>
    <row r="1299" spans="1:20" ht="28">
      <c r="A1299" s="116" t="s">
        <v>1209</v>
      </c>
      <c r="B1299" s="118" t="s">
        <v>1306</v>
      </c>
      <c r="C1299" s="5"/>
      <c r="D1299" s="5" t="s">
        <v>244</v>
      </c>
      <c r="E1299" s="132">
        <f t="shared" si="896"/>
        <v>471.26330000000002</v>
      </c>
      <c r="F1299" s="139">
        <f>$O$1229-P1299*($O$1229-$O$1192)</f>
        <v>451.41941176470584</v>
      </c>
      <c r="G1299" s="149"/>
      <c r="H1299" s="82" t="str">
        <f t="shared" si="880"/>
        <v>0 percent up in Dapingian international stage</v>
      </c>
      <c r="I1299" s="142" t="str">
        <f t="shared" si="881"/>
        <v>17.6 percent up in Katian international stage</v>
      </c>
      <c r="J1299" s="7">
        <v>0</v>
      </c>
      <c r="K1299" s="129">
        <f t="shared" si="882"/>
        <v>0</v>
      </c>
      <c r="L1299" s="8" t="s">
        <v>163</v>
      </c>
      <c r="M1299" s="5" t="s">
        <v>82</v>
      </c>
      <c r="N1299" s="5" t="s">
        <v>82</v>
      </c>
      <c r="O1299" s="83"/>
      <c r="P1299" s="20">
        <v>0.17647058823529543</v>
      </c>
      <c r="Q1299" s="143">
        <f t="shared" si="883"/>
        <v>17.600000000000001</v>
      </c>
      <c r="R1299" s="21" t="s">
        <v>160</v>
      </c>
      <c r="S1299" s="8" t="s">
        <v>246</v>
      </c>
      <c r="T1299" s="7" t="s">
        <v>226</v>
      </c>
    </row>
    <row r="1300" spans="1:20" ht="28">
      <c r="A1300" s="116" t="s">
        <v>1209</v>
      </c>
      <c r="B1300" s="117" t="s">
        <v>1307</v>
      </c>
      <c r="C1300" s="5"/>
      <c r="D1300" s="5" t="s">
        <v>82</v>
      </c>
      <c r="E1300" s="132">
        <f t="shared" si="896"/>
        <v>471.26330000000002</v>
      </c>
      <c r="F1300" s="139">
        <f t="shared" ref="F1300:F1318" si="905">$O$1292-P1300*($O$1292-$O$1270)</f>
        <v>458.17720000000003</v>
      </c>
      <c r="G1300" s="149"/>
      <c r="H1300" s="82" t="str">
        <f t="shared" si="880"/>
        <v>0 percent up in Dapingian international stage</v>
      </c>
      <c r="I1300" s="142" t="str">
        <f t="shared" si="881"/>
        <v>100 percent up in Darriwilian international stage</v>
      </c>
      <c r="J1300" s="7">
        <v>0</v>
      </c>
      <c r="K1300" s="129">
        <f t="shared" si="882"/>
        <v>0</v>
      </c>
      <c r="L1300" s="8" t="s">
        <v>163</v>
      </c>
      <c r="M1300" s="5" t="s">
        <v>82</v>
      </c>
      <c r="N1300" s="5" t="s">
        <v>82</v>
      </c>
      <c r="O1300" s="83"/>
      <c r="P1300" s="20">
        <v>1</v>
      </c>
      <c r="Q1300" s="143">
        <f t="shared" si="883"/>
        <v>100</v>
      </c>
      <c r="R1300" s="21" t="s">
        <v>162</v>
      </c>
      <c r="S1300" s="8" t="s">
        <v>232</v>
      </c>
      <c r="T1300" s="7" t="s">
        <v>226</v>
      </c>
    </row>
    <row r="1301" spans="1:20" ht="28">
      <c r="A1301" s="116" t="s">
        <v>1209</v>
      </c>
      <c r="B1301" s="117" t="s">
        <v>1308</v>
      </c>
      <c r="C1301" s="5"/>
      <c r="D1301" s="5" t="s">
        <v>248</v>
      </c>
      <c r="E1301" s="132">
        <f t="shared" si="896"/>
        <v>471.26330000000002</v>
      </c>
      <c r="F1301" s="139">
        <f t="shared" si="905"/>
        <v>463.01785000000001</v>
      </c>
      <c r="G1301" s="149"/>
      <c r="H1301" s="82" t="str">
        <f t="shared" si="880"/>
        <v>0 percent up in Dapingian international stage</v>
      </c>
      <c r="I1301" s="142" t="str">
        <f t="shared" si="881"/>
        <v>56.9 percent up in Darriwilian international stage</v>
      </c>
      <c r="J1301" s="7">
        <v>0</v>
      </c>
      <c r="K1301" s="129">
        <f t="shared" si="882"/>
        <v>0</v>
      </c>
      <c r="L1301" s="8" t="s">
        <v>163</v>
      </c>
      <c r="M1301" s="5" t="s">
        <v>82</v>
      </c>
      <c r="N1301" s="5" t="s">
        <v>82</v>
      </c>
      <c r="O1301" s="83"/>
      <c r="P1301" s="20">
        <v>0.56944444444444398</v>
      </c>
      <c r="Q1301" s="143">
        <f t="shared" si="883"/>
        <v>56.9</v>
      </c>
      <c r="R1301" s="21" t="s">
        <v>162</v>
      </c>
      <c r="S1301" s="8" t="s">
        <v>246</v>
      </c>
      <c r="T1301" s="7" t="s">
        <v>226</v>
      </c>
    </row>
    <row r="1302" spans="1:20" ht="28">
      <c r="A1302" s="116" t="s">
        <v>1209</v>
      </c>
      <c r="B1302" s="117" t="s">
        <v>1309</v>
      </c>
      <c r="C1302" s="5"/>
      <c r="D1302" s="5" t="s">
        <v>1217</v>
      </c>
      <c r="E1302" s="132">
        <f t="shared" si="896"/>
        <v>471.26330000000002</v>
      </c>
      <c r="F1302" s="139">
        <f t="shared" si="905"/>
        <v>467.85850000000005</v>
      </c>
      <c r="G1302" s="149"/>
      <c r="H1302" s="82" t="str">
        <f t="shared" si="880"/>
        <v>0 percent up in Dapingian international stage</v>
      </c>
      <c r="I1302" s="142" t="str">
        <f t="shared" si="881"/>
        <v>13.9 percent up in Darriwilian international stage</v>
      </c>
      <c r="J1302" s="7">
        <v>0</v>
      </c>
      <c r="K1302" s="129">
        <f t="shared" si="882"/>
        <v>0</v>
      </c>
      <c r="L1302" s="8" t="s">
        <v>163</v>
      </c>
      <c r="M1302" s="5" t="s">
        <v>82</v>
      </c>
      <c r="N1302" s="5" t="s">
        <v>82</v>
      </c>
      <c r="O1302" s="83"/>
      <c r="P1302" s="20">
        <v>0.13888888888888801</v>
      </c>
      <c r="Q1302" s="143">
        <f t="shared" si="883"/>
        <v>13.9</v>
      </c>
      <c r="R1302" s="21" t="s">
        <v>162</v>
      </c>
      <c r="S1302" s="8" t="s">
        <v>246</v>
      </c>
      <c r="T1302" s="7" t="s">
        <v>226</v>
      </c>
    </row>
    <row r="1303" spans="1:20" ht="28">
      <c r="A1303" s="116"/>
      <c r="B1303" s="117" t="s">
        <v>1776</v>
      </c>
      <c r="C1303" s="5"/>
      <c r="D1303" s="5"/>
      <c r="E1303" s="132">
        <f t="shared" ref="E1303:E1304" si="906">$O$1292-J1303*($O$1292-$O$1270)</f>
        <v>466.04716000000002</v>
      </c>
      <c r="F1303" s="139">
        <f t="shared" si="905"/>
        <v>463.01785000000001</v>
      </c>
      <c r="G1303" s="149" t="s">
        <v>1781</v>
      </c>
      <c r="H1303" s="82" t="str">
        <f t="shared" ref="H1303" si="907">CONCATENATE(K1303," percent up in ",L1303," international stage")</f>
        <v>30 percent up in Darriwilian international stage</v>
      </c>
      <c r="I1303" s="142" t="str">
        <f t="shared" ref="I1303" si="908">CONCATENATE(Q1303," percent up in ",R1303," international stage")</f>
        <v>56.9 percent up in Darriwilian international stage</v>
      </c>
      <c r="J1303" s="7">
        <v>0.3</v>
      </c>
      <c r="K1303" s="129">
        <f t="shared" ref="K1303" si="909">ROUND(J1303*100,1)</f>
        <v>30</v>
      </c>
      <c r="L1303" s="8" t="s">
        <v>162</v>
      </c>
      <c r="M1303" s="5" t="s">
        <v>82</v>
      </c>
      <c r="N1303" s="5" t="s">
        <v>82</v>
      </c>
      <c r="O1303" s="83"/>
      <c r="P1303" s="20">
        <v>0.56944444444444398</v>
      </c>
      <c r="Q1303" s="143">
        <f t="shared" ref="Q1303" si="910">ROUND(P1303*100,1)</f>
        <v>56.9</v>
      </c>
      <c r="R1303" s="21" t="s">
        <v>162</v>
      </c>
      <c r="S1303" s="150" t="s">
        <v>1784</v>
      </c>
    </row>
    <row r="1304" spans="1:20" ht="28">
      <c r="A1304" s="116"/>
      <c r="B1304" s="117" t="s">
        <v>1777</v>
      </c>
      <c r="C1304" s="5"/>
      <c r="D1304" s="5"/>
      <c r="E1304" s="132">
        <f t="shared" si="906"/>
        <v>469.42</v>
      </c>
      <c r="F1304" s="139">
        <f t="shared" si="905"/>
        <v>466.04716000000002</v>
      </c>
      <c r="G1304" s="149" t="s">
        <v>1782</v>
      </c>
      <c r="H1304" s="82" t="str">
        <f t="shared" ref="H1304" si="911">CONCATENATE(K1304," percent up in ",L1304," international stage")</f>
        <v>0 percent up in Darriwilian international stage</v>
      </c>
      <c r="I1304" s="142" t="str">
        <f t="shared" ref="I1304" si="912">CONCATENATE(Q1304," percent up in ",R1304," international stage")</f>
        <v>30 percent up in Darriwilian international stage</v>
      </c>
      <c r="J1304" s="7">
        <v>0</v>
      </c>
      <c r="K1304" s="129">
        <f t="shared" ref="K1304" si="913">ROUND(J1304*100,1)</f>
        <v>0</v>
      </c>
      <c r="L1304" s="8" t="s">
        <v>162</v>
      </c>
      <c r="M1304" s="5" t="s">
        <v>82</v>
      </c>
      <c r="N1304" s="5" t="s">
        <v>82</v>
      </c>
      <c r="O1304" s="83"/>
      <c r="P1304" s="20">
        <v>0.3</v>
      </c>
      <c r="Q1304" s="143">
        <f t="shared" ref="Q1304" si="914">ROUND(P1304*100,1)</f>
        <v>30</v>
      </c>
      <c r="R1304" s="21" t="s">
        <v>162</v>
      </c>
      <c r="S1304" s="150" t="s">
        <v>1785</v>
      </c>
    </row>
    <row r="1305" spans="1:20" ht="28">
      <c r="A1305" s="116"/>
      <c r="B1305" s="117" t="s">
        <v>1778</v>
      </c>
      <c r="C1305" s="5"/>
      <c r="D1305" s="5"/>
      <c r="E1305" s="132">
        <f t="shared" ref="E1305" si="915">$O$1318-J1305*($O$1318-$O$1292)</f>
        <v>471.26330000000002</v>
      </c>
      <c r="F1305" s="139">
        <f>$O$1317-P1305*($O$1317-$O$1292)</f>
        <v>469.42</v>
      </c>
      <c r="G1305" s="149" t="s">
        <v>1780</v>
      </c>
      <c r="H1305" s="82" t="str">
        <f t="shared" ref="H1305" si="916">CONCATENATE(K1305," percent up in ",L1305," international stage")</f>
        <v>0 percent up in Dapingian international stage</v>
      </c>
      <c r="I1305" s="142" t="str">
        <f t="shared" ref="I1305" si="917">CONCATENATE(Q1305," percent up in ",R1305," international stage")</f>
        <v>100 percent up in Dapingian international stage</v>
      </c>
      <c r="J1305" s="7">
        <v>0</v>
      </c>
      <c r="K1305" s="129">
        <f t="shared" ref="K1305" si="918">ROUND(J1305*100,1)</f>
        <v>0</v>
      </c>
      <c r="L1305" s="8" t="s">
        <v>163</v>
      </c>
      <c r="M1305" s="5"/>
      <c r="O1305" s="83"/>
      <c r="P1305" s="20">
        <v>1</v>
      </c>
      <c r="Q1305" s="143">
        <f t="shared" ref="Q1305" si="919">ROUND(P1305*100,1)</f>
        <v>100</v>
      </c>
      <c r="R1305" s="21" t="s">
        <v>163</v>
      </c>
      <c r="S1305" s="150" t="s">
        <v>1783</v>
      </c>
    </row>
    <row r="1306" spans="1:20" ht="28">
      <c r="A1306" s="116"/>
      <c r="B1306" s="117" t="s">
        <v>1779</v>
      </c>
      <c r="C1306" s="5"/>
      <c r="D1306" s="5"/>
      <c r="E1306" s="132">
        <f t="shared" ref="E1306" si="920">$O$1318-J1306*($O$1318-$O$1292)</f>
        <v>471.26330000000002</v>
      </c>
      <c r="F1306" s="139">
        <f>$O$1317-P1306*($O$1317-$O$1292)</f>
        <v>469.42</v>
      </c>
      <c r="G1306" s="149" t="s">
        <v>1780</v>
      </c>
      <c r="H1306" s="82" t="str">
        <f t="shared" ref="H1306" si="921">CONCATENATE(K1306," percent up in ",L1306," international stage")</f>
        <v>0 percent up in Dapingian international stage</v>
      </c>
      <c r="I1306" s="142" t="str">
        <f t="shared" ref="I1306" si="922">CONCATENATE(Q1306," percent up in ",R1306," international stage")</f>
        <v>100 percent up in Dapingian international stage</v>
      </c>
      <c r="J1306" s="7">
        <v>0</v>
      </c>
      <c r="K1306" s="129">
        <f t="shared" ref="K1306" si="923">ROUND(J1306*100,1)</f>
        <v>0</v>
      </c>
      <c r="L1306" s="8" t="s">
        <v>163</v>
      </c>
      <c r="M1306" s="5"/>
      <c r="O1306" s="83"/>
      <c r="P1306" s="20">
        <v>1</v>
      </c>
      <c r="Q1306" s="143">
        <f t="shared" ref="Q1306" si="924">ROUND(P1306*100,1)</f>
        <v>100</v>
      </c>
      <c r="R1306" s="21" t="s">
        <v>163</v>
      </c>
      <c r="S1306" s="150" t="s">
        <v>1783</v>
      </c>
    </row>
    <row r="1307" spans="1:20" ht="28">
      <c r="A1307" s="116" t="s">
        <v>1209</v>
      </c>
      <c r="B1307" s="117" t="s">
        <v>1310</v>
      </c>
      <c r="C1307" s="5"/>
      <c r="D1307" s="5" t="s">
        <v>82</v>
      </c>
      <c r="E1307" s="132">
        <f t="shared" si="896"/>
        <v>471.26330000000002</v>
      </c>
      <c r="F1307" s="139">
        <f t="shared" si="905"/>
        <v>463.01785000000001</v>
      </c>
      <c r="G1307" s="149"/>
      <c r="H1307" s="82" t="str">
        <f t="shared" si="880"/>
        <v>0 percent up in Dapingian international stage</v>
      </c>
      <c r="I1307" s="142" t="str">
        <f t="shared" si="881"/>
        <v>56.9 percent up in Darriwilian international stage</v>
      </c>
      <c r="J1307" s="7">
        <v>0</v>
      </c>
      <c r="K1307" s="129">
        <f t="shared" si="882"/>
        <v>0</v>
      </c>
      <c r="L1307" s="8" t="s">
        <v>163</v>
      </c>
      <c r="M1307" s="5" t="s">
        <v>82</v>
      </c>
      <c r="N1307" s="5" t="s">
        <v>82</v>
      </c>
      <c r="O1307" s="83"/>
      <c r="P1307" s="20">
        <v>0.56944444444444398</v>
      </c>
      <c r="Q1307" s="143">
        <f t="shared" si="883"/>
        <v>56.9</v>
      </c>
      <c r="R1307" s="21" t="s">
        <v>162</v>
      </c>
      <c r="S1307" s="8" t="s">
        <v>246</v>
      </c>
      <c r="T1307" s="7" t="s">
        <v>226</v>
      </c>
    </row>
    <row r="1308" spans="1:20" ht="28">
      <c r="A1308" s="116" t="s">
        <v>1209</v>
      </c>
      <c r="B1308" s="117" t="s">
        <v>1311</v>
      </c>
      <c r="C1308" s="5"/>
      <c r="D1308" s="5" t="s">
        <v>82</v>
      </c>
      <c r="E1308" s="132">
        <f t="shared" si="896"/>
        <v>471.26330000000002</v>
      </c>
      <c r="F1308" s="139">
        <f t="shared" si="905"/>
        <v>463.01785000000001</v>
      </c>
      <c r="G1308" s="149"/>
      <c r="H1308" s="82" t="str">
        <f t="shared" si="880"/>
        <v>0 percent up in Dapingian international stage</v>
      </c>
      <c r="I1308" s="142" t="str">
        <f t="shared" si="881"/>
        <v>56.9 percent up in Darriwilian international stage</v>
      </c>
      <c r="J1308" s="7">
        <v>0</v>
      </c>
      <c r="K1308" s="129">
        <f t="shared" si="882"/>
        <v>0</v>
      </c>
      <c r="L1308" s="8" t="s">
        <v>163</v>
      </c>
      <c r="M1308" s="5" t="s">
        <v>82</v>
      </c>
      <c r="N1308" s="5" t="s">
        <v>82</v>
      </c>
      <c r="O1308" s="83"/>
      <c r="P1308" s="20">
        <v>0.56944444444444398</v>
      </c>
      <c r="Q1308" s="143">
        <f t="shared" si="883"/>
        <v>56.9</v>
      </c>
      <c r="R1308" s="21" t="s">
        <v>162</v>
      </c>
      <c r="S1308" s="8" t="s">
        <v>246</v>
      </c>
      <c r="T1308" s="7" t="s">
        <v>226</v>
      </c>
    </row>
    <row r="1309" spans="1:20" ht="28">
      <c r="A1309" s="116" t="s">
        <v>1209</v>
      </c>
      <c r="B1309" s="117" t="s">
        <v>1312</v>
      </c>
      <c r="C1309" s="5"/>
      <c r="D1309" s="5" t="s">
        <v>82</v>
      </c>
      <c r="E1309" s="132">
        <f t="shared" si="896"/>
        <v>471.26330000000002</v>
      </c>
      <c r="F1309" s="139">
        <f>$O$1317-P1309*($O$1317-$O$1292)</f>
        <v>469.42</v>
      </c>
      <c r="G1309" s="149"/>
      <c r="H1309" s="82" t="str">
        <f t="shared" si="880"/>
        <v>0 percent up in Dapingian international stage</v>
      </c>
      <c r="I1309" s="142" t="str">
        <f t="shared" si="881"/>
        <v>100 percent up in Dapingian international stage</v>
      </c>
      <c r="J1309" s="7">
        <v>0</v>
      </c>
      <c r="K1309" s="129">
        <f t="shared" si="882"/>
        <v>0</v>
      </c>
      <c r="L1309" s="8" t="s">
        <v>163</v>
      </c>
      <c r="M1309" s="5" t="s">
        <v>82</v>
      </c>
      <c r="N1309" s="5" t="s">
        <v>82</v>
      </c>
      <c r="O1309" s="83"/>
      <c r="P1309" s="20">
        <v>1</v>
      </c>
      <c r="Q1309" s="143">
        <f t="shared" si="883"/>
        <v>100</v>
      </c>
      <c r="R1309" s="21" t="s">
        <v>163</v>
      </c>
      <c r="S1309" s="8" t="s">
        <v>232</v>
      </c>
      <c r="T1309" s="7" t="s">
        <v>226</v>
      </c>
    </row>
    <row r="1310" spans="1:20" ht="28">
      <c r="A1310" s="116" t="s">
        <v>1209</v>
      </c>
      <c r="B1310" s="118" t="s">
        <v>1313</v>
      </c>
      <c r="C1310" s="5"/>
      <c r="D1310" s="5" t="s">
        <v>244</v>
      </c>
      <c r="E1310" s="132">
        <f t="shared" si="896"/>
        <v>471.26330000000002</v>
      </c>
      <c r="F1310" s="139">
        <f>$O$1317-P1310*($O$1317-$O$1292)</f>
        <v>470.36655945945949</v>
      </c>
      <c r="G1310" s="149"/>
      <c r="H1310" s="82" t="str">
        <f t="shared" si="880"/>
        <v>0 percent up in Dapingian international stage</v>
      </c>
      <c r="I1310" s="142" t="str">
        <f t="shared" si="881"/>
        <v>48.6 percent up in Dapingian international stage</v>
      </c>
      <c r="J1310" s="7">
        <v>0</v>
      </c>
      <c r="K1310" s="129">
        <f t="shared" si="882"/>
        <v>0</v>
      </c>
      <c r="L1310" s="8" t="s">
        <v>163</v>
      </c>
      <c r="M1310" s="5" t="s">
        <v>82</v>
      </c>
      <c r="N1310" s="5" t="s">
        <v>82</v>
      </c>
      <c r="O1310" s="83"/>
      <c r="P1310" s="20">
        <v>0.48648648648649107</v>
      </c>
      <c r="Q1310" s="143">
        <f t="shared" si="883"/>
        <v>48.6</v>
      </c>
      <c r="R1310" s="21" t="s">
        <v>163</v>
      </c>
      <c r="S1310" s="8" t="s">
        <v>230</v>
      </c>
      <c r="T1310" s="7" t="s">
        <v>226</v>
      </c>
    </row>
    <row r="1311" spans="1:20" ht="28">
      <c r="A1311" s="116" t="s">
        <v>1209</v>
      </c>
      <c r="B1311" s="118" t="s">
        <v>1314</v>
      </c>
      <c r="C1311" s="5"/>
      <c r="D1311" s="5" t="s">
        <v>1201</v>
      </c>
      <c r="E1311" s="132">
        <f t="shared" si="896"/>
        <v>471.26330000000002</v>
      </c>
      <c r="F1311" s="139">
        <f t="shared" si="905"/>
        <v>468.01464999999996</v>
      </c>
      <c r="G1311" s="149"/>
      <c r="H1311" s="82" t="str">
        <f t="shared" si="880"/>
        <v>0 percent up in Dapingian international stage</v>
      </c>
      <c r="I1311" s="142" t="str">
        <f t="shared" si="881"/>
        <v>12.5 percent up in Darriwilian international stage</v>
      </c>
      <c r="J1311" s="7">
        <v>0</v>
      </c>
      <c r="K1311" s="129">
        <f t="shared" si="882"/>
        <v>0</v>
      </c>
      <c r="L1311" s="8" t="s">
        <v>163</v>
      </c>
      <c r="M1311" s="5" t="s">
        <v>82</v>
      </c>
      <c r="N1311" s="5" t="s">
        <v>82</v>
      </c>
      <c r="O1311" s="83"/>
      <c r="P1311" s="20">
        <v>0.12500000000000394</v>
      </c>
      <c r="Q1311" s="143">
        <f t="shared" si="883"/>
        <v>12.5</v>
      </c>
      <c r="R1311" s="21" t="s">
        <v>162</v>
      </c>
      <c r="S1311" s="8" t="s">
        <v>246</v>
      </c>
      <c r="T1311" s="7" t="s">
        <v>226</v>
      </c>
    </row>
    <row r="1312" spans="1:20" ht="28">
      <c r="A1312" s="116" t="s">
        <v>1209</v>
      </c>
      <c r="B1312" s="117" t="s">
        <v>1315</v>
      </c>
      <c r="C1312" s="5"/>
      <c r="D1312" s="5" t="s">
        <v>244</v>
      </c>
      <c r="E1312" s="132">
        <f t="shared" si="896"/>
        <v>471.26330000000002</v>
      </c>
      <c r="F1312" s="139">
        <f t="shared" si="905"/>
        <v>459.89485000000008</v>
      </c>
      <c r="G1312" s="149"/>
      <c r="H1312" s="82" t="str">
        <f t="shared" si="880"/>
        <v>0 percent up in Dapingian international stage</v>
      </c>
      <c r="I1312" s="142" t="str">
        <f t="shared" si="881"/>
        <v>84.7 percent up in Darriwilian international stage</v>
      </c>
      <c r="J1312" s="7">
        <v>0</v>
      </c>
      <c r="K1312" s="129">
        <f t="shared" si="882"/>
        <v>0</v>
      </c>
      <c r="L1312" s="8" t="s">
        <v>163</v>
      </c>
      <c r="M1312" s="5" t="s">
        <v>82</v>
      </c>
      <c r="N1312" s="5" t="s">
        <v>82</v>
      </c>
      <c r="O1312" s="83"/>
      <c r="P1312" s="20">
        <v>0.84722222222221999</v>
      </c>
      <c r="Q1312" s="143">
        <f t="shared" si="883"/>
        <v>84.7</v>
      </c>
      <c r="R1312" s="21" t="s">
        <v>162</v>
      </c>
      <c r="S1312" s="8" t="s">
        <v>246</v>
      </c>
      <c r="T1312" s="7" t="s">
        <v>226</v>
      </c>
    </row>
    <row r="1313" spans="1:20" ht="28">
      <c r="A1313" s="116" t="s">
        <v>1209</v>
      </c>
      <c r="B1313" s="120" t="s">
        <v>1316</v>
      </c>
      <c r="C1313" s="5"/>
      <c r="D1313" s="5" t="s">
        <v>82</v>
      </c>
      <c r="E1313" s="132">
        <f t="shared" si="896"/>
        <v>471.26330000000002</v>
      </c>
      <c r="F1313" s="139">
        <f t="shared" si="905"/>
        <v>459.89485000000008</v>
      </c>
      <c r="G1313" s="149"/>
      <c r="H1313" s="82" t="str">
        <f t="shared" si="880"/>
        <v>0 percent up in Dapingian international stage</v>
      </c>
      <c r="I1313" s="142" t="str">
        <f t="shared" si="881"/>
        <v>84.7 percent up in Darriwilian international stage</v>
      </c>
      <c r="J1313" s="7">
        <v>0</v>
      </c>
      <c r="K1313" s="129">
        <f t="shared" si="882"/>
        <v>0</v>
      </c>
      <c r="L1313" s="8" t="s">
        <v>163</v>
      </c>
      <c r="M1313" s="5" t="s">
        <v>82</v>
      </c>
      <c r="N1313" s="5" t="s">
        <v>82</v>
      </c>
      <c r="O1313" s="83"/>
      <c r="P1313" s="20">
        <v>0.84722222222221999</v>
      </c>
      <c r="Q1313" s="143">
        <f t="shared" si="883"/>
        <v>84.7</v>
      </c>
      <c r="R1313" s="21" t="s">
        <v>162</v>
      </c>
      <c r="S1313" s="8" t="s">
        <v>246</v>
      </c>
      <c r="T1313" s="7" t="s">
        <v>226</v>
      </c>
    </row>
    <row r="1314" spans="1:20" ht="28">
      <c r="A1314" s="116" t="s">
        <v>1209</v>
      </c>
      <c r="B1314" s="118" t="s">
        <v>1317</v>
      </c>
      <c r="C1314" s="5"/>
      <c r="D1314" s="5" t="s">
        <v>244</v>
      </c>
      <c r="E1314" s="132">
        <f t="shared" si="896"/>
        <v>471.26330000000002</v>
      </c>
      <c r="F1314" s="139">
        <f t="shared" si="905"/>
        <v>459.89485000000008</v>
      </c>
      <c r="G1314" s="149"/>
      <c r="H1314" s="82" t="str">
        <f t="shared" si="880"/>
        <v>0 percent up in Dapingian international stage</v>
      </c>
      <c r="I1314" s="142" t="str">
        <f t="shared" si="881"/>
        <v>84.7 percent up in Darriwilian international stage</v>
      </c>
      <c r="J1314" s="7">
        <v>0</v>
      </c>
      <c r="K1314" s="129">
        <f t="shared" si="882"/>
        <v>0</v>
      </c>
      <c r="L1314" s="8" t="s">
        <v>163</v>
      </c>
      <c r="M1314" s="5" t="s">
        <v>82</v>
      </c>
      <c r="N1314" s="5" t="s">
        <v>82</v>
      </c>
      <c r="O1314" s="83"/>
      <c r="P1314" s="20">
        <v>0.84722222222221999</v>
      </c>
      <c r="Q1314" s="143">
        <f t="shared" si="883"/>
        <v>84.7</v>
      </c>
      <c r="R1314" s="21" t="s">
        <v>162</v>
      </c>
      <c r="S1314" s="8" t="s">
        <v>246</v>
      </c>
      <c r="T1314" s="7" t="s">
        <v>226</v>
      </c>
    </row>
    <row r="1315" spans="1:20" ht="28">
      <c r="A1315" s="116"/>
      <c r="B1315" s="118" t="s">
        <v>1976</v>
      </c>
      <c r="C1315" s="5"/>
      <c r="D1315" s="5"/>
      <c r="E1315" s="132">
        <f t="shared" ref="E1315:E1316" si="925">$O$1318-J1315*($O$1318-$O$1292)</f>
        <v>470.34165000000002</v>
      </c>
      <c r="F1315" s="139">
        <f>$O$1317-P1315*($O$1317-$O$1292)</f>
        <v>469.42</v>
      </c>
      <c r="G1315" s="149" t="s">
        <v>1601</v>
      </c>
      <c r="H1315" s="82" t="str">
        <f t="shared" ref="H1315:H1316" si="926">CONCATENATE(K1315," percent up in ",L1315," international stage")</f>
        <v>50 percent up in Dapingian international stage</v>
      </c>
      <c r="I1315" s="142" t="str">
        <f t="shared" ref="I1315:I1316" si="927">CONCATENATE(Q1315," percent up in ",R1315," international stage")</f>
        <v>100 percent up in Dapingian international stage</v>
      </c>
      <c r="J1315" s="7">
        <v>0.5</v>
      </c>
      <c r="K1315" s="129">
        <f t="shared" ref="K1315:K1316" si="928">ROUND(J1315*100,1)</f>
        <v>50</v>
      </c>
      <c r="L1315" s="8" t="s">
        <v>163</v>
      </c>
      <c r="M1315" s="5"/>
      <c r="O1315" s="83"/>
      <c r="P1315" s="20">
        <v>1</v>
      </c>
      <c r="Q1315" s="143">
        <f t="shared" ref="Q1315:Q1316" si="929">ROUND(P1315*100,1)</f>
        <v>100</v>
      </c>
      <c r="R1315" s="21" t="s">
        <v>163</v>
      </c>
      <c r="S1315" s="150" t="s">
        <v>1601</v>
      </c>
    </row>
    <row r="1316" spans="1:20" ht="28">
      <c r="A1316" s="116"/>
      <c r="B1316" s="118" t="s">
        <v>1977</v>
      </c>
      <c r="C1316" s="5"/>
      <c r="D1316" s="5"/>
      <c r="E1316" s="132">
        <f t="shared" si="925"/>
        <v>471.26330000000002</v>
      </c>
      <c r="F1316" s="139">
        <f>$O$1317-P1316*($O$1317-$O$1292)</f>
        <v>470.34165000000002</v>
      </c>
      <c r="G1316" s="149" t="s">
        <v>1602</v>
      </c>
      <c r="H1316" s="82" t="str">
        <f t="shared" si="926"/>
        <v>0 percent up in Dapingian international stage</v>
      </c>
      <c r="I1316" s="142" t="str">
        <f t="shared" si="927"/>
        <v>50 percent up in Dapingian international stage</v>
      </c>
      <c r="J1316" s="7">
        <v>0</v>
      </c>
      <c r="K1316" s="129">
        <f t="shared" si="928"/>
        <v>0</v>
      </c>
      <c r="L1316" s="8" t="s">
        <v>163</v>
      </c>
      <c r="M1316" s="5"/>
      <c r="O1316" s="83"/>
      <c r="P1316" s="20">
        <v>0.5</v>
      </c>
      <c r="Q1316" s="143">
        <f t="shared" si="929"/>
        <v>50</v>
      </c>
      <c r="R1316" s="21" t="s">
        <v>163</v>
      </c>
      <c r="S1316" s="150" t="s">
        <v>1602</v>
      </c>
    </row>
    <row r="1317" spans="1:20" ht="28">
      <c r="A1317" s="116" t="s">
        <v>1209</v>
      </c>
      <c r="B1317" s="117" t="s">
        <v>163</v>
      </c>
      <c r="C1317" s="135"/>
      <c r="D1317" s="135" t="s">
        <v>222</v>
      </c>
      <c r="E1317" s="132">
        <f t="shared" si="896"/>
        <v>471.26330000000002</v>
      </c>
      <c r="F1317" s="139">
        <f>$O$1317-P1317*($O$1317-$O$1292)</f>
        <v>469.42</v>
      </c>
      <c r="G1317" s="149"/>
      <c r="H1317" s="82" t="str">
        <f t="shared" si="880"/>
        <v>0 percent up in Dapingian international stage</v>
      </c>
      <c r="I1317" s="142" t="str">
        <f t="shared" si="881"/>
        <v>100 percent up in Dapingian international stage</v>
      </c>
      <c r="J1317" s="7">
        <v>0</v>
      </c>
      <c r="K1317" s="129">
        <f t="shared" si="882"/>
        <v>0</v>
      </c>
      <c r="L1317" s="8" t="s">
        <v>163</v>
      </c>
      <c r="M1317" s="5" t="s">
        <v>224</v>
      </c>
      <c r="N1317" s="5" t="s">
        <v>1318</v>
      </c>
      <c r="O1317" s="84">
        <f>Master_Chronostrat!I150</f>
        <v>471.26330000000002</v>
      </c>
      <c r="P1317" s="20">
        <v>1</v>
      </c>
      <c r="Q1317" s="143">
        <f t="shared" si="883"/>
        <v>100</v>
      </c>
      <c r="R1317" s="21" t="s">
        <v>163</v>
      </c>
      <c r="S1317" s="8" t="s">
        <v>224</v>
      </c>
      <c r="T1317" s="7" t="s">
        <v>226</v>
      </c>
    </row>
    <row r="1318" spans="1:20" ht="28">
      <c r="A1318" s="116" t="s">
        <v>1209</v>
      </c>
      <c r="B1318" s="117" t="s">
        <v>1319</v>
      </c>
      <c r="C1318" s="135"/>
      <c r="D1318" s="135" t="s">
        <v>222</v>
      </c>
      <c r="E1318" s="132">
        <f t="shared" si="896"/>
        <v>471.26330000000002</v>
      </c>
      <c r="F1318" s="139">
        <f t="shared" si="905"/>
        <v>458.17720000000003</v>
      </c>
      <c r="G1318" s="149"/>
      <c r="H1318" s="82" t="str">
        <f t="shared" si="880"/>
        <v>0 percent up in Dapingian international stage</v>
      </c>
      <c r="I1318" s="142" t="str">
        <f t="shared" si="881"/>
        <v>100 percent up in Darriwilian international stage</v>
      </c>
      <c r="J1318" s="7">
        <v>0</v>
      </c>
      <c r="K1318" s="129">
        <f t="shared" si="882"/>
        <v>0</v>
      </c>
      <c r="L1318" s="8" t="s">
        <v>163</v>
      </c>
      <c r="M1318" s="5" t="s">
        <v>224</v>
      </c>
      <c r="N1318" s="5" t="s">
        <v>1320</v>
      </c>
      <c r="O1318" s="84">
        <f>Master_Chronostrat!I150</f>
        <v>471.26330000000002</v>
      </c>
      <c r="P1318" s="20">
        <v>1</v>
      </c>
      <c r="Q1318" s="143">
        <f t="shared" si="883"/>
        <v>100</v>
      </c>
      <c r="R1318" s="21" t="s">
        <v>162</v>
      </c>
      <c r="S1318" s="8" t="s">
        <v>239</v>
      </c>
      <c r="T1318" s="7" t="s">
        <v>226</v>
      </c>
    </row>
    <row r="1319" spans="1:20" ht="28">
      <c r="A1319" s="116" t="s">
        <v>1209</v>
      </c>
      <c r="B1319" s="117" t="s">
        <v>1321</v>
      </c>
      <c r="C1319" s="5"/>
      <c r="D1319" s="5" t="s">
        <v>248</v>
      </c>
      <c r="E1319" s="132">
        <f t="shared" ref="E1319:E1343" si="930">$O$1343-J1319*($O$1343-$O$1318)</f>
        <v>471.43435294117648</v>
      </c>
      <c r="F1319" s="139">
        <f>$O$1343-P1319*($O$1343-$O$1318)</f>
        <v>471.26330000000002</v>
      </c>
      <c r="G1319" s="149"/>
      <c r="H1319" s="82" t="str">
        <f t="shared" si="880"/>
        <v>97.1 percent up in Floian international stage</v>
      </c>
      <c r="I1319" s="142" t="str">
        <f t="shared" si="881"/>
        <v>100 percent up in Floian international stage</v>
      </c>
      <c r="J1319" s="7">
        <v>0.97058823529411942</v>
      </c>
      <c r="K1319" s="129">
        <f t="shared" si="882"/>
        <v>97.1</v>
      </c>
      <c r="L1319" s="8" t="s">
        <v>164</v>
      </c>
      <c r="M1319" s="5" t="s">
        <v>82</v>
      </c>
      <c r="N1319" s="5" t="s">
        <v>82</v>
      </c>
      <c r="O1319" s="83"/>
      <c r="P1319" s="20">
        <v>1</v>
      </c>
      <c r="Q1319" s="143">
        <f t="shared" si="883"/>
        <v>100</v>
      </c>
      <c r="R1319" s="21" t="s">
        <v>164</v>
      </c>
      <c r="S1319" s="8" t="s">
        <v>272</v>
      </c>
      <c r="T1319" s="7" t="s">
        <v>226</v>
      </c>
    </row>
    <row r="1320" spans="1:20" ht="28">
      <c r="A1320" s="116" t="s">
        <v>1209</v>
      </c>
      <c r="B1320" s="117" t="s">
        <v>1322</v>
      </c>
      <c r="C1320" s="5"/>
      <c r="D1320" s="5" t="s">
        <v>82</v>
      </c>
      <c r="E1320" s="132">
        <f t="shared" si="930"/>
        <v>472.28961764705883</v>
      </c>
      <c r="F1320" s="139">
        <f>$O$1343-P1320*($O$1343-$O$1318)</f>
        <v>471.26330000000002</v>
      </c>
      <c r="G1320" s="149"/>
      <c r="H1320" s="82" t="str">
        <f t="shared" si="880"/>
        <v>82.4 percent up in Floian international stage</v>
      </c>
      <c r="I1320" s="142" t="str">
        <f t="shared" si="881"/>
        <v>100 percent up in Floian international stage</v>
      </c>
      <c r="J1320" s="7">
        <v>0.82352941176470784</v>
      </c>
      <c r="K1320" s="129">
        <f t="shared" si="882"/>
        <v>82.4</v>
      </c>
      <c r="L1320" s="8" t="s">
        <v>164</v>
      </c>
      <c r="M1320" s="5" t="s">
        <v>82</v>
      </c>
      <c r="N1320" s="5" t="s">
        <v>82</v>
      </c>
      <c r="O1320" s="83"/>
      <c r="P1320" s="20">
        <v>1</v>
      </c>
      <c r="Q1320" s="143">
        <f t="shared" si="883"/>
        <v>100</v>
      </c>
      <c r="R1320" s="21" t="s">
        <v>164</v>
      </c>
      <c r="S1320" s="8" t="s">
        <v>272</v>
      </c>
      <c r="T1320" s="7" t="s">
        <v>226</v>
      </c>
    </row>
    <row r="1321" spans="1:20" ht="28">
      <c r="A1321" s="116" t="s">
        <v>1209</v>
      </c>
      <c r="B1321" s="117" t="s">
        <v>1323</v>
      </c>
      <c r="C1321" s="5"/>
      <c r="D1321" s="5" t="s">
        <v>368</v>
      </c>
      <c r="E1321" s="132">
        <f t="shared" si="930"/>
        <v>472.28961764705883</v>
      </c>
      <c r="F1321" s="139">
        <f>$O$1318-P1321*($O$1318-$O$1292)</f>
        <v>470.86474864864869</v>
      </c>
      <c r="G1321" s="149"/>
      <c r="H1321" s="82" t="str">
        <f t="shared" si="880"/>
        <v>82.4 percent up in Floian international stage</v>
      </c>
      <c r="I1321" s="142" t="str">
        <f t="shared" si="881"/>
        <v>21.6 percent up in Dapingian international stage</v>
      </c>
      <c r="J1321" s="7">
        <v>0.82352941176470784</v>
      </c>
      <c r="K1321" s="129">
        <f t="shared" si="882"/>
        <v>82.4</v>
      </c>
      <c r="L1321" s="8" t="s">
        <v>164</v>
      </c>
      <c r="M1321" s="5" t="s">
        <v>82</v>
      </c>
      <c r="N1321" s="5" t="s">
        <v>82</v>
      </c>
      <c r="O1321" s="83"/>
      <c r="P1321" s="20">
        <v>0.21621621621621995</v>
      </c>
      <c r="Q1321" s="143">
        <f t="shared" si="883"/>
        <v>21.6</v>
      </c>
      <c r="R1321" s="21" t="s">
        <v>163</v>
      </c>
      <c r="S1321" s="8" t="s">
        <v>246</v>
      </c>
      <c r="T1321" s="7" t="s">
        <v>226</v>
      </c>
    </row>
    <row r="1322" spans="1:20" ht="28">
      <c r="A1322" s="116" t="s">
        <v>1209</v>
      </c>
      <c r="B1322" s="117" t="s">
        <v>1324</v>
      </c>
      <c r="C1322" s="5"/>
      <c r="D1322" s="5" t="s">
        <v>264</v>
      </c>
      <c r="E1322" s="132">
        <f t="shared" si="930"/>
        <v>472.71724999999998</v>
      </c>
      <c r="F1322" s="139">
        <f t="shared" ref="F1322:F1346" si="931">$O$1343-P1322*($O$1343-$O$1318)</f>
        <v>471.26330000000002</v>
      </c>
      <c r="G1322" s="149"/>
      <c r="H1322" s="82" t="str">
        <f t="shared" si="880"/>
        <v>75 percent up in Floian international stage</v>
      </c>
      <c r="I1322" s="142" t="str">
        <f t="shared" si="881"/>
        <v>100 percent up in Floian international stage</v>
      </c>
      <c r="J1322" s="7">
        <v>0.75000000000000211</v>
      </c>
      <c r="K1322" s="129">
        <f t="shared" si="882"/>
        <v>75</v>
      </c>
      <c r="L1322" s="8" t="s">
        <v>164</v>
      </c>
      <c r="M1322" s="5" t="s">
        <v>82</v>
      </c>
      <c r="N1322" s="5" t="s">
        <v>82</v>
      </c>
      <c r="O1322" s="83"/>
      <c r="P1322" s="20">
        <v>1</v>
      </c>
      <c r="Q1322" s="143">
        <f t="shared" si="883"/>
        <v>100</v>
      </c>
      <c r="R1322" s="21" t="s">
        <v>164</v>
      </c>
      <c r="S1322" s="8" t="s">
        <v>272</v>
      </c>
      <c r="T1322" s="7" t="s">
        <v>226</v>
      </c>
    </row>
    <row r="1323" spans="1:20" ht="28">
      <c r="A1323" s="116" t="s">
        <v>1209</v>
      </c>
      <c r="B1323" s="117" t="s">
        <v>1325</v>
      </c>
      <c r="C1323" s="5"/>
      <c r="D1323" s="5" t="s">
        <v>368</v>
      </c>
      <c r="E1323" s="132">
        <f t="shared" si="930"/>
        <v>474.00014705882353</v>
      </c>
      <c r="F1323" s="139">
        <f t="shared" si="931"/>
        <v>472.28961764705883</v>
      </c>
      <c r="G1323" s="149"/>
      <c r="H1323" s="82" t="str">
        <f t="shared" si="880"/>
        <v>52.9 percent up in Floian international stage</v>
      </c>
      <c r="I1323" s="142" t="str">
        <f t="shared" si="881"/>
        <v>82.4 percent up in Floian international stage</v>
      </c>
      <c r="J1323" s="7">
        <v>0.5294117647058848</v>
      </c>
      <c r="K1323" s="129">
        <f t="shared" si="882"/>
        <v>52.9</v>
      </c>
      <c r="L1323" s="8" t="s">
        <v>164</v>
      </c>
      <c r="M1323" s="5" t="s">
        <v>82</v>
      </c>
      <c r="N1323" s="5" t="s">
        <v>82</v>
      </c>
      <c r="O1323" s="83"/>
      <c r="P1323" s="20">
        <v>0.82352941176470784</v>
      </c>
      <c r="Q1323" s="143">
        <f t="shared" si="883"/>
        <v>82.4</v>
      </c>
      <c r="R1323" s="21" t="s">
        <v>164</v>
      </c>
      <c r="S1323" s="8" t="s">
        <v>259</v>
      </c>
      <c r="T1323" s="7">
        <v>0.29411764705882959</v>
      </c>
    </row>
    <row r="1324" spans="1:20" ht="28">
      <c r="A1324" s="116" t="s">
        <v>1209</v>
      </c>
      <c r="B1324" s="117" t="s">
        <v>1326</v>
      </c>
      <c r="C1324" s="5"/>
      <c r="D1324" s="5" t="s">
        <v>82</v>
      </c>
      <c r="E1324" s="132">
        <f t="shared" si="930"/>
        <v>474.00014705882353</v>
      </c>
      <c r="F1324" s="139">
        <f t="shared" si="931"/>
        <v>472.28961764705883</v>
      </c>
      <c r="G1324" s="149"/>
      <c r="H1324" s="82" t="str">
        <f t="shared" si="880"/>
        <v>52.9 percent up in Floian international stage</v>
      </c>
      <c r="I1324" s="142" t="str">
        <f t="shared" si="881"/>
        <v>82.4 percent up in Floian international stage</v>
      </c>
      <c r="J1324" s="7">
        <v>0.5294117647058848</v>
      </c>
      <c r="K1324" s="129">
        <f t="shared" si="882"/>
        <v>52.9</v>
      </c>
      <c r="L1324" s="8" t="s">
        <v>164</v>
      </c>
      <c r="M1324" s="5" t="s">
        <v>82</v>
      </c>
      <c r="N1324" s="5" t="s">
        <v>82</v>
      </c>
      <c r="O1324" s="83"/>
      <c r="P1324" s="20">
        <v>0.82352941176470784</v>
      </c>
      <c r="Q1324" s="143">
        <f t="shared" si="883"/>
        <v>82.4</v>
      </c>
      <c r="R1324" s="21" t="s">
        <v>164</v>
      </c>
      <c r="S1324" s="8" t="s">
        <v>259</v>
      </c>
      <c r="T1324" s="7">
        <v>0.29411764705882959</v>
      </c>
    </row>
    <row r="1325" spans="1:20" ht="28">
      <c r="A1325" s="116" t="s">
        <v>1209</v>
      </c>
      <c r="B1325" s="117" t="s">
        <v>1327</v>
      </c>
      <c r="C1325" s="5"/>
      <c r="D1325" s="5" t="s">
        <v>264</v>
      </c>
      <c r="E1325" s="132">
        <f t="shared" si="930"/>
        <v>474.00014705882353</v>
      </c>
      <c r="F1325" s="139">
        <f t="shared" si="931"/>
        <v>472.71724999999998</v>
      </c>
      <c r="G1325" s="149"/>
      <c r="H1325" s="82" t="str">
        <f t="shared" si="880"/>
        <v>52.9 percent up in Floian international stage</v>
      </c>
      <c r="I1325" s="142" t="str">
        <f t="shared" si="881"/>
        <v>75 percent up in Floian international stage</v>
      </c>
      <c r="J1325" s="7">
        <v>0.5294117647058848</v>
      </c>
      <c r="K1325" s="129">
        <f t="shared" si="882"/>
        <v>52.9</v>
      </c>
      <c r="L1325" s="8" t="s">
        <v>164</v>
      </c>
      <c r="M1325" s="5" t="s">
        <v>82</v>
      </c>
      <c r="N1325" s="5" t="s">
        <v>82</v>
      </c>
      <c r="O1325" s="83"/>
      <c r="P1325" s="20">
        <v>0.75000000000000211</v>
      </c>
      <c r="Q1325" s="143">
        <f t="shared" si="883"/>
        <v>75</v>
      </c>
      <c r="R1325" s="21" t="s">
        <v>164</v>
      </c>
      <c r="S1325" s="8" t="s">
        <v>259</v>
      </c>
      <c r="T1325" s="7">
        <v>0.22058823529412405</v>
      </c>
    </row>
    <row r="1326" spans="1:20" ht="28">
      <c r="A1326" s="116" t="s">
        <v>1209</v>
      </c>
      <c r="B1326" s="118" t="s">
        <v>1328</v>
      </c>
      <c r="C1326" s="5"/>
      <c r="D1326" s="5" t="s">
        <v>244</v>
      </c>
      <c r="E1326" s="132">
        <f t="shared" si="930"/>
        <v>474.85541176470588</v>
      </c>
      <c r="F1326" s="139">
        <f t="shared" si="931"/>
        <v>471.26330000000002</v>
      </c>
      <c r="G1326" s="149"/>
      <c r="H1326" s="82" t="str">
        <f t="shared" si="880"/>
        <v>38.2 percent up in Floian international stage</v>
      </c>
      <c r="I1326" s="142" t="str">
        <f t="shared" si="881"/>
        <v>100 percent up in Floian international stage</v>
      </c>
      <c r="J1326" s="7">
        <v>0.38235294117647334</v>
      </c>
      <c r="K1326" s="129">
        <f t="shared" si="882"/>
        <v>38.200000000000003</v>
      </c>
      <c r="L1326" s="8" t="s">
        <v>164</v>
      </c>
      <c r="M1326" s="5" t="s">
        <v>82</v>
      </c>
      <c r="N1326" s="5" t="s">
        <v>82</v>
      </c>
      <c r="O1326" s="83"/>
      <c r="P1326" s="20">
        <v>1</v>
      </c>
      <c r="Q1326" s="143">
        <f t="shared" si="883"/>
        <v>100</v>
      </c>
      <c r="R1326" s="21" t="s">
        <v>164</v>
      </c>
      <c r="S1326" s="8" t="s">
        <v>272</v>
      </c>
      <c r="T1326" s="7" t="s">
        <v>226</v>
      </c>
    </row>
    <row r="1327" spans="1:20" ht="28">
      <c r="A1327" s="116" t="s">
        <v>1209</v>
      </c>
      <c r="B1327" s="118" t="s">
        <v>1329</v>
      </c>
      <c r="C1327" s="5"/>
      <c r="D1327" s="5" t="s">
        <v>1201</v>
      </c>
      <c r="E1327" s="132">
        <f t="shared" si="930"/>
        <v>475.02646470588235</v>
      </c>
      <c r="F1327" s="139">
        <f t="shared" si="931"/>
        <v>471.26330000000002</v>
      </c>
      <c r="G1327" s="149"/>
      <c r="H1327" s="82" t="str">
        <f t="shared" si="880"/>
        <v>35.3 percent up in Floian international stage</v>
      </c>
      <c r="I1327" s="142" t="str">
        <f t="shared" si="881"/>
        <v>100 percent up in Floian international stage</v>
      </c>
      <c r="J1327" s="7">
        <v>0.35294117647059264</v>
      </c>
      <c r="K1327" s="129">
        <f t="shared" si="882"/>
        <v>35.299999999999997</v>
      </c>
      <c r="L1327" s="8" t="s">
        <v>164</v>
      </c>
      <c r="M1327" s="5" t="s">
        <v>82</v>
      </c>
      <c r="N1327" s="5" t="s">
        <v>82</v>
      </c>
      <c r="O1327" s="83"/>
      <c r="P1327" s="20">
        <v>1</v>
      </c>
      <c r="Q1327" s="143">
        <f t="shared" si="883"/>
        <v>100</v>
      </c>
      <c r="R1327" s="21" t="s">
        <v>164</v>
      </c>
      <c r="S1327" s="8" t="s">
        <v>272</v>
      </c>
      <c r="T1327" s="7" t="s">
        <v>226</v>
      </c>
    </row>
    <row r="1328" spans="1:20" ht="28">
      <c r="A1328" s="116"/>
      <c r="B1328" s="117" t="s">
        <v>1786</v>
      </c>
      <c r="C1328" s="5"/>
      <c r="D1328" s="5"/>
      <c r="E1328" s="132">
        <f t="shared" ref="E1328:E1330" si="932">$O$1343-J1328*($O$1343-$O$1318)</f>
        <v>474.1712</v>
      </c>
      <c r="F1328" s="139">
        <f t="shared" ref="F1328:F1330" si="933">$O$1343-P1328*($O$1343-$O$1318)</f>
        <v>471.26330000000002</v>
      </c>
      <c r="G1328" s="149" t="s">
        <v>1601</v>
      </c>
      <c r="H1328" s="82" t="str">
        <f t="shared" ref="H1328:H1330" si="934">CONCATENATE(K1328," percent up in ",L1328," international stage")</f>
        <v>50 percent up in Floian international stage</v>
      </c>
      <c r="I1328" s="142" t="str">
        <f t="shared" ref="I1328:I1330" si="935">CONCATENATE(Q1328," percent up in ",R1328," international stage")</f>
        <v>100 percent up in Floian international stage</v>
      </c>
      <c r="J1328" s="7">
        <v>0.5</v>
      </c>
      <c r="K1328" s="129">
        <f t="shared" ref="K1328:K1330" si="936">ROUND(J1328*100,1)</f>
        <v>50</v>
      </c>
      <c r="L1328" s="8" t="s">
        <v>164</v>
      </c>
      <c r="M1328" s="5" t="s">
        <v>82</v>
      </c>
      <c r="N1328" s="5" t="s">
        <v>82</v>
      </c>
      <c r="O1328" s="83"/>
      <c r="P1328" s="20">
        <v>1</v>
      </c>
      <c r="Q1328" s="143">
        <f t="shared" ref="Q1328:Q1330" si="937">ROUND(P1328*100,1)</f>
        <v>100</v>
      </c>
      <c r="R1328" s="21" t="s">
        <v>164</v>
      </c>
      <c r="S1328" s="151" t="s">
        <v>1601</v>
      </c>
    </row>
    <row r="1329" spans="1:20" ht="28">
      <c r="A1329" s="116"/>
      <c r="B1329" s="117" t="s">
        <v>1900</v>
      </c>
      <c r="C1329" s="5"/>
      <c r="D1329" s="5"/>
      <c r="E1329" s="132">
        <f t="shared" ref="E1329" si="938">$O$1343-J1329*($O$1343-$O$1318)</f>
        <v>477.07909999999998</v>
      </c>
      <c r="F1329" s="139">
        <f t="shared" ref="F1329" si="939">$O$1343-P1329*($O$1343-$O$1318)</f>
        <v>474.1712</v>
      </c>
      <c r="G1329" s="149" t="s">
        <v>1602</v>
      </c>
      <c r="H1329" s="82" t="str">
        <f t="shared" ref="H1329" si="940">CONCATENATE(K1329," percent up in ",L1329," international stage")</f>
        <v>0 percent up in Floian international stage</v>
      </c>
      <c r="I1329" s="142" t="str">
        <f t="shared" ref="I1329" si="941">CONCATENATE(Q1329," percent up in ",R1329," international stage")</f>
        <v>50 percent up in Floian international stage</v>
      </c>
      <c r="J1329" s="7">
        <v>0</v>
      </c>
      <c r="K1329" s="129">
        <f t="shared" ref="K1329" si="942">ROUND(J1329*100,1)</f>
        <v>0</v>
      </c>
      <c r="L1329" s="8" t="s">
        <v>164</v>
      </c>
      <c r="M1329" s="5" t="s">
        <v>82</v>
      </c>
      <c r="N1329" s="5" t="s">
        <v>82</v>
      </c>
      <c r="O1329" s="83"/>
      <c r="P1329" s="20">
        <v>0.5</v>
      </c>
      <c r="Q1329" s="143">
        <f t="shared" ref="Q1329" si="943">ROUND(P1329*100,1)</f>
        <v>50</v>
      </c>
      <c r="R1329" s="21" t="s">
        <v>164</v>
      </c>
      <c r="S1329" s="151" t="s">
        <v>1602</v>
      </c>
    </row>
    <row r="1330" spans="1:20" ht="28">
      <c r="A1330" s="116"/>
      <c r="B1330" s="117" t="s">
        <v>1787</v>
      </c>
      <c r="C1330" s="5"/>
      <c r="D1330" s="5"/>
      <c r="E1330" s="132">
        <f t="shared" si="932"/>
        <v>477.07909999999998</v>
      </c>
      <c r="F1330" s="139">
        <f t="shared" si="933"/>
        <v>474.1712</v>
      </c>
      <c r="G1330" s="149" t="s">
        <v>1602</v>
      </c>
      <c r="H1330" s="82" t="str">
        <f t="shared" si="934"/>
        <v>0 percent up in Floian international stage</v>
      </c>
      <c r="I1330" s="142" t="str">
        <f t="shared" si="935"/>
        <v>50 percent up in Floian international stage</v>
      </c>
      <c r="J1330" s="7">
        <v>0</v>
      </c>
      <c r="K1330" s="129">
        <f t="shared" si="936"/>
        <v>0</v>
      </c>
      <c r="L1330" s="8" t="s">
        <v>164</v>
      </c>
      <c r="M1330" s="5" t="s">
        <v>82</v>
      </c>
      <c r="N1330" s="5" t="s">
        <v>82</v>
      </c>
      <c r="O1330" s="83"/>
      <c r="P1330" s="20">
        <v>0.5</v>
      </c>
      <c r="Q1330" s="143">
        <f t="shared" si="937"/>
        <v>50</v>
      </c>
      <c r="R1330" s="21" t="s">
        <v>164</v>
      </c>
      <c r="S1330" s="151" t="s">
        <v>1602</v>
      </c>
    </row>
    <row r="1331" spans="1:20" ht="28">
      <c r="A1331" s="116" t="s">
        <v>1209</v>
      </c>
      <c r="B1331" s="117" t="s">
        <v>1330</v>
      </c>
      <c r="C1331" s="5"/>
      <c r="D1331" s="5" t="s">
        <v>82</v>
      </c>
      <c r="E1331" s="132">
        <f t="shared" si="930"/>
        <v>477.07909999999998</v>
      </c>
      <c r="F1331" s="139">
        <f t="shared" si="931"/>
        <v>471.26330000000002</v>
      </c>
      <c r="G1331" s="149"/>
      <c r="H1331" s="82" t="str">
        <f t="shared" si="880"/>
        <v>0 percent up in Floian international stage</v>
      </c>
      <c r="I1331" s="142" t="str">
        <f t="shared" si="881"/>
        <v>100 percent up in Floian international stage</v>
      </c>
      <c r="J1331" s="7">
        <v>0</v>
      </c>
      <c r="K1331" s="129">
        <f t="shared" si="882"/>
        <v>0</v>
      </c>
      <c r="L1331" s="8" t="s">
        <v>164</v>
      </c>
      <c r="M1331" s="5" t="s">
        <v>82</v>
      </c>
      <c r="N1331" s="5" t="s">
        <v>82</v>
      </c>
      <c r="O1331" s="83"/>
      <c r="P1331" s="20">
        <v>1</v>
      </c>
      <c r="Q1331" s="143">
        <f t="shared" si="883"/>
        <v>100</v>
      </c>
      <c r="R1331" s="21" t="s">
        <v>164</v>
      </c>
      <c r="S1331" s="8" t="s">
        <v>232</v>
      </c>
      <c r="T1331" s="7" t="s">
        <v>226</v>
      </c>
    </row>
    <row r="1332" spans="1:20" ht="28">
      <c r="A1332" s="116" t="s">
        <v>1209</v>
      </c>
      <c r="B1332" s="117" t="s">
        <v>1331</v>
      </c>
      <c r="C1332" s="5"/>
      <c r="D1332" s="5" t="s">
        <v>82</v>
      </c>
      <c r="E1332" s="132">
        <f t="shared" si="930"/>
        <v>477.07909999999998</v>
      </c>
      <c r="F1332" s="139">
        <f t="shared" si="931"/>
        <v>471.26330000000002</v>
      </c>
      <c r="G1332" s="149"/>
      <c r="H1332" s="82" t="str">
        <f t="shared" si="880"/>
        <v>0 percent up in Floian international stage</v>
      </c>
      <c r="I1332" s="142" t="str">
        <f t="shared" si="881"/>
        <v>100 percent up in Floian international stage</v>
      </c>
      <c r="J1332" s="7">
        <v>0</v>
      </c>
      <c r="K1332" s="129">
        <f t="shared" si="882"/>
        <v>0</v>
      </c>
      <c r="L1332" s="8" t="s">
        <v>164</v>
      </c>
      <c r="M1332" s="5" t="s">
        <v>82</v>
      </c>
      <c r="N1332" s="5" t="s">
        <v>82</v>
      </c>
      <c r="O1332" s="83"/>
      <c r="P1332" s="20">
        <v>1</v>
      </c>
      <c r="Q1332" s="143">
        <f t="shared" si="883"/>
        <v>100</v>
      </c>
      <c r="R1332" s="21" t="s">
        <v>164</v>
      </c>
      <c r="S1332" s="8" t="s">
        <v>232</v>
      </c>
      <c r="T1332" s="7" t="s">
        <v>226</v>
      </c>
    </row>
    <row r="1333" spans="1:20" ht="28">
      <c r="A1333" s="116" t="s">
        <v>1209</v>
      </c>
      <c r="B1333" s="117" t="s">
        <v>1332</v>
      </c>
      <c r="C1333" s="5"/>
      <c r="D1333" s="5" t="s">
        <v>82</v>
      </c>
      <c r="E1333" s="132">
        <f t="shared" si="930"/>
        <v>477.07909999999998</v>
      </c>
      <c r="F1333" s="139">
        <f t="shared" si="931"/>
        <v>474.00014705882353</v>
      </c>
      <c r="G1333" s="149"/>
      <c r="H1333" s="82" t="str">
        <f t="shared" si="880"/>
        <v>0 percent up in Floian international stage</v>
      </c>
      <c r="I1333" s="142" t="str">
        <f t="shared" si="881"/>
        <v>52.9 percent up in Floian international stage</v>
      </c>
      <c r="J1333" s="7">
        <v>0</v>
      </c>
      <c r="K1333" s="129">
        <f t="shared" si="882"/>
        <v>0</v>
      </c>
      <c r="L1333" s="8" t="s">
        <v>164</v>
      </c>
      <c r="M1333" s="5" t="s">
        <v>82</v>
      </c>
      <c r="N1333" s="5" t="s">
        <v>82</v>
      </c>
      <c r="O1333" s="83"/>
      <c r="P1333" s="20">
        <v>0.5294117647058848</v>
      </c>
      <c r="Q1333" s="143">
        <f t="shared" si="883"/>
        <v>52.9</v>
      </c>
      <c r="R1333" s="21" t="s">
        <v>164</v>
      </c>
      <c r="S1333" s="8" t="s">
        <v>230</v>
      </c>
      <c r="T1333" s="7" t="s">
        <v>226</v>
      </c>
    </row>
    <row r="1334" spans="1:20" ht="28">
      <c r="A1334" s="116" t="s">
        <v>1209</v>
      </c>
      <c r="B1334" s="117" t="s">
        <v>1333</v>
      </c>
      <c r="C1334" s="5"/>
      <c r="D1334" s="5" t="s">
        <v>248</v>
      </c>
      <c r="E1334" s="132">
        <f t="shared" si="930"/>
        <v>477.07909999999998</v>
      </c>
      <c r="F1334" s="139">
        <f t="shared" si="931"/>
        <v>471.43435294117648</v>
      </c>
      <c r="G1334" s="149"/>
      <c r="H1334" s="82" t="str">
        <f t="shared" si="880"/>
        <v>0 percent up in Floian international stage</v>
      </c>
      <c r="I1334" s="142" t="str">
        <f t="shared" si="881"/>
        <v>97.1 percent up in Floian international stage</v>
      </c>
      <c r="J1334" s="7">
        <v>0</v>
      </c>
      <c r="K1334" s="129">
        <f t="shared" si="882"/>
        <v>0</v>
      </c>
      <c r="L1334" s="8" t="s">
        <v>164</v>
      </c>
      <c r="M1334" s="5" t="s">
        <v>82</v>
      </c>
      <c r="N1334" s="5" t="s">
        <v>82</v>
      </c>
      <c r="O1334" s="83"/>
      <c r="P1334" s="20">
        <v>0.97058823529411942</v>
      </c>
      <c r="Q1334" s="143">
        <f t="shared" si="883"/>
        <v>97.1</v>
      </c>
      <c r="R1334" s="21" t="s">
        <v>164</v>
      </c>
      <c r="S1334" s="8" t="s">
        <v>230</v>
      </c>
      <c r="T1334" s="7" t="s">
        <v>226</v>
      </c>
    </row>
    <row r="1335" spans="1:20" ht="28">
      <c r="A1335" s="116" t="s">
        <v>1209</v>
      </c>
      <c r="B1335" s="117" t="s">
        <v>1334</v>
      </c>
      <c r="C1335" s="5"/>
      <c r="D1335" s="5" t="s">
        <v>264</v>
      </c>
      <c r="E1335" s="132">
        <f t="shared" si="930"/>
        <v>477.07909999999998</v>
      </c>
      <c r="F1335" s="139">
        <f t="shared" si="931"/>
        <v>474.00014705882353</v>
      </c>
      <c r="G1335" s="149"/>
      <c r="H1335" s="82" t="str">
        <f t="shared" si="880"/>
        <v>0 percent up in Floian international stage</v>
      </c>
      <c r="I1335" s="142" t="str">
        <f t="shared" si="881"/>
        <v>52.9 percent up in Floian international stage</v>
      </c>
      <c r="J1335" s="7">
        <v>0</v>
      </c>
      <c r="K1335" s="129">
        <f t="shared" si="882"/>
        <v>0</v>
      </c>
      <c r="L1335" s="8" t="s">
        <v>164</v>
      </c>
      <c r="M1335" s="5" t="s">
        <v>82</v>
      </c>
      <c r="N1335" s="5" t="s">
        <v>82</v>
      </c>
      <c r="O1335" s="83"/>
      <c r="P1335" s="20">
        <v>0.5294117647058848</v>
      </c>
      <c r="Q1335" s="143">
        <f t="shared" si="883"/>
        <v>52.9</v>
      </c>
      <c r="R1335" s="21" t="s">
        <v>164</v>
      </c>
      <c r="S1335" s="8" t="s">
        <v>230</v>
      </c>
      <c r="T1335" s="7" t="s">
        <v>226</v>
      </c>
    </row>
    <row r="1336" spans="1:20" ht="28">
      <c r="A1336" s="116" t="s">
        <v>1209</v>
      </c>
      <c r="B1336" s="117" t="s">
        <v>1335</v>
      </c>
      <c r="C1336" s="5"/>
      <c r="D1336" s="5" t="s">
        <v>82</v>
      </c>
      <c r="E1336" s="132">
        <f t="shared" si="930"/>
        <v>477.07909999999998</v>
      </c>
      <c r="F1336" s="139">
        <f t="shared" si="931"/>
        <v>471.26330000000002</v>
      </c>
      <c r="G1336" s="149"/>
      <c r="H1336" s="82" t="str">
        <f t="shared" si="880"/>
        <v>0 percent up in Floian international stage</v>
      </c>
      <c r="I1336" s="142" t="str">
        <f t="shared" si="881"/>
        <v>100 percent up in Floian international stage</v>
      </c>
      <c r="J1336" s="7">
        <v>0</v>
      </c>
      <c r="K1336" s="129">
        <f t="shared" si="882"/>
        <v>0</v>
      </c>
      <c r="L1336" s="8" t="s">
        <v>164</v>
      </c>
      <c r="M1336" s="5" t="s">
        <v>82</v>
      </c>
      <c r="N1336" s="5" t="s">
        <v>82</v>
      </c>
      <c r="O1336" s="83"/>
      <c r="P1336" s="20">
        <v>1</v>
      </c>
      <c r="Q1336" s="143">
        <f t="shared" si="883"/>
        <v>100</v>
      </c>
      <c r="R1336" s="21" t="s">
        <v>164</v>
      </c>
      <c r="S1336" s="8" t="s">
        <v>232</v>
      </c>
      <c r="T1336" s="7" t="s">
        <v>226</v>
      </c>
    </row>
    <row r="1337" spans="1:20" ht="28">
      <c r="A1337" s="116" t="s">
        <v>1209</v>
      </c>
      <c r="B1337" s="118" t="s">
        <v>1336</v>
      </c>
      <c r="C1337" s="5"/>
      <c r="D1337" s="5" t="s">
        <v>82</v>
      </c>
      <c r="E1337" s="132">
        <f t="shared" si="930"/>
        <v>477.07909999999998</v>
      </c>
      <c r="F1337" s="139">
        <f t="shared" si="931"/>
        <v>471.26330000000002</v>
      </c>
      <c r="G1337" s="149"/>
      <c r="H1337" s="82" t="str">
        <f t="shared" si="880"/>
        <v>0 percent up in Floian international stage</v>
      </c>
      <c r="I1337" s="142" t="str">
        <f t="shared" si="881"/>
        <v>100 percent up in Floian international stage</v>
      </c>
      <c r="J1337" s="7">
        <v>0</v>
      </c>
      <c r="K1337" s="129">
        <f t="shared" si="882"/>
        <v>0</v>
      </c>
      <c r="L1337" s="8" t="s">
        <v>164</v>
      </c>
      <c r="M1337" s="5" t="s">
        <v>82</v>
      </c>
      <c r="N1337" s="5" t="s">
        <v>82</v>
      </c>
      <c r="O1337" s="83"/>
      <c r="P1337" s="20">
        <v>1</v>
      </c>
      <c r="Q1337" s="143">
        <f t="shared" si="883"/>
        <v>100</v>
      </c>
      <c r="R1337" s="21" t="s">
        <v>164</v>
      </c>
      <c r="S1337" s="8" t="s">
        <v>232</v>
      </c>
      <c r="T1337" s="7" t="s">
        <v>226</v>
      </c>
    </row>
    <row r="1338" spans="1:20" ht="28">
      <c r="A1338" s="116" t="s">
        <v>1209</v>
      </c>
      <c r="B1338" s="117" t="s">
        <v>1337</v>
      </c>
      <c r="C1338" s="5"/>
      <c r="D1338" s="5" t="s">
        <v>1217</v>
      </c>
      <c r="E1338" s="132">
        <f t="shared" si="930"/>
        <v>477.07909999999998</v>
      </c>
      <c r="F1338" s="139">
        <f t="shared" si="931"/>
        <v>471.26330000000002</v>
      </c>
      <c r="G1338" s="149"/>
      <c r="H1338" s="82" t="str">
        <f t="shared" si="880"/>
        <v>0 percent up in Floian international stage</v>
      </c>
      <c r="I1338" s="142" t="str">
        <f t="shared" si="881"/>
        <v>100 percent up in Floian international stage</v>
      </c>
      <c r="J1338" s="7">
        <v>0</v>
      </c>
      <c r="K1338" s="129">
        <f t="shared" si="882"/>
        <v>0</v>
      </c>
      <c r="L1338" s="8" t="s">
        <v>164</v>
      </c>
      <c r="M1338" s="5" t="s">
        <v>82</v>
      </c>
      <c r="N1338" s="5" t="s">
        <v>82</v>
      </c>
      <c r="O1338" s="83"/>
      <c r="P1338" s="20">
        <v>1</v>
      </c>
      <c r="Q1338" s="143">
        <f t="shared" si="883"/>
        <v>100</v>
      </c>
      <c r="R1338" s="21" t="s">
        <v>164</v>
      </c>
      <c r="S1338" s="8" t="s">
        <v>232</v>
      </c>
      <c r="T1338" s="7" t="s">
        <v>226</v>
      </c>
    </row>
    <row r="1339" spans="1:20" ht="28">
      <c r="A1339" s="116" t="s">
        <v>1209</v>
      </c>
      <c r="B1339" s="118" t="s">
        <v>1338</v>
      </c>
      <c r="C1339" s="5"/>
      <c r="D1339" s="5" t="s">
        <v>248</v>
      </c>
      <c r="E1339" s="132">
        <f t="shared" si="930"/>
        <v>477.07909999999998</v>
      </c>
      <c r="F1339" s="139">
        <f t="shared" si="931"/>
        <v>472.28961764705883</v>
      </c>
      <c r="G1339" s="149"/>
      <c r="H1339" s="82" t="str">
        <f t="shared" si="880"/>
        <v>0 percent up in Floian international stage</v>
      </c>
      <c r="I1339" s="142" t="str">
        <f t="shared" si="881"/>
        <v>82.4 percent up in Floian international stage</v>
      </c>
      <c r="J1339" s="7">
        <v>0</v>
      </c>
      <c r="K1339" s="129">
        <f t="shared" si="882"/>
        <v>0</v>
      </c>
      <c r="L1339" s="8" t="s">
        <v>164</v>
      </c>
      <c r="M1339" s="5" t="s">
        <v>82</v>
      </c>
      <c r="N1339" s="5" t="s">
        <v>82</v>
      </c>
      <c r="O1339" s="83"/>
      <c r="P1339" s="20">
        <v>0.82352941176470784</v>
      </c>
      <c r="Q1339" s="143">
        <f t="shared" si="883"/>
        <v>82.4</v>
      </c>
      <c r="R1339" s="21" t="s">
        <v>164</v>
      </c>
      <c r="S1339" s="8" t="s">
        <v>230</v>
      </c>
      <c r="T1339" s="7" t="s">
        <v>226</v>
      </c>
    </row>
    <row r="1340" spans="1:20" ht="34">
      <c r="A1340" s="116"/>
      <c r="B1340" s="118" t="s">
        <v>1937</v>
      </c>
      <c r="C1340" s="5"/>
      <c r="D1340" s="5"/>
      <c r="E1340" s="132">
        <f t="shared" ref="E1340:E1342" si="944">$O$1343-J1340*($O$1343-$O$1318)</f>
        <v>477.07909999999998</v>
      </c>
      <c r="F1340" s="139">
        <f t="shared" ref="F1340:F1342" si="945">$O$1343-P1340*($O$1343-$O$1318)</f>
        <v>471.26330000000002</v>
      </c>
      <c r="G1340" s="149"/>
      <c r="H1340" s="82" t="str">
        <f t="shared" ref="H1340:H1342" si="946">CONCATENATE(K1340," percent up in ",L1340," international stage")</f>
        <v>0 percent up in Floian international stage</v>
      </c>
      <c r="I1340" s="142" t="str">
        <f t="shared" ref="I1340:I1342" si="947">CONCATENATE(Q1340," percent up in ",R1340," international stage")</f>
        <v>100 percent up in Floian international stage</v>
      </c>
      <c r="J1340" s="7">
        <v>0</v>
      </c>
      <c r="K1340" s="129">
        <f t="shared" ref="K1340:K1342" si="948">ROUND(J1340*100,1)</f>
        <v>0</v>
      </c>
      <c r="L1340" s="8" t="s">
        <v>164</v>
      </c>
      <c r="M1340" s="5"/>
      <c r="O1340" s="83"/>
      <c r="P1340" s="20">
        <v>1</v>
      </c>
      <c r="Q1340" s="143">
        <f t="shared" ref="Q1340:Q1342" si="949">ROUND(P1340*100,1)</f>
        <v>100</v>
      </c>
      <c r="R1340" s="21" t="s">
        <v>164</v>
      </c>
      <c r="S1340" s="8" t="s">
        <v>1938</v>
      </c>
    </row>
    <row r="1341" spans="1:20" ht="28">
      <c r="A1341" s="116"/>
      <c r="B1341" s="118" t="s">
        <v>1978</v>
      </c>
      <c r="C1341" s="5"/>
      <c r="D1341" s="5"/>
      <c r="E1341" s="132">
        <f t="shared" si="944"/>
        <v>474.1712</v>
      </c>
      <c r="F1341" s="139">
        <f t="shared" si="945"/>
        <v>471.26330000000002</v>
      </c>
      <c r="G1341" s="149" t="s">
        <v>1601</v>
      </c>
      <c r="H1341" s="82" t="str">
        <f t="shared" si="946"/>
        <v>50 percent up in Floian international stage</v>
      </c>
      <c r="I1341" s="142" t="str">
        <f t="shared" si="947"/>
        <v>100 percent up in Floian international stage</v>
      </c>
      <c r="J1341" s="7">
        <v>0.5</v>
      </c>
      <c r="K1341" s="129">
        <f t="shared" si="948"/>
        <v>50</v>
      </c>
      <c r="L1341" s="8" t="s">
        <v>164</v>
      </c>
      <c r="M1341" s="5"/>
      <c r="O1341" s="83"/>
      <c r="P1341" s="20">
        <v>1</v>
      </c>
      <c r="Q1341" s="143">
        <f t="shared" si="949"/>
        <v>100</v>
      </c>
      <c r="R1341" s="21" t="s">
        <v>164</v>
      </c>
      <c r="S1341" s="150" t="s">
        <v>1601</v>
      </c>
    </row>
    <row r="1342" spans="1:20" ht="28">
      <c r="A1342" s="116"/>
      <c r="B1342" s="118" t="s">
        <v>1979</v>
      </c>
      <c r="C1342" s="5"/>
      <c r="D1342" s="5"/>
      <c r="E1342" s="132">
        <f t="shared" si="944"/>
        <v>477.07909999999998</v>
      </c>
      <c r="F1342" s="139">
        <f t="shared" si="945"/>
        <v>474.1712</v>
      </c>
      <c r="G1342" s="149" t="s">
        <v>1602</v>
      </c>
      <c r="H1342" s="82" t="str">
        <f t="shared" si="946"/>
        <v>0 percent up in Floian international stage</v>
      </c>
      <c r="I1342" s="142" t="str">
        <f t="shared" si="947"/>
        <v>50 percent up in Floian international stage</v>
      </c>
      <c r="J1342" s="7">
        <v>0</v>
      </c>
      <c r="K1342" s="129">
        <f t="shared" si="948"/>
        <v>0</v>
      </c>
      <c r="L1342" s="8" t="s">
        <v>164</v>
      </c>
      <c r="M1342" s="5"/>
      <c r="O1342" s="83"/>
      <c r="P1342" s="20">
        <v>0.5</v>
      </c>
      <c r="Q1342" s="143">
        <f t="shared" si="949"/>
        <v>50</v>
      </c>
      <c r="R1342" s="21" t="s">
        <v>164</v>
      </c>
      <c r="S1342" s="150" t="s">
        <v>1602</v>
      </c>
    </row>
    <row r="1343" spans="1:20" ht="28">
      <c r="A1343" s="116" t="s">
        <v>1209</v>
      </c>
      <c r="B1343" s="117" t="s">
        <v>164</v>
      </c>
      <c r="C1343" s="135"/>
      <c r="D1343" s="135" t="s">
        <v>222</v>
      </c>
      <c r="E1343" s="132">
        <f t="shared" si="930"/>
        <v>477.07909999999998</v>
      </c>
      <c r="F1343" s="139">
        <f t="shared" si="931"/>
        <v>471.26330000000002</v>
      </c>
      <c r="G1343" s="149"/>
      <c r="H1343" s="82" t="str">
        <f t="shared" si="880"/>
        <v>0 percent up in Floian international stage</v>
      </c>
      <c r="I1343" s="142" t="str">
        <f t="shared" si="881"/>
        <v>100 percent up in Floian international stage</v>
      </c>
      <c r="J1343" s="7">
        <v>0</v>
      </c>
      <c r="K1343" s="129">
        <f t="shared" si="882"/>
        <v>0</v>
      </c>
      <c r="L1343" s="8" t="s">
        <v>164</v>
      </c>
      <c r="M1343" s="5" t="s">
        <v>224</v>
      </c>
      <c r="N1343" s="5" t="s">
        <v>1339</v>
      </c>
      <c r="O1343" s="84">
        <f>Master_Chronostrat!I151</f>
        <v>477.07909999999998</v>
      </c>
      <c r="P1343" s="20">
        <v>1</v>
      </c>
      <c r="Q1343" s="143">
        <f t="shared" si="883"/>
        <v>100</v>
      </c>
      <c r="R1343" s="21" t="s">
        <v>164</v>
      </c>
      <c r="S1343" s="8" t="s">
        <v>224</v>
      </c>
      <c r="T1343" s="7" t="s">
        <v>226</v>
      </c>
    </row>
    <row r="1344" spans="1:20" ht="28">
      <c r="A1344" s="116" t="s">
        <v>1209</v>
      </c>
      <c r="B1344" s="117" t="s">
        <v>1340</v>
      </c>
      <c r="C1344" s="5"/>
      <c r="D1344" s="5" t="s">
        <v>368</v>
      </c>
      <c r="E1344" s="132">
        <f t="shared" ref="E1344:E1371" si="950">$O$1371-J1344*($O$1371-$O$1343)</f>
        <v>480.5039515463917</v>
      </c>
      <c r="F1344" s="139">
        <f t="shared" si="931"/>
        <v>474.00014705882353</v>
      </c>
      <c r="G1344" s="149"/>
      <c r="H1344" s="82" t="str">
        <f t="shared" si="880"/>
        <v>64.9 percent up in Tremadocian international stage</v>
      </c>
      <c r="I1344" s="142" t="str">
        <f t="shared" si="881"/>
        <v>52.9 percent up in Floian international stage</v>
      </c>
      <c r="J1344" s="7">
        <v>0.64948453608247614</v>
      </c>
      <c r="K1344" s="129">
        <f t="shared" si="882"/>
        <v>64.900000000000006</v>
      </c>
      <c r="L1344" s="8" t="s">
        <v>166</v>
      </c>
      <c r="M1344" s="5" t="s">
        <v>82</v>
      </c>
      <c r="N1344" s="5" t="s">
        <v>82</v>
      </c>
      <c r="O1344" s="83"/>
      <c r="P1344" s="20">
        <v>0.5294117647058848</v>
      </c>
      <c r="Q1344" s="143">
        <f t="shared" si="883"/>
        <v>52.9</v>
      </c>
      <c r="R1344" s="21" t="s">
        <v>164</v>
      </c>
      <c r="S1344" s="8" t="s">
        <v>246</v>
      </c>
      <c r="T1344" s="7" t="s">
        <v>226</v>
      </c>
    </row>
    <row r="1345" spans="1:20" ht="28">
      <c r="A1345" s="116" t="s">
        <v>1209</v>
      </c>
      <c r="B1345" s="118" t="s">
        <v>1341</v>
      </c>
      <c r="C1345" s="5"/>
      <c r="D1345" s="5" t="s">
        <v>244</v>
      </c>
      <c r="E1345" s="132">
        <f t="shared" si="950"/>
        <v>482.21637731958759</v>
      </c>
      <c r="F1345" s="139">
        <f t="shared" si="931"/>
        <v>471.26330000000002</v>
      </c>
      <c r="G1345" s="149"/>
      <c r="H1345" s="82" t="str">
        <f t="shared" si="880"/>
        <v>47.4 percent up in Tremadocian international stage</v>
      </c>
      <c r="I1345" s="142" t="str">
        <f t="shared" si="881"/>
        <v>100 percent up in Floian international stage</v>
      </c>
      <c r="J1345" s="7">
        <v>0.47422680412371421</v>
      </c>
      <c r="K1345" s="129">
        <f t="shared" si="882"/>
        <v>47.4</v>
      </c>
      <c r="L1345" s="8" t="s">
        <v>166</v>
      </c>
      <c r="M1345" s="5" t="s">
        <v>82</v>
      </c>
      <c r="N1345" s="5" t="s">
        <v>82</v>
      </c>
      <c r="O1345" s="83"/>
      <c r="P1345" s="20">
        <v>1</v>
      </c>
      <c r="Q1345" s="143">
        <f t="shared" si="883"/>
        <v>100</v>
      </c>
      <c r="R1345" s="21" t="s">
        <v>164</v>
      </c>
      <c r="S1345" s="8" t="s">
        <v>246</v>
      </c>
      <c r="T1345" s="7" t="s">
        <v>226</v>
      </c>
    </row>
    <row r="1346" spans="1:20" ht="28">
      <c r="A1346" s="116" t="s">
        <v>1209</v>
      </c>
      <c r="B1346" s="118" t="s">
        <v>1342</v>
      </c>
      <c r="C1346" s="5"/>
      <c r="D1346" s="5" t="s">
        <v>1201</v>
      </c>
      <c r="E1346" s="132">
        <f t="shared" si="950"/>
        <v>482.72003195876289</v>
      </c>
      <c r="F1346" s="139">
        <f t="shared" si="931"/>
        <v>475.02646470588235</v>
      </c>
      <c r="G1346" s="149"/>
      <c r="H1346" s="82" t="str">
        <f t="shared" si="880"/>
        <v>42.3 percent up in Tremadocian international stage</v>
      </c>
      <c r="I1346" s="142" t="str">
        <f t="shared" si="881"/>
        <v>35.3 percent up in Floian international stage</v>
      </c>
      <c r="J1346" s="7">
        <v>0.42268041237113685</v>
      </c>
      <c r="K1346" s="129">
        <f t="shared" si="882"/>
        <v>42.3</v>
      </c>
      <c r="L1346" s="8" t="s">
        <v>166</v>
      </c>
      <c r="M1346" s="5" t="s">
        <v>82</v>
      </c>
      <c r="N1346" s="5" t="s">
        <v>82</v>
      </c>
      <c r="O1346" s="83"/>
      <c r="P1346" s="20">
        <v>0.35294117647059264</v>
      </c>
      <c r="Q1346" s="143">
        <f t="shared" si="883"/>
        <v>35.299999999999997</v>
      </c>
      <c r="R1346" s="21" t="s">
        <v>164</v>
      </c>
      <c r="S1346" s="8" t="s">
        <v>246</v>
      </c>
      <c r="T1346" s="7" t="s">
        <v>226</v>
      </c>
    </row>
    <row r="1347" spans="1:20" ht="28">
      <c r="A1347" s="116" t="s">
        <v>1209</v>
      </c>
      <c r="B1347" s="117" t="s">
        <v>1343</v>
      </c>
      <c r="C1347" s="5"/>
      <c r="D1347" s="5" t="s">
        <v>264</v>
      </c>
      <c r="E1347" s="132">
        <f t="shared" si="950"/>
        <v>484.53318865979384</v>
      </c>
      <c r="F1347" s="139">
        <f>$O$1371-P1347*($O$1371-$O$1343)</f>
        <v>477.07909999999998</v>
      </c>
      <c r="G1347" s="149"/>
      <c r="H1347" s="82" t="str">
        <f t="shared" si="880"/>
        <v>23.7 percent up in Tremadocian international stage</v>
      </c>
      <c r="I1347" s="142" t="str">
        <f t="shared" si="881"/>
        <v>100 percent up in Tremadocian international stage</v>
      </c>
      <c r="J1347" s="7">
        <v>0.23711340206185716</v>
      </c>
      <c r="K1347" s="129">
        <f t="shared" si="882"/>
        <v>23.7</v>
      </c>
      <c r="L1347" s="8" t="s">
        <v>166</v>
      </c>
      <c r="M1347" s="5" t="s">
        <v>82</v>
      </c>
      <c r="N1347" s="5" t="s">
        <v>82</v>
      </c>
      <c r="O1347" s="83"/>
      <c r="P1347" s="20">
        <v>1</v>
      </c>
      <c r="Q1347" s="143">
        <f t="shared" si="883"/>
        <v>100</v>
      </c>
      <c r="R1347" s="21" t="s">
        <v>166</v>
      </c>
      <c r="S1347" s="8" t="s">
        <v>272</v>
      </c>
      <c r="T1347" s="7" t="s">
        <v>226</v>
      </c>
    </row>
    <row r="1348" spans="1:20" ht="28">
      <c r="A1348" s="116" t="s">
        <v>1209</v>
      </c>
      <c r="B1348" s="118" t="s">
        <v>1344</v>
      </c>
      <c r="C1348" s="5"/>
      <c r="D1348" s="5" t="s">
        <v>244</v>
      </c>
      <c r="E1348" s="132">
        <f t="shared" si="950"/>
        <v>484.53318865979384</v>
      </c>
      <c r="F1348" s="139">
        <f>$O$1371-P1348*($O$1371-$O$1343)</f>
        <v>482.21637731958759</v>
      </c>
      <c r="G1348" s="149"/>
      <c r="H1348" s="82" t="str">
        <f t="shared" si="880"/>
        <v>23.7 percent up in Tremadocian international stage</v>
      </c>
      <c r="I1348" s="142" t="str">
        <f t="shared" si="881"/>
        <v>47.4 percent up in Tremadocian international stage</v>
      </c>
      <c r="J1348" s="7">
        <v>0.23711340206185716</v>
      </c>
      <c r="K1348" s="129">
        <f t="shared" si="882"/>
        <v>23.7</v>
      </c>
      <c r="L1348" s="8" t="s">
        <v>166</v>
      </c>
      <c r="M1348" s="5" t="s">
        <v>82</v>
      </c>
      <c r="N1348" s="5" t="s">
        <v>82</v>
      </c>
      <c r="O1348" s="83"/>
      <c r="P1348" s="20">
        <v>0.47422680412371426</v>
      </c>
      <c r="Q1348" s="143">
        <f t="shared" si="883"/>
        <v>47.4</v>
      </c>
      <c r="R1348" s="21" t="s">
        <v>166</v>
      </c>
      <c r="S1348" s="8" t="s">
        <v>259</v>
      </c>
      <c r="T1348" s="7">
        <v>0.23711340206185863</v>
      </c>
    </row>
    <row r="1349" spans="1:20" ht="28">
      <c r="A1349" s="116" t="s">
        <v>1209</v>
      </c>
      <c r="B1349" s="118" t="s">
        <v>1345</v>
      </c>
      <c r="C1349" s="5"/>
      <c r="D1349" s="5" t="s">
        <v>1201</v>
      </c>
      <c r="E1349" s="132">
        <f t="shared" si="950"/>
        <v>484.53318865979384</v>
      </c>
      <c r="F1349" s="139">
        <f>$O$1371-P1349*($O$1371-$O$1343)</f>
        <v>482.72003195876289</v>
      </c>
      <c r="G1349" s="149"/>
      <c r="H1349" s="82" t="str">
        <f t="shared" si="880"/>
        <v>23.7 percent up in Tremadocian international stage</v>
      </c>
      <c r="I1349" s="142" t="str">
        <f t="shared" si="881"/>
        <v>42.3 percent up in Tremadocian international stage</v>
      </c>
      <c r="J1349" s="7">
        <v>0.23711340206185716</v>
      </c>
      <c r="K1349" s="129">
        <f t="shared" si="882"/>
        <v>23.7</v>
      </c>
      <c r="L1349" s="8" t="s">
        <v>166</v>
      </c>
      <c r="M1349" s="5" t="s">
        <v>82</v>
      </c>
      <c r="N1349" s="5" t="s">
        <v>82</v>
      </c>
      <c r="O1349" s="83"/>
      <c r="P1349" s="20">
        <v>0.42268041237113685</v>
      </c>
      <c r="Q1349" s="143">
        <f t="shared" si="883"/>
        <v>42.3</v>
      </c>
      <c r="R1349" s="21" t="s">
        <v>166</v>
      </c>
      <c r="S1349" s="8" t="s">
        <v>259</v>
      </c>
      <c r="T1349" s="7">
        <v>0.18556701030927841</v>
      </c>
    </row>
    <row r="1350" spans="1:20" ht="28">
      <c r="A1350" s="116"/>
      <c r="B1350" s="117" t="s">
        <v>2191</v>
      </c>
      <c r="C1350" s="5"/>
      <c r="D1350" s="5"/>
      <c r="E1350" s="132">
        <f t="shared" ref="E1350" si="951">$O$1343-J1350*($O$1343-$O$1318)</f>
        <v>477.07909999999998</v>
      </c>
      <c r="F1350" s="139">
        <f t="shared" ref="F1350" si="952">$O$1343-P1350*($O$1343-$O$1318)</f>
        <v>471.26330000000002</v>
      </c>
      <c r="G1350" s="149" t="s">
        <v>2195</v>
      </c>
      <c r="H1350" s="82" t="str">
        <f t="shared" ref="H1350:H1352" si="953">CONCATENATE(K1350," percent up in ",L1350," international stage")</f>
        <v>0 percent up in Floian international stage</v>
      </c>
      <c r="I1350" s="142" t="str">
        <f t="shared" ref="I1350:I1352" si="954">CONCATENATE(Q1350," percent up in ",R1350," international stage")</f>
        <v>100 percent up in Floian international stage</v>
      </c>
      <c r="J1350" s="7">
        <v>0</v>
      </c>
      <c r="K1350" s="129">
        <f t="shared" ref="K1350:K1352" si="955">ROUND(J1350*100,1)</f>
        <v>0</v>
      </c>
      <c r="L1350" s="8" t="s">
        <v>164</v>
      </c>
      <c r="M1350" s="5"/>
      <c r="O1350" s="83"/>
      <c r="P1350" s="20">
        <v>1</v>
      </c>
      <c r="Q1350" s="143">
        <f t="shared" ref="Q1350:Q1352" si="956">ROUND(P1350*100,1)</f>
        <v>100</v>
      </c>
      <c r="R1350" s="21" t="s">
        <v>164</v>
      </c>
      <c r="S1350" s="8"/>
    </row>
    <row r="1351" spans="1:20" ht="28">
      <c r="A1351" s="116"/>
      <c r="B1351" s="117" t="s">
        <v>2192</v>
      </c>
      <c r="C1351" s="5"/>
      <c r="D1351" s="5"/>
      <c r="E1351" s="132">
        <f t="shared" ref="E1351" si="957">$O$1371-J1351*($O$1371-$O$1343)</f>
        <v>481.96455000000003</v>
      </c>
      <c r="F1351" s="139">
        <f t="shared" ref="F1351" si="958">$O$1371-P1351*($O$1371-$O$1343)</f>
        <v>477.07909999999998</v>
      </c>
      <c r="G1351" s="149" t="s">
        <v>2194</v>
      </c>
      <c r="H1351" s="82" t="str">
        <f t="shared" si="953"/>
        <v>50 percent up in Tremadocian international stage</v>
      </c>
      <c r="I1351" s="142" t="str">
        <f t="shared" si="954"/>
        <v>100 percent up in Tremadocian international stage</v>
      </c>
      <c r="J1351" s="7">
        <v>0.5</v>
      </c>
      <c r="K1351" s="129">
        <f t="shared" si="955"/>
        <v>50</v>
      </c>
      <c r="L1351" s="8" t="s">
        <v>166</v>
      </c>
      <c r="M1351" s="5" t="s">
        <v>82</v>
      </c>
      <c r="N1351" s="5" t="s">
        <v>82</v>
      </c>
      <c r="O1351" s="83"/>
      <c r="P1351" s="20">
        <v>1</v>
      </c>
      <c r="Q1351" s="143">
        <f t="shared" si="956"/>
        <v>100</v>
      </c>
      <c r="R1351" s="21" t="s">
        <v>166</v>
      </c>
      <c r="S1351" s="8"/>
    </row>
    <row r="1352" spans="1:20" ht="28">
      <c r="A1352" s="116"/>
      <c r="B1352" s="117" t="s">
        <v>2190</v>
      </c>
      <c r="C1352" s="5"/>
      <c r="D1352" s="5"/>
      <c r="E1352" s="132">
        <f t="shared" ref="E1352" si="959">$O$1371-J1352*($O$1371-$O$1343)</f>
        <v>486.85</v>
      </c>
      <c r="F1352" s="139">
        <f t="shared" ref="F1352" si="960">$O$1371-P1352*($O$1371-$O$1343)</f>
        <v>481.96455000000003</v>
      </c>
      <c r="G1352" s="149" t="s">
        <v>2193</v>
      </c>
      <c r="H1352" s="82" t="str">
        <f t="shared" si="953"/>
        <v>0 percent up in Tremadocian international stage</v>
      </c>
      <c r="I1352" s="142" t="str">
        <f t="shared" si="954"/>
        <v>50 percent up in Tremadocian international stage</v>
      </c>
      <c r="J1352" s="7">
        <v>0</v>
      </c>
      <c r="K1352" s="129">
        <f t="shared" si="955"/>
        <v>0</v>
      </c>
      <c r="L1352" s="8" t="s">
        <v>166</v>
      </c>
      <c r="M1352" s="5" t="s">
        <v>82</v>
      </c>
      <c r="N1352" s="5" t="s">
        <v>82</v>
      </c>
      <c r="O1352" s="83"/>
      <c r="P1352" s="20">
        <v>0.5</v>
      </c>
      <c r="Q1352" s="143">
        <f t="shared" si="956"/>
        <v>50</v>
      </c>
      <c r="R1352" s="21" t="s">
        <v>166</v>
      </c>
      <c r="S1352" s="8"/>
    </row>
    <row r="1353" spans="1:20" ht="28">
      <c r="A1353" s="116" t="s">
        <v>1209</v>
      </c>
      <c r="B1353" s="117" t="s">
        <v>1346</v>
      </c>
      <c r="C1353" s="5"/>
      <c r="D1353" s="5" t="s">
        <v>244</v>
      </c>
      <c r="E1353" s="132">
        <f t="shared" si="950"/>
        <v>486.85</v>
      </c>
      <c r="F1353" s="139">
        <f>$O$1343-P1353*($O$1343-$O$1318)</f>
        <v>471.26330000000002</v>
      </c>
      <c r="G1353" s="149"/>
      <c r="H1353" s="82" t="str">
        <f t="shared" si="880"/>
        <v>0 percent up in Tremadocian international stage</v>
      </c>
      <c r="I1353" s="142" t="str">
        <f t="shared" si="881"/>
        <v>100 percent up in Floian international stage</v>
      </c>
      <c r="J1353" s="7">
        <v>0</v>
      </c>
      <c r="K1353" s="129">
        <f t="shared" si="882"/>
        <v>0</v>
      </c>
      <c r="L1353" s="8" t="s">
        <v>166</v>
      </c>
      <c r="M1353" s="5" t="s">
        <v>82</v>
      </c>
      <c r="N1353" s="5" t="s">
        <v>82</v>
      </c>
      <c r="O1353" s="83"/>
      <c r="P1353" s="20">
        <v>1</v>
      </c>
      <c r="Q1353" s="143">
        <f t="shared" si="883"/>
        <v>100</v>
      </c>
      <c r="R1353" s="21" t="s">
        <v>164</v>
      </c>
      <c r="S1353" s="8" t="s">
        <v>232</v>
      </c>
      <c r="T1353" s="7" t="s">
        <v>226</v>
      </c>
    </row>
    <row r="1354" spans="1:20" ht="28">
      <c r="A1354" s="116" t="s">
        <v>1209</v>
      </c>
      <c r="B1354" s="117" t="s">
        <v>1347</v>
      </c>
      <c r="C1354" s="5"/>
      <c r="D1354" s="5" t="s">
        <v>264</v>
      </c>
      <c r="E1354" s="132">
        <f t="shared" si="950"/>
        <v>486.85</v>
      </c>
      <c r="F1354" s="139">
        <f t="shared" ref="F1354:F1359" si="961">$O$1371-P1354*($O$1371-$O$1343)</f>
        <v>484.53318865979384</v>
      </c>
      <c r="G1354" s="149"/>
      <c r="H1354" s="82" t="str">
        <f t="shared" si="880"/>
        <v>0 percent up in Tremadocian international stage</v>
      </c>
      <c r="I1354" s="142" t="str">
        <f t="shared" si="881"/>
        <v>23.7 percent up in Tremadocian international stage</v>
      </c>
      <c r="J1354" s="7">
        <v>0</v>
      </c>
      <c r="K1354" s="129">
        <f t="shared" si="882"/>
        <v>0</v>
      </c>
      <c r="L1354" s="8" t="s">
        <v>166</v>
      </c>
      <c r="M1354" s="5" t="s">
        <v>82</v>
      </c>
      <c r="N1354" s="5" t="s">
        <v>82</v>
      </c>
      <c r="O1354" s="83"/>
      <c r="P1354" s="20">
        <v>0.23711340206185713</v>
      </c>
      <c r="Q1354" s="143">
        <f t="shared" si="883"/>
        <v>23.7</v>
      </c>
      <c r="R1354" s="21" t="s">
        <v>166</v>
      </c>
      <c r="S1354" s="8" t="s">
        <v>230</v>
      </c>
      <c r="T1354" s="7" t="s">
        <v>226</v>
      </c>
    </row>
    <row r="1355" spans="1:20" ht="28">
      <c r="A1355" s="116" t="s">
        <v>1209</v>
      </c>
      <c r="B1355" s="117" t="s">
        <v>1348</v>
      </c>
      <c r="C1355" s="5"/>
      <c r="D1355" s="5" t="s">
        <v>82</v>
      </c>
      <c r="E1355" s="132">
        <f t="shared" si="950"/>
        <v>486.85</v>
      </c>
      <c r="F1355" s="139">
        <f t="shared" si="961"/>
        <v>477.07909999999998</v>
      </c>
      <c r="G1355" s="149"/>
      <c r="H1355" s="82" t="str">
        <f t="shared" si="880"/>
        <v>0 percent up in Tremadocian international stage</v>
      </c>
      <c r="I1355" s="142" t="str">
        <f t="shared" si="881"/>
        <v>100 percent up in Tremadocian international stage</v>
      </c>
      <c r="J1355" s="7">
        <v>0</v>
      </c>
      <c r="K1355" s="129">
        <f t="shared" si="882"/>
        <v>0</v>
      </c>
      <c r="L1355" s="8" t="s">
        <v>166</v>
      </c>
      <c r="M1355" s="5" t="s">
        <v>82</v>
      </c>
      <c r="N1355" s="5" t="s">
        <v>82</v>
      </c>
      <c r="O1355" s="83"/>
      <c r="P1355" s="20">
        <v>1</v>
      </c>
      <c r="Q1355" s="143">
        <f t="shared" si="883"/>
        <v>100</v>
      </c>
      <c r="R1355" s="21" t="s">
        <v>166</v>
      </c>
      <c r="S1355" s="8" t="s">
        <v>232</v>
      </c>
      <c r="T1355" s="7" t="s">
        <v>226</v>
      </c>
    </row>
    <row r="1356" spans="1:20" ht="28">
      <c r="A1356" s="116" t="s">
        <v>1209</v>
      </c>
      <c r="B1356" s="118" t="s">
        <v>1349</v>
      </c>
      <c r="C1356" s="5"/>
      <c r="D1356" s="5" t="s">
        <v>248</v>
      </c>
      <c r="E1356" s="132">
        <f t="shared" si="950"/>
        <v>486.85</v>
      </c>
      <c r="F1356" s="139">
        <f t="shared" si="961"/>
        <v>477.07909999999998</v>
      </c>
      <c r="G1356" s="149"/>
      <c r="H1356" s="82" t="str">
        <f t="shared" si="880"/>
        <v>0 percent up in Tremadocian international stage</v>
      </c>
      <c r="I1356" s="142" t="str">
        <f t="shared" si="881"/>
        <v>100 percent up in Tremadocian international stage</v>
      </c>
      <c r="J1356" s="7">
        <v>0</v>
      </c>
      <c r="K1356" s="129">
        <f t="shared" si="882"/>
        <v>0</v>
      </c>
      <c r="L1356" s="8" t="s">
        <v>166</v>
      </c>
      <c r="M1356" s="5" t="s">
        <v>82</v>
      </c>
      <c r="N1356" s="5" t="s">
        <v>82</v>
      </c>
      <c r="O1356" s="83"/>
      <c r="P1356" s="20">
        <v>1</v>
      </c>
      <c r="Q1356" s="143">
        <f t="shared" si="883"/>
        <v>100</v>
      </c>
      <c r="R1356" s="21" t="s">
        <v>166</v>
      </c>
      <c r="S1356" s="8" t="s">
        <v>232</v>
      </c>
      <c r="T1356" s="7" t="s">
        <v>226</v>
      </c>
    </row>
    <row r="1357" spans="1:20" ht="28">
      <c r="A1357" s="116" t="s">
        <v>1209</v>
      </c>
      <c r="B1357" s="117" t="s">
        <v>1350</v>
      </c>
      <c r="C1357" s="5"/>
      <c r="D1357" s="5" t="s">
        <v>248</v>
      </c>
      <c r="E1357" s="132">
        <f t="shared" si="950"/>
        <v>486.85</v>
      </c>
      <c r="F1357" s="139">
        <f t="shared" si="961"/>
        <v>477.07909999999998</v>
      </c>
      <c r="G1357" s="149"/>
      <c r="H1357" s="82" t="str">
        <f t="shared" si="880"/>
        <v>0 percent up in Tremadocian international stage</v>
      </c>
      <c r="I1357" s="142" t="str">
        <f t="shared" si="881"/>
        <v>100 percent up in Tremadocian international stage</v>
      </c>
      <c r="J1357" s="7">
        <v>0</v>
      </c>
      <c r="K1357" s="129">
        <f t="shared" si="882"/>
        <v>0</v>
      </c>
      <c r="L1357" s="8" t="s">
        <v>166</v>
      </c>
      <c r="M1357" s="5" t="s">
        <v>82</v>
      </c>
      <c r="N1357" s="5" t="s">
        <v>82</v>
      </c>
      <c r="O1357" s="83"/>
      <c r="P1357" s="20">
        <v>1</v>
      </c>
      <c r="Q1357" s="143">
        <f t="shared" si="883"/>
        <v>100</v>
      </c>
      <c r="R1357" s="21" t="s">
        <v>166</v>
      </c>
      <c r="S1357" s="8" t="s">
        <v>232</v>
      </c>
      <c r="T1357" s="7" t="s">
        <v>226</v>
      </c>
    </row>
    <row r="1358" spans="1:20" ht="28">
      <c r="A1358" s="116" t="s">
        <v>1209</v>
      </c>
      <c r="B1358" s="117" t="s">
        <v>1351</v>
      </c>
      <c r="C1358" s="5"/>
      <c r="D1358" s="5" t="s">
        <v>1217</v>
      </c>
      <c r="E1358" s="132">
        <f t="shared" si="950"/>
        <v>486.85</v>
      </c>
      <c r="F1358" s="139">
        <f t="shared" si="961"/>
        <v>477.07909999999998</v>
      </c>
      <c r="G1358" s="149"/>
      <c r="H1358" s="82" t="str">
        <f t="shared" si="880"/>
        <v>0 percent up in Tremadocian international stage</v>
      </c>
      <c r="I1358" s="142" t="str">
        <f t="shared" si="881"/>
        <v>100 percent up in Tremadocian international stage</v>
      </c>
      <c r="J1358" s="7">
        <v>0</v>
      </c>
      <c r="K1358" s="129">
        <f t="shared" si="882"/>
        <v>0</v>
      </c>
      <c r="L1358" s="8" t="s">
        <v>166</v>
      </c>
      <c r="M1358" s="5" t="s">
        <v>82</v>
      </c>
      <c r="N1358" s="5" t="s">
        <v>82</v>
      </c>
      <c r="O1358" s="83"/>
      <c r="P1358" s="20">
        <v>1</v>
      </c>
      <c r="Q1358" s="143">
        <f t="shared" si="883"/>
        <v>100</v>
      </c>
      <c r="R1358" s="21" t="s">
        <v>166</v>
      </c>
      <c r="S1358" s="8" t="s">
        <v>232</v>
      </c>
      <c r="T1358" s="7" t="s">
        <v>226</v>
      </c>
    </row>
    <row r="1359" spans="1:20" ht="28">
      <c r="A1359" s="116" t="s">
        <v>1209</v>
      </c>
      <c r="B1359" s="118" t="s">
        <v>1352</v>
      </c>
      <c r="C1359" s="5"/>
      <c r="D1359" s="5" t="s">
        <v>1201</v>
      </c>
      <c r="E1359" s="132">
        <f t="shared" si="950"/>
        <v>486.85</v>
      </c>
      <c r="F1359" s="139">
        <f t="shared" si="961"/>
        <v>484.53318865979384</v>
      </c>
      <c r="G1359" s="149"/>
      <c r="H1359" s="82" t="str">
        <f t="shared" si="880"/>
        <v>0 percent up in Tremadocian international stage</v>
      </c>
      <c r="I1359" s="142" t="str">
        <f t="shared" si="881"/>
        <v>23.7 percent up in Tremadocian international stage</v>
      </c>
      <c r="J1359" s="7">
        <v>0</v>
      </c>
      <c r="K1359" s="129">
        <f t="shared" si="882"/>
        <v>0</v>
      </c>
      <c r="L1359" s="8" t="s">
        <v>166</v>
      </c>
      <c r="M1359" s="5" t="s">
        <v>82</v>
      </c>
      <c r="N1359" s="5" t="s">
        <v>82</v>
      </c>
      <c r="O1359" s="83"/>
      <c r="P1359" s="20">
        <v>0.23711340206185713</v>
      </c>
      <c r="Q1359" s="143">
        <f t="shared" si="883"/>
        <v>23.7</v>
      </c>
      <c r="R1359" s="21" t="s">
        <v>166</v>
      </c>
      <c r="S1359" s="8" t="s">
        <v>230</v>
      </c>
      <c r="T1359" s="7" t="s">
        <v>226</v>
      </c>
    </row>
    <row r="1360" spans="1:20" ht="28">
      <c r="A1360" s="116" t="s">
        <v>1209</v>
      </c>
      <c r="B1360" s="118" t="s">
        <v>1353</v>
      </c>
      <c r="C1360" s="5"/>
      <c r="D1360" s="5" t="s">
        <v>270</v>
      </c>
      <c r="E1360" s="132">
        <f t="shared" si="950"/>
        <v>486.85</v>
      </c>
      <c r="F1360" s="139">
        <f>$O$1292-P1360*($O$1292-$O$1270)</f>
        <v>458.17720000000003</v>
      </c>
      <c r="G1360" s="149"/>
      <c r="H1360" s="82" t="str">
        <f t="shared" si="880"/>
        <v>0 percent up in Tremadocian international stage</v>
      </c>
      <c r="I1360" s="142" t="str">
        <f t="shared" si="881"/>
        <v>100 percent up in Darriwilian international stage</v>
      </c>
      <c r="J1360" s="7">
        <v>0</v>
      </c>
      <c r="K1360" s="129">
        <f t="shared" si="882"/>
        <v>0</v>
      </c>
      <c r="L1360" s="8" t="s">
        <v>166</v>
      </c>
      <c r="M1360" s="5" t="s">
        <v>82</v>
      </c>
      <c r="N1360" s="5" t="s">
        <v>82</v>
      </c>
      <c r="O1360" s="83"/>
      <c r="P1360" s="20">
        <v>1</v>
      </c>
      <c r="Q1360" s="143">
        <f t="shared" si="883"/>
        <v>100</v>
      </c>
      <c r="R1360" s="21" t="s">
        <v>162</v>
      </c>
      <c r="S1360" s="8" t="s">
        <v>232</v>
      </c>
      <c r="T1360" s="7" t="s">
        <v>226</v>
      </c>
    </row>
    <row r="1361" spans="1:20" ht="28">
      <c r="A1361" s="116" t="s">
        <v>1209</v>
      </c>
      <c r="B1361" s="117" t="s">
        <v>1354</v>
      </c>
      <c r="C1361" s="5"/>
      <c r="D1361" s="5" t="s">
        <v>82</v>
      </c>
      <c r="E1361" s="132">
        <f t="shared" si="950"/>
        <v>486.85</v>
      </c>
      <c r="F1361" s="139">
        <f>$O$1192-P1361*($O$1192-$O$1186)</f>
        <v>443.0718</v>
      </c>
      <c r="G1361" s="149"/>
      <c r="H1361" s="82" t="str">
        <f t="shared" si="880"/>
        <v>0 percent up in Tremadocian international stage</v>
      </c>
      <c r="I1361" s="142" t="str">
        <f t="shared" si="881"/>
        <v>100 percent up in Hirnantian international stage</v>
      </c>
      <c r="J1361" s="7">
        <v>0</v>
      </c>
      <c r="K1361" s="129">
        <f t="shared" si="882"/>
        <v>0</v>
      </c>
      <c r="L1361" s="8" t="s">
        <v>166</v>
      </c>
      <c r="M1361" s="5" t="s">
        <v>82</v>
      </c>
      <c r="N1361" s="5" t="s">
        <v>82</v>
      </c>
      <c r="O1361" s="83"/>
      <c r="P1361" s="20">
        <v>1</v>
      </c>
      <c r="Q1361" s="143">
        <f t="shared" si="883"/>
        <v>100</v>
      </c>
      <c r="R1361" s="21" t="s">
        <v>159</v>
      </c>
      <c r="S1361" s="8" t="s">
        <v>232</v>
      </c>
      <c r="T1361" s="7" t="s">
        <v>226</v>
      </c>
    </row>
    <row r="1362" spans="1:20" ht="28">
      <c r="A1362" s="116" t="s">
        <v>1209</v>
      </c>
      <c r="B1362" s="117" t="s">
        <v>1355</v>
      </c>
      <c r="C1362" s="5"/>
      <c r="D1362" s="5" t="s">
        <v>82</v>
      </c>
      <c r="E1362" s="132">
        <f t="shared" si="950"/>
        <v>486.85</v>
      </c>
      <c r="F1362" s="139">
        <f>$O$1343-P1362*($O$1343-$O$1318)</f>
        <v>471.26330000000002</v>
      </c>
      <c r="G1362" s="149"/>
      <c r="H1362" s="82" t="str">
        <f t="shared" si="880"/>
        <v>0 percent up in Tremadocian international stage</v>
      </c>
      <c r="I1362" s="142" t="str">
        <f t="shared" si="881"/>
        <v>100 percent up in Floian international stage</v>
      </c>
      <c r="J1362" s="7">
        <v>0</v>
      </c>
      <c r="K1362" s="129">
        <f t="shared" si="882"/>
        <v>0</v>
      </c>
      <c r="L1362" s="8" t="s">
        <v>166</v>
      </c>
      <c r="M1362" s="5" t="s">
        <v>82</v>
      </c>
      <c r="N1362" s="5" t="s">
        <v>82</v>
      </c>
      <c r="O1362" s="83"/>
      <c r="P1362" s="20">
        <v>1</v>
      </c>
      <c r="Q1362" s="143">
        <f t="shared" si="883"/>
        <v>100</v>
      </c>
      <c r="R1362" s="21" t="s">
        <v>164</v>
      </c>
      <c r="S1362" s="8" t="s">
        <v>232</v>
      </c>
      <c r="T1362" s="7" t="s">
        <v>226</v>
      </c>
    </row>
    <row r="1363" spans="1:20" ht="28">
      <c r="A1363" s="116"/>
      <c r="B1363" s="117" t="s">
        <v>1788</v>
      </c>
      <c r="C1363" s="5"/>
      <c r="D1363" s="5"/>
      <c r="E1363" s="132">
        <f t="shared" si="950"/>
        <v>481.96455000000003</v>
      </c>
      <c r="F1363" s="139">
        <f t="shared" ref="F1363:F1369" si="962">$O$1371-P1363*($O$1371-$O$1343)</f>
        <v>477.07909999999998</v>
      </c>
      <c r="G1363" s="149" t="s">
        <v>1601</v>
      </c>
      <c r="H1363" s="82" t="str">
        <f t="shared" ref="H1363:H1365" si="963">CONCATENATE(K1363," percent up in ",L1363," international stage")</f>
        <v>50 percent up in Tremadocian international stage</v>
      </c>
      <c r="I1363" s="142" t="str">
        <f t="shared" ref="I1363:I1365" si="964">CONCATENATE(Q1363," percent up in ",R1363," international stage")</f>
        <v>100 percent up in Tremadocian international stage</v>
      </c>
      <c r="J1363" s="7">
        <v>0.5</v>
      </c>
      <c r="K1363" s="129">
        <f t="shared" ref="K1363:K1365" si="965">ROUND(J1363*100,1)</f>
        <v>50</v>
      </c>
      <c r="L1363" s="8" t="s">
        <v>166</v>
      </c>
      <c r="M1363" s="5" t="s">
        <v>82</v>
      </c>
      <c r="N1363" s="5" t="s">
        <v>82</v>
      </c>
      <c r="O1363" s="83"/>
      <c r="P1363" s="20">
        <v>1</v>
      </c>
      <c r="Q1363" s="143">
        <f t="shared" ref="Q1363:Q1365" si="966">ROUND(P1363*100,1)</f>
        <v>100</v>
      </c>
      <c r="R1363" s="21" t="s">
        <v>166</v>
      </c>
      <c r="S1363" s="149" t="s">
        <v>1601</v>
      </c>
    </row>
    <row r="1364" spans="1:20" ht="28">
      <c r="A1364" s="116"/>
      <c r="B1364" s="117" t="s">
        <v>1935</v>
      </c>
      <c r="C1364" s="5"/>
      <c r="D1364" s="5"/>
      <c r="E1364" s="132">
        <f t="shared" si="950"/>
        <v>481.96455000000003</v>
      </c>
      <c r="F1364" s="139">
        <f t="shared" si="962"/>
        <v>477.07909999999998</v>
      </c>
      <c r="G1364" s="149" t="s">
        <v>1601</v>
      </c>
      <c r="H1364" s="82" t="str">
        <f t="shared" ref="H1364" si="967">CONCATENATE(K1364," percent up in ",L1364," international stage")</f>
        <v>50 percent up in Tremadocian international stage</v>
      </c>
      <c r="I1364" s="142" t="str">
        <f t="shared" ref="I1364" si="968">CONCATENATE(Q1364," percent up in ",R1364," international stage")</f>
        <v>100 percent up in Tremadocian international stage</v>
      </c>
      <c r="J1364" s="7">
        <v>0.5</v>
      </c>
      <c r="K1364" s="129">
        <f t="shared" ref="K1364" si="969">ROUND(J1364*100,1)</f>
        <v>50</v>
      </c>
      <c r="L1364" s="8" t="s">
        <v>166</v>
      </c>
      <c r="M1364" s="5" t="s">
        <v>82</v>
      </c>
      <c r="N1364" s="5" t="s">
        <v>82</v>
      </c>
      <c r="O1364" s="83"/>
      <c r="P1364" s="20">
        <v>1</v>
      </c>
      <c r="Q1364" s="143">
        <f t="shared" ref="Q1364" si="970">ROUND(P1364*100,1)</f>
        <v>100</v>
      </c>
      <c r="R1364" s="21" t="s">
        <v>166</v>
      </c>
      <c r="S1364" s="149" t="s">
        <v>1601</v>
      </c>
    </row>
    <row r="1365" spans="1:20" ht="28">
      <c r="A1365" s="116"/>
      <c r="B1365" s="117" t="s">
        <v>1789</v>
      </c>
      <c r="C1365" s="5"/>
      <c r="D1365" s="5"/>
      <c r="E1365" s="132">
        <f t="shared" si="950"/>
        <v>486.85</v>
      </c>
      <c r="F1365" s="139">
        <f t="shared" si="962"/>
        <v>481.96455000000003</v>
      </c>
      <c r="G1365" s="149" t="s">
        <v>1602</v>
      </c>
      <c r="H1365" s="82" t="str">
        <f t="shared" si="963"/>
        <v>0 percent up in Tremadocian international stage</v>
      </c>
      <c r="I1365" s="142" t="str">
        <f t="shared" si="964"/>
        <v>50 percent up in Tremadocian international stage</v>
      </c>
      <c r="J1365" s="7">
        <v>0</v>
      </c>
      <c r="K1365" s="129">
        <f t="shared" si="965"/>
        <v>0</v>
      </c>
      <c r="L1365" s="8" t="s">
        <v>166</v>
      </c>
      <c r="M1365" s="5" t="s">
        <v>82</v>
      </c>
      <c r="N1365" s="5" t="s">
        <v>82</v>
      </c>
      <c r="O1365" s="83"/>
      <c r="P1365" s="20">
        <v>0.5</v>
      </c>
      <c r="Q1365" s="143">
        <f t="shared" si="966"/>
        <v>50</v>
      </c>
      <c r="R1365" s="21" t="s">
        <v>166</v>
      </c>
      <c r="S1365" s="149" t="s">
        <v>1602</v>
      </c>
    </row>
    <row r="1366" spans="1:20" ht="28">
      <c r="A1366" s="116"/>
      <c r="B1366" s="117" t="s">
        <v>1936</v>
      </c>
      <c r="C1366" s="5"/>
      <c r="D1366" s="5"/>
      <c r="E1366" s="132">
        <f t="shared" si="950"/>
        <v>486.85</v>
      </c>
      <c r="F1366" s="139">
        <f t="shared" si="962"/>
        <v>481.96455000000003</v>
      </c>
      <c r="G1366" s="149" t="s">
        <v>1602</v>
      </c>
      <c r="H1366" s="82" t="str">
        <f t="shared" ref="H1366" si="971">CONCATENATE(K1366," percent up in ",L1366," international stage")</f>
        <v>0 percent up in Tremadocian international stage</v>
      </c>
      <c r="I1366" s="142" t="str">
        <f t="shared" ref="I1366" si="972">CONCATENATE(Q1366," percent up in ",R1366," international stage")</f>
        <v>50 percent up in Tremadocian international stage</v>
      </c>
      <c r="J1366" s="7">
        <v>0</v>
      </c>
      <c r="K1366" s="129">
        <f t="shared" ref="K1366" si="973">ROUND(J1366*100,1)</f>
        <v>0</v>
      </c>
      <c r="L1366" s="8" t="s">
        <v>166</v>
      </c>
      <c r="M1366" s="5" t="s">
        <v>82</v>
      </c>
      <c r="N1366" s="5" t="s">
        <v>82</v>
      </c>
      <c r="O1366" s="83"/>
      <c r="P1366" s="20">
        <v>0.5</v>
      </c>
      <c r="Q1366" s="143">
        <f t="shared" ref="Q1366" si="974">ROUND(P1366*100,1)</f>
        <v>50</v>
      </c>
      <c r="R1366" s="21" t="s">
        <v>166</v>
      </c>
      <c r="S1366" s="149" t="s">
        <v>1602</v>
      </c>
    </row>
    <row r="1367" spans="1:20" ht="28">
      <c r="A1367" s="116" t="s">
        <v>1209</v>
      </c>
      <c r="B1367" s="117" t="s">
        <v>1356</v>
      </c>
      <c r="C1367" s="5"/>
      <c r="D1367" s="5" t="s">
        <v>82</v>
      </c>
      <c r="E1367" s="132">
        <f t="shared" si="950"/>
        <v>486.85</v>
      </c>
      <c r="F1367" s="139">
        <f t="shared" si="962"/>
        <v>477.07909999999998</v>
      </c>
      <c r="G1367" s="149"/>
      <c r="H1367" s="82" t="str">
        <f t="shared" si="880"/>
        <v>0 percent up in Tremadocian international stage</v>
      </c>
      <c r="I1367" s="142" t="str">
        <f t="shared" si="881"/>
        <v>100 percent up in Tremadocian international stage</v>
      </c>
      <c r="J1367" s="7">
        <v>0</v>
      </c>
      <c r="K1367" s="129">
        <f t="shared" si="882"/>
        <v>0</v>
      </c>
      <c r="L1367" s="8" t="s">
        <v>166</v>
      </c>
      <c r="M1367" s="5" t="s">
        <v>82</v>
      </c>
      <c r="N1367" s="5" t="s">
        <v>82</v>
      </c>
      <c r="O1367" s="83"/>
      <c r="P1367" s="20">
        <v>1</v>
      </c>
      <c r="Q1367" s="143">
        <f t="shared" si="883"/>
        <v>100</v>
      </c>
      <c r="R1367" s="21" t="s">
        <v>166</v>
      </c>
      <c r="S1367" s="8" t="s">
        <v>232</v>
      </c>
      <c r="T1367" s="7" t="s">
        <v>226</v>
      </c>
    </row>
    <row r="1368" spans="1:20" ht="34">
      <c r="A1368" s="116"/>
      <c r="B1368" s="117" t="s">
        <v>1939</v>
      </c>
      <c r="C1368" s="5"/>
      <c r="D1368" s="5"/>
      <c r="E1368" s="132">
        <f t="shared" si="950"/>
        <v>486.85</v>
      </c>
      <c r="F1368" s="139">
        <f t="shared" si="962"/>
        <v>477.07909999999998</v>
      </c>
      <c r="G1368" s="149"/>
      <c r="H1368" s="82" t="str">
        <f t="shared" ref="H1368" si="975">CONCATENATE(K1368," percent up in ",L1368," international stage")</f>
        <v>0 percent up in Tremadocian international stage</v>
      </c>
      <c r="I1368" s="142" t="str">
        <f t="shared" ref="I1368" si="976">CONCATENATE(Q1368," percent up in ",R1368," international stage")</f>
        <v>100 percent up in Tremadocian international stage</v>
      </c>
      <c r="J1368" s="7">
        <v>0</v>
      </c>
      <c r="K1368" s="129">
        <f t="shared" ref="K1368" si="977">ROUND(J1368*100,1)</f>
        <v>0</v>
      </c>
      <c r="L1368" s="8" t="s">
        <v>166</v>
      </c>
      <c r="M1368" s="5"/>
      <c r="O1368" s="83"/>
      <c r="P1368" s="20">
        <v>1</v>
      </c>
      <c r="Q1368" s="143">
        <f t="shared" ref="Q1368" si="978">ROUND(P1368*100,1)</f>
        <v>100</v>
      </c>
      <c r="R1368" s="21" t="s">
        <v>166</v>
      </c>
      <c r="S1368" s="8" t="s">
        <v>1940</v>
      </c>
    </row>
    <row r="1369" spans="1:20" ht="28">
      <c r="A1369" s="116" t="s">
        <v>1209</v>
      </c>
      <c r="B1369" s="117" t="s">
        <v>166</v>
      </c>
      <c r="C1369" s="135"/>
      <c r="D1369" s="135" t="s">
        <v>222</v>
      </c>
      <c r="E1369" s="132">
        <f t="shared" si="950"/>
        <v>486.85</v>
      </c>
      <c r="F1369" s="139">
        <f t="shared" si="962"/>
        <v>477.07909999999998</v>
      </c>
      <c r="G1369" s="149"/>
      <c r="H1369" s="82" t="str">
        <f t="shared" si="880"/>
        <v>0 percent up in Tremadocian international stage</v>
      </c>
      <c r="I1369" s="142" t="str">
        <f t="shared" si="881"/>
        <v>100 percent up in Tremadocian international stage</v>
      </c>
      <c r="J1369" s="7">
        <v>0</v>
      </c>
      <c r="K1369" s="129">
        <f t="shared" si="882"/>
        <v>0</v>
      </c>
      <c r="L1369" s="8" t="s">
        <v>166</v>
      </c>
      <c r="M1369" s="5" t="s">
        <v>224</v>
      </c>
      <c r="N1369" s="5" t="s">
        <v>1357</v>
      </c>
      <c r="O1369" s="84">
        <f>Master_Chronostrat!I152</f>
        <v>486.85</v>
      </c>
      <c r="P1369" s="20">
        <v>1</v>
      </c>
      <c r="Q1369" s="143">
        <f t="shared" si="883"/>
        <v>100</v>
      </c>
      <c r="R1369" s="21" t="s">
        <v>166</v>
      </c>
      <c r="S1369" s="8" t="s">
        <v>224</v>
      </c>
      <c r="T1369" s="7" t="s">
        <v>226</v>
      </c>
    </row>
    <row r="1370" spans="1:20" ht="28">
      <c r="A1370" s="116" t="s">
        <v>1209</v>
      </c>
      <c r="B1370" s="117" t="s">
        <v>1358</v>
      </c>
      <c r="C1370" s="135"/>
      <c r="D1370" s="135" t="s">
        <v>222</v>
      </c>
      <c r="E1370" s="132">
        <f t="shared" si="950"/>
        <v>486.85</v>
      </c>
      <c r="F1370" s="139">
        <f>$O$1343-P1370*($O$1343-$O$1318)</f>
        <v>471.26330000000002</v>
      </c>
      <c r="G1370" s="149"/>
      <c r="H1370" s="82" t="str">
        <f t="shared" si="880"/>
        <v>0 percent up in Tremadocian international stage</v>
      </c>
      <c r="I1370" s="142" t="str">
        <f t="shared" si="881"/>
        <v>100 percent up in Floian international stage</v>
      </c>
      <c r="J1370" s="7">
        <v>0</v>
      </c>
      <c r="K1370" s="129">
        <f t="shared" si="882"/>
        <v>0</v>
      </c>
      <c r="L1370" s="8" t="s">
        <v>166</v>
      </c>
      <c r="M1370" s="5" t="s">
        <v>224</v>
      </c>
      <c r="N1370" s="5" t="s">
        <v>1359</v>
      </c>
      <c r="O1370" s="84">
        <f>Master_Chronostrat!I152</f>
        <v>486.85</v>
      </c>
      <c r="P1370" s="20">
        <v>1</v>
      </c>
      <c r="Q1370" s="143">
        <f t="shared" si="883"/>
        <v>100</v>
      </c>
      <c r="R1370" s="21" t="s">
        <v>164</v>
      </c>
      <c r="S1370" s="8" t="s">
        <v>239</v>
      </c>
      <c r="T1370" s="7" t="s">
        <v>226</v>
      </c>
    </row>
    <row r="1371" spans="1:20" ht="28">
      <c r="A1371" s="116" t="s">
        <v>1209</v>
      </c>
      <c r="B1371" s="117" t="s">
        <v>165</v>
      </c>
      <c r="C1371" s="135"/>
      <c r="D1371" s="135" t="s">
        <v>222</v>
      </c>
      <c r="E1371" s="132">
        <f t="shared" si="950"/>
        <v>486.85</v>
      </c>
      <c r="F1371" s="139">
        <f>$O$1192-P1371*($O$1192-$O$1186)</f>
        <v>443.0718</v>
      </c>
      <c r="G1371" s="149"/>
      <c r="H1371" s="82" t="str">
        <f t="shared" si="880"/>
        <v>0 percent up in Tremadocian international stage</v>
      </c>
      <c r="I1371" s="142" t="str">
        <f t="shared" si="881"/>
        <v>100 percent up in Hirnantian international stage</v>
      </c>
      <c r="J1371" s="7">
        <v>0</v>
      </c>
      <c r="K1371" s="129">
        <f t="shared" si="882"/>
        <v>0</v>
      </c>
      <c r="L1371" s="8" t="s">
        <v>166</v>
      </c>
      <c r="M1371" s="5" t="s">
        <v>224</v>
      </c>
      <c r="N1371" s="5" t="s">
        <v>1360</v>
      </c>
      <c r="O1371" s="84">
        <f>Master_Chronostrat!I152</f>
        <v>486.85</v>
      </c>
      <c r="P1371" s="20">
        <v>1</v>
      </c>
      <c r="Q1371" s="143">
        <f t="shared" si="883"/>
        <v>100</v>
      </c>
      <c r="R1371" s="21" t="s">
        <v>159</v>
      </c>
      <c r="S1371" s="8" t="s">
        <v>239</v>
      </c>
      <c r="T1371" s="7" t="s">
        <v>226</v>
      </c>
    </row>
    <row r="1372" spans="1:20" ht="28">
      <c r="A1372" s="113" t="s">
        <v>1361</v>
      </c>
      <c r="B1372" s="114" t="s">
        <v>1362</v>
      </c>
      <c r="C1372" s="5"/>
      <c r="D1372" s="5" t="s">
        <v>368</v>
      </c>
      <c r="E1372" s="132">
        <f t="shared" ref="E1372:E1381" si="979">$O$1381-J1372*($O$1381-$O$1371)</f>
        <v>487.0575</v>
      </c>
      <c r="F1372" s="139">
        <f>$O$1371-P1372*($O$1371-$O$1343)</f>
        <v>483.91872999999998</v>
      </c>
      <c r="G1372" s="149"/>
      <c r="H1372" s="82" t="str">
        <f t="shared" si="880"/>
        <v>95 percent up in Cambrian Stage 10 international stage</v>
      </c>
      <c r="I1372" s="142" t="str">
        <f t="shared" si="881"/>
        <v>30 percent up in Tremadocian international stage</v>
      </c>
      <c r="J1372" s="7">
        <v>0.95</v>
      </c>
      <c r="K1372" s="129">
        <f t="shared" si="882"/>
        <v>95</v>
      </c>
      <c r="L1372" s="8" t="s">
        <v>1363</v>
      </c>
      <c r="M1372" s="5" t="s">
        <v>82</v>
      </c>
      <c r="N1372" s="5" t="s">
        <v>82</v>
      </c>
      <c r="O1372" s="83"/>
      <c r="P1372" s="20">
        <v>0.3</v>
      </c>
      <c r="Q1372" s="143">
        <f t="shared" si="883"/>
        <v>30</v>
      </c>
      <c r="R1372" s="21" t="s">
        <v>166</v>
      </c>
      <c r="S1372" s="8" t="s">
        <v>272</v>
      </c>
      <c r="T1372" s="7" t="s">
        <v>226</v>
      </c>
    </row>
    <row r="1373" spans="1:20" ht="28">
      <c r="A1373" s="113" t="s">
        <v>1361</v>
      </c>
      <c r="B1373" s="114" t="s">
        <v>1364</v>
      </c>
      <c r="C1373" s="5"/>
      <c r="D1373" s="5" t="s">
        <v>368</v>
      </c>
      <c r="E1373" s="132">
        <f t="shared" si="979"/>
        <v>488.51</v>
      </c>
      <c r="F1373" s="139">
        <f>$O$1371-P1373*($O$1371-$O$1343)</f>
        <v>483.5258793814433</v>
      </c>
      <c r="G1373" s="149"/>
      <c r="H1373" s="82" t="str">
        <f t="shared" si="880"/>
        <v>60 percent up in Cambrian Stage 10 international stage</v>
      </c>
      <c r="I1373" s="142" t="str">
        <f t="shared" si="881"/>
        <v>34 percent up in Tremadocian international stage</v>
      </c>
      <c r="J1373" s="7">
        <v>0.6</v>
      </c>
      <c r="K1373" s="129">
        <f t="shared" si="882"/>
        <v>60</v>
      </c>
      <c r="L1373" s="8" t="s">
        <v>1363</v>
      </c>
      <c r="M1373" s="5" t="s">
        <v>82</v>
      </c>
      <c r="N1373" s="5" t="s">
        <v>82</v>
      </c>
      <c r="O1373" s="83"/>
      <c r="P1373" s="20">
        <v>0.34020618556701188</v>
      </c>
      <c r="Q1373" s="143">
        <f t="shared" si="883"/>
        <v>34</v>
      </c>
      <c r="R1373" s="21" t="s">
        <v>166</v>
      </c>
      <c r="S1373" s="8" t="s">
        <v>230</v>
      </c>
      <c r="T1373" s="7" t="s">
        <v>226</v>
      </c>
    </row>
    <row r="1374" spans="1:20" ht="28">
      <c r="A1374" s="113" t="s">
        <v>1361</v>
      </c>
      <c r="B1374" s="114" t="s">
        <v>1365</v>
      </c>
      <c r="C1374" s="5"/>
      <c r="D1374" s="5" t="s">
        <v>1217</v>
      </c>
      <c r="E1374" s="132">
        <f t="shared" si="979"/>
        <v>488.19594594594594</v>
      </c>
      <c r="F1374" s="139">
        <f>$O$1371-P1374*($O$1371-$O$1343)</f>
        <v>484.53318865979384</v>
      </c>
      <c r="G1374" s="149"/>
      <c r="H1374" s="82" t="str">
        <f t="shared" si="880"/>
        <v>67.6 percent up in Cambrian Stage 10 international stage</v>
      </c>
      <c r="I1374" s="142" t="str">
        <f t="shared" si="881"/>
        <v>23.7 percent up in Tremadocian international stage</v>
      </c>
      <c r="J1374" s="7">
        <v>0.67567567567567777</v>
      </c>
      <c r="K1374" s="129">
        <f t="shared" si="882"/>
        <v>67.599999999999994</v>
      </c>
      <c r="L1374" s="8" t="s">
        <v>1363</v>
      </c>
      <c r="M1374" s="5" t="s">
        <v>82</v>
      </c>
      <c r="N1374" s="5" t="s">
        <v>82</v>
      </c>
      <c r="O1374" s="83"/>
      <c r="P1374" s="20">
        <v>0.23711340206185713</v>
      </c>
      <c r="Q1374" s="143">
        <f t="shared" si="883"/>
        <v>23.7</v>
      </c>
      <c r="R1374" s="21" t="s">
        <v>166</v>
      </c>
      <c r="S1374" s="8" t="s">
        <v>246</v>
      </c>
      <c r="T1374" s="7" t="s">
        <v>226</v>
      </c>
    </row>
    <row r="1375" spans="1:20" ht="28">
      <c r="A1375" s="113" t="s">
        <v>1361</v>
      </c>
      <c r="B1375" s="114" t="s">
        <v>1366</v>
      </c>
      <c r="C1375" s="5"/>
      <c r="D1375" s="5" t="s">
        <v>244</v>
      </c>
      <c r="E1375" s="132">
        <f t="shared" si="979"/>
        <v>488.75675675675677</v>
      </c>
      <c r="F1375" s="139">
        <f>$O$1371-P1375*($O$1371-$O$1343)</f>
        <v>484.53318865979384</v>
      </c>
      <c r="G1375" s="149"/>
      <c r="H1375" s="82" t="str">
        <f t="shared" si="880"/>
        <v>54.1 percent up in Cambrian Stage 10 international stage</v>
      </c>
      <c r="I1375" s="142" t="str">
        <f t="shared" si="881"/>
        <v>23.7 percent up in Tremadocian international stage</v>
      </c>
      <c r="J1375" s="7">
        <v>0.54054054054054212</v>
      </c>
      <c r="K1375" s="129">
        <f t="shared" si="882"/>
        <v>54.1</v>
      </c>
      <c r="L1375" s="8" t="s">
        <v>1363</v>
      </c>
      <c r="M1375" s="5" t="s">
        <v>82</v>
      </c>
      <c r="N1375" s="5" t="s">
        <v>82</v>
      </c>
      <c r="O1375" s="83"/>
      <c r="P1375" s="20">
        <v>0.23711340206185713</v>
      </c>
      <c r="Q1375" s="143">
        <f t="shared" si="883"/>
        <v>23.7</v>
      </c>
      <c r="R1375" s="21" t="s">
        <v>166</v>
      </c>
      <c r="S1375" s="8" t="s">
        <v>246</v>
      </c>
      <c r="T1375" s="7" t="s">
        <v>226</v>
      </c>
    </row>
    <row r="1376" spans="1:20" ht="28">
      <c r="A1376" s="113" t="s">
        <v>1361</v>
      </c>
      <c r="B1376" s="115" t="s">
        <v>1367</v>
      </c>
      <c r="C1376" s="5"/>
      <c r="D1376" s="5" t="s">
        <v>270</v>
      </c>
      <c r="E1376" s="132">
        <f t="shared" si="979"/>
        <v>489.87837837837839</v>
      </c>
      <c r="F1376" s="139">
        <f>$O$1343-P1376*($O$1343-$O$1318)</f>
        <v>471.26330000000002</v>
      </c>
      <c r="G1376" s="149"/>
      <c r="H1376" s="82" t="str">
        <f t="shared" si="880"/>
        <v>27 percent up in Cambrian Stage 10 international stage</v>
      </c>
      <c r="I1376" s="142" t="str">
        <f t="shared" si="881"/>
        <v>100 percent up in Floian international stage</v>
      </c>
      <c r="J1376" s="7">
        <v>0.27027027027027106</v>
      </c>
      <c r="K1376" s="129">
        <f t="shared" si="882"/>
        <v>27</v>
      </c>
      <c r="L1376" s="8" t="s">
        <v>1363</v>
      </c>
      <c r="M1376" s="5" t="s">
        <v>82</v>
      </c>
      <c r="N1376" s="5" t="s">
        <v>82</v>
      </c>
      <c r="O1376" s="83"/>
      <c r="P1376" s="20">
        <v>1</v>
      </c>
      <c r="Q1376" s="143">
        <f t="shared" si="883"/>
        <v>100</v>
      </c>
      <c r="R1376" s="21" t="s">
        <v>164</v>
      </c>
      <c r="S1376" s="8" t="s">
        <v>246</v>
      </c>
      <c r="T1376" s="7" t="s">
        <v>226</v>
      </c>
    </row>
    <row r="1377" spans="1:20" ht="28">
      <c r="A1377" s="113" t="s">
        <v>1361</v>
      </c>
      <c r="B1377" s="115" t="s">
        <v>1368</v>
      </c>
      <c r="C1377" s="5"/>
      <c r="D1377" s="5" t="s">
        <v>368</v>
      </c>
      <c r="E1377" s="132">
        <f t="shared" si="979"/>
        <v>489.87837837837839</v>
      </c>
      <c r="F1377" s="139">
        <f t="shared" ref="F1377:F1388" si="980">$O$1381-P1377*($O$1381-$O$1371)</f>
        <v>486.85</v>
      </c>
      <c r="G1377" s="149"/>
      <c r="H1377" s="82" t="str">
        <f t="shared" ref="H1377:H1465" si="981">CONCATENATE(K1377," percent up in ",L1377," international stage")</f>
        <v>27 percent up in Cambrian Stage 10 international stage</v>
      </c>
      <c r="I1377" s="142" t="str">
        <f t="shared" ref="I1377:I1465" si="982">CONCATENATE(Q1377," percent up in ",R1377," international stage")</f>
        <v>100 percent up in Cambrian Stage 10 international stage</v>
      </c>
      <c r="J1377" s="7">
        <v>0.27027027027027106</v>
      </c>
      <c r="K1377" s="129">
        <f t="shared" ref="K1377:K1465" si="983">ROUND(J1377*100,1)</f>
        <v>27</v>
      </c>
      <c r="L1377" s="8" t="s">
        <v>1363</v>
      </c>
      <c r="M1377" s="5" t="s">
        <v>82</v>
      </c>
      <c r="N1377" s="5" t="s">
        <v>82</v>
      </c>
      <c r="O1377" s="83"/>
      <c r="P1377" s="20">
        <v>1</v>
      </c>
      <c r="Q1377" s="143">
        <f t="shared" ref="Q1377:Q1465" si="984">ROUND(P1377*100,1)</f>
        <v>100</v>
      </c>
      <c r="R1377" s="124" t="s">
        <v>1363</v>
      </c>
      <c r="S1377" s="8" t="s">
        <v>272</v>
      </c>
      <c r="T1377" s="7" t="s">
        <v>226</v>
      </c>
    </row>
    <row r="1378" spans="1:20" ht="28">
      <c r="A1378" s="113" t="s">
        <v>1361</v>
      </c>
      <c r="B1378" s="115" t="s">
        <v>1369</v>
      </c>
      <c r="C1378" s="5"/>
      <c r="D1378" s="5" t="s">
        <v>961</v>
      </c>
      <c r="E1378" s="132">
        <f t="shared" si="979"/>
        <v>490.43918918918916</v>
      </c>
      <c r="F1378" s="139">
        <f t="shared" si="980"/>
        <v>486.85</v>
      </c>
      <c r="G1378" s="149" t="s">
        <v>1941</v>
      </c>
      <c r="H1378" s="82" t="str">
        <f t="shared" si="981"/>
        <v>13.5 percent up in Cambrian Stage 10 international stage</v>
      </c>
      <c r="I1378" s="142" t="str">
        <f t="shared" si="982"/>
        <v>100 percent up in Cambrian Stage 10 international stage</v>
      </c>
      <c r="J1378" s="7">
        <v>0.13513513513513553</v>
      </c>
      <c r="K1378" s="129">
        <f t="shared" si="983"/>
        <v>13.5</v>
      </c>
      <c r="L1378" s="8" t="s">
        <v>1363</v>
      </c>
      <c r="M1378" s="5" t="s">
        <v>82</v>
      </c>
      <c r="N1378" s="5" t="s">
        <v>82</v>
      </c>
      <c r="O1378" s="83"/>
      <c r="P1378" s="20">
        <v>1</v>
      </c>
      <c r="Q1378" s="143">
        <f t="shared" si="984"/>
        <v>100</v>
      </c>
      <c r="R1378" s="124" t="s">
        <v>1363</v>
      </c>
      <c r="S1378" s="8" t="s">
        <v>272</v>
      </c>
      <c r="T1378" s="7" t="s">
        <v>226</v>
      </c>
    </row>
    <row r="1379" spans="1:20" ht="28">
      <c r="A1379" s="113" t="s">
        <v>1361</v>
      </c>
      <c r="B1379" s="114" t="s">
        <v>1370</v>
      </c>
      <c r="C1379" s="5"/>
      <c r="D1379" s="5" t="s">
        <v>1371</v>
      </c>
      <c r="E1379" s="132">
        <f t="shared" si="979"/>
        <v>491</v>
      </c>
      <c r="F1379" s="139">
        <f t="shared" si="980"/>
        <v>488.19594594594594</v>
      </c>
      <c r="G1379" s="149"/>
      <c r="H1379" s="82" t="str">
        <f t="shared" si="981"/>
        <v>0 percent up in Cambrian Stage 10 international stage</v>
      </c>
      <c r="I1379" s="142" t="str">
        <f t="shared" si="982"/>
        <v>67.6 percent up in Cambrian Stage 10 international stage</v>
      </c>
      <c r="J1379" s="7">
        <v>0</v>
      </c>
      <c r="K1379" s="129">
        <f t="shared" si="983"/>
        <v>0</v>
      </c>
      <c r="L1379" s="8" t="s">
        <v>1363</v>
      </c>
      <c r="M1379" s="5" t="s">
        <v>82</v>
      </c>
      <c r="N1379" s="5" t="s">
        <v>82</v>
      </c>
      <c r="O1379" s="83"/>
      <c r="P1379" s="20">
        <v>0.67567567567567777</v>
      </c>
      <c r="Q1379" s="143">
        <f t="shared" si="984"/>
        <v>67.599999999999994</v>
      </c>
      <c r="R1379" s="124" t="s">
        <v>1363</v>
      </c>
      <c r="S1379" s="8" t="s">
        <v>230</v>
      </c>
      <c r="T1379" s="7" t="s">
        <v>226</v>
      </c>
    </row>
    <row r="1380" spans="1:20" ht="34">
      <c r="A1380" s="113"/>
      <c r="B1380" s="115" t="s">
        <v>2014</v>
      </c>
      <c r="C1380" s="5"/>
      <c r="D1380" s="5"/>
      <c r="E1380" s="132">
        <f t="shared" ref="E1380" si="985">$O$1381-J1380*($O$1381-$O$1371)</f>
        <v>491</v>
      </c>
      <c r="F1380" s="139">
        <f t="shared" ref="F1380" si="986">$O$1381-P1380*($O$1381-$O$1371)</f>
        <v>486.85</v>
      </c>
      <c r="G1380" s="149" t="s">
        <v>2015</v>
      </c>
      <c r="H1380" s="82" t="str">
        <f t="shared" ref="H1380" si="987">CONCATENATE(K1380," percent up in ",L1380," international stage")</f>
        <v>0 percent up in Cambrian Stage 10 international stage</v>
      </c>
      <c r="I1380" s="142" t="str">
        <f t="shared" ref="I1380" si="988">CONCATENATE(Q1380," percent up in ",R1380," international stage")</f>
        <v>100 percent up in Cambrian Stage 10 international stage</v>
      </c>
      <c r="J1380" s="7">
        <v>0</v>
      </c>
      <c r="K1380" s="129">
        <f t="shared" ref="K1380" si="989">ROUND(J1380*100,1)</f>
        <v>0</v>
      </c>
      <c r="L1380" s="8" t="s">
        <v>1363</v>
      </c>
      <c r="M1380" s="5"/>
      <c r="O1380" s="83"/>
      <c r="P1380" s="20">
        <v>1</v>
      </c>
      <c r="Q1380" s="143">
        <f t="shared" ref="Q1380" si="990">ROUND(P1380*100,1)</f>
        <v>100</v>
      </c>
      <c r="R1380" s="124" t="s">
        <v>1363</v>
      </c>
      <c r="S1380" s="151" t="s">
        <v>2015</v>
      </c>
    </row>
    <row r="1381" spans="1:20" ht="28">
      <c r="A1381" s="113" t="s">
        <v>1361</v>
      </c>
      <c r="B1381" s="115" t="s">
        <v>1363</v>
      </c>
      <c r="C1381" s="135"/>
      <c r="D1381" s="135" t="s">
        <v>222</v>
      </c>
      <c r="E1381" s="132">
        <f t="shared" si="979"/>
        <v>491</v>
      </c>
      <c r="F1381" s="139">
        <f t="shared" si="980"/>
        <v>486.85</v>
      </c>
      <c r="G1381" s="149"/>
      <c r="H1381" s="82" t="str">
        <f t="shared" si="981"/>
        <v>0 percent up in Cambrian Stage 10 international stage</v>
      </c>
      <c r="I1381" s="142" t="str">
        <f t="shared" si="982"/>
        <v>100 percent up in Cambrian Stage 10 international stage</v>
      </c>
      <c r="J1381" s="7">
        <v>0</v>
      </c>
      <c r="K1381" s="129">
        <f t="shared" si="983"/>
        <v>0</v>
      </c>
      <c r="L1381" s="8" t="s">
        <v>1363</v>
      </c>
      <c r="M1381" s="5" t="s">
        <v>224</v>
      </c>
      <c r="N1381" s="5" t="s">
        <v>1372</v>
      </c>
      <c r="O1381" s="83">
        <f>Master_Chronostrat!I153</f>
        <v>491</v>
      </c>
      <c r="P1381" s="20">
        <v>1</v>
      </c>
      <c r="Q1381" s="143">
        <f t="shared" si="984"/>
        <v>100</v>
      </c>
      <c r="R1381" s="124" t="s">
        <v>1363</v>
      </c>
      <c r="S1381" s="8" t="s">
        <v>224</v>
      </c>
      <c r="T1381" s="7" t="s">
        <v>226</v>
      </c>
    </row>
    <row r="1382" spans="1:20" ht="28">
      <c r="A1382" s="113" t="s">
        <v>1361</v>
      </c>
      <c r="B1382" s="115" t="s">
        <v>1373</v>
      </c>
      <c r="C1382" s="5"/>
      <c r="D1382" s="5" t="s">
        <v>82</v>
      </c>
      <c r="E1382" s="132">
        <f>$O$1395-J1382*($O$1395-$O$1381)</f>
        <v>491.4</v>
      </c>
      <c r="F1382" s="139">
        <f t="shared" si="980"/>
        <v>486.85</v>
      </c>
      <c r="G1382" s="149"/>
      <c r="H1382" s="82" t="str">
        <f t="shared" si="981"/>
        <v>87.5 percent up in Jiangshanian international stage</v>
      </c>
      <c r="I1382" s="142" t="str">
        <f t="shared" si="982"/>
        <v>100 percent up in Cambrian Stage 10 international stage</v>
      </c>
      <c r="J1382" s="7">
        <v>0.875</v>
      </c>
      <c r="K1382" s="129">
        <f t="shared" si="983"/>
        <v>87.5</v>
      </c>
      <c r="L1382" s="8" t="s">
        <v>168</v>
      </c>
      <c r="M1382" s="5" t="s">
        <v>82</v>
      </c>
      <c r="N1382" s="5" t="s">
        <v>82</v>
      </c>
      <c r="O1382" s="83"/>
      <c r="P1382" s="20">
        <v>1</v>
      </c>
      <c r="Q1382" s="143">
        <f t="shared" si="984"/>
        <v>100</v>
      </c>
      <c r="R1382" s="124" t="s">
        <v>1363</v>
      </c>
      <c r="S1382" s="8" t="s">
        <v>246</v>
      </c>
      <c r="T1382" s="7" t="s">
        <v>226</v>
      </c>
    </row>
    <row r="1383" spans="1:20" ht="28">
      <c r="A1383" s="113" t="s">
        <v>1361</v>
      </c>
      <c r="B1383" s="115" t="s">
        <v>1374</v>
      </c>
      <c r="C1383" s="5"/>
      <c r="D1383" s="5" t="s">
        <v>248</v>
      </c>
      <c r="E1383" s="132">
        <f>$O$1395-J1383*($O$1395-$O$1381)</f>
        <v>491.4</v>
      </c>
      <c r="F1383" s="139">
        <f t="shared" si="980"/>
        <v>486.85</v>
      </c>
      <c r="G1383" s="149"/>
      <c r="H1383" s="82" t="str">
        <f t="shared" si="981"/>
        <v>87.5 percent up in Jiangshanian international stage</v>
      </c>
      <c r="I1383" s="142" t="str">
        <f t="shared" si="982"/>
        <v>100 percent up in Cambrian Stage 10 international stage</v>
      </c>
      <c r="J1383" s="7">
        <v>0.875</v>
      </c>
      <c r="K1383" s="129">
        <f t="shared" si="983"/>
        <v>87.5</v>
      </c>
      <c r="L1383" s="8" t="s">
        <v>168</v>
      </c>
      <c r="M1383" s="5" t="s">
        <v>82</v>
      </c>
      <c r="N1383" s="5" t="s">
        <v>82</v>
      </c>
      <c r="O1383" s="83"/>
      <c r="P1383" s="20">
        <v>1</v>
      </c>
      <c r="Q1383" s="143">
        <f t="shared" si="984"/>
        <v>100</v>
      </c>
      <c r="R1383" s="124" t="s">
        <v>1363</v>
      </c>
      <c r="S1383" s="8" t="s">
        <v>246</v>
      </c>
      <c r="T1383" s="7" t="s">
        <v>226</v>
      </c>
    </row>
    <row r="1384" spans="1:20" ht="28">
      <c r="A1384" s="113" t="s">
        <v>1361</v>
      </c>
      <c r="B1384" s="115" t="s">
        <v>1375</v>
      </c>
      <c r="C1384" s="5"/>
      <c r="D1384" s="5" t="s">
        <v>82</v>
      </c>
      <c r="E1384" s="132">
        <f>$O$1395-J1384*($O$1395-$O$1381)</f>
        <v>491.4</v>
      </c>
      <c r="F1384" s="139">
        <f t="shared" si="980"/>
        <v>486.85</v>
      </c>
      <c r="G1384" s="149"/>
      <c r="H1384" s="82" t="str">
        <f t="shared" si="981"/>
        <v>87.5 percent up in Jiangshanian international stage</v>
      </c>
      <c r="I1384" s="142" t="str">
        <f t="shared" si="982"/>
        <v>100 percent up in Cambrian Stage 10 international stage</v>
      </c>
      <c r="J1384" s="7">
        <v>0.875</v>
      </c>
      <c r="K1384" s="129">
        <f t="shared" si="983"/>
        <v>87.5</v>
      </c>
      <c r="L1384" s="8" t="s">
        <v>168</v>
      </c>
      <c r="M1384" s="5" t="s">
        <v>82</v>
      </c>
      <c r="N1384" s="5" t="s">
        <v>82</v>
      </c>
      <c r="O1384" s="83"/>
      <c r="P1384" s="20">
        <v>1</v>
      </c>
      <c r="Q1384" s="143">
        <f t="shared" si="984"/>
        <v>100</v>
      </c>
      <c r="R1384" s="124" t="s">
        <v>1363</v>
      </c>
      <c r="S1384" s="8" t="s">
        <v>246</v>
      </c>
      <c r="T1384" s="7" t="s">
        <v>226</v>
      </c>
    </row>
    <row r="1385" spans="1:20" ht="28">
      <c r="A1385" s="113" t="s">
        <v>1361</v>
      </c>
      <c r="B1385" s="115" t="s">
        <v>1376</v>
      </c>
      <c r="C1385" s="5"/>
      <c r="D1385" s="5" t="s">
        <v>82</v>
      </c>
      <c r="E1385" s="132">
        <f>$O$1395-J1385*($O$1395-$O$1381)</f>
        <v>491.4</v>
      </c>
      <c r="F1385" s="139">
        <f t="shared" si="980"/>
        <v>486.85</v>
      </c>
      <c r="G1385" s="149"/>
      <c r="H1385" s="82" t="str">
        <f t="shared" si="981"/>
        <v>87.5 percent up in Jiangshanian international stage</v>
      </c>
      <c r="I1385" s="142" t="str">
        <f t="shared" si="982"/>
        <v>100 percent up in Cambrian Stage 10 international stage</v>
      </c>
      <c r="J1385" s="7">
        <v>0.875</v>
      </c>
      <c r="K1385" s="129">
        <f t="shared" si="983"/>
        <v>87.5</v>
      </c>
      <c r="L1385" s="8" t="s">
        <v>168</v>
      </c>
      <c r="M1385" s="5" t="s">
        <v>82</v>
      </c>
      <c r="N1385" s="5" t="s">
        <v>82</v>
      </c>
      <c r="O1385" s="83"/>
      <c r="P1385" s="20">
        <v>1</v>
      </c>
      <c r="Q1385" s="143">
        <f t="shared" si="984"/>
        <v>100</v>
      </c>
      <c r="R1385" s="124" t="s">
        <v>1363</v>
      </c>
      <c r="S1385" s="8" t="s">
        <v>246</v>
      </c>
      <c r="T1385" s="7" t="s">
        <v>226</v>
      </c>
    </row>
    <row r="1386" spans="1:20" ht="28">
      <c r="A1386" s="113" t="s">
        <v>1361</v>
      </c>
      <c r="B1386" s="115" t="s">
        <v>1377</v>
      </c>
      <c r="C1386" s="5"/>
      <c r="D1386" s="5" t="s">
        <v>961</v>
      </c>
      <c r="E1386" s="132">
        <f>$O$1395-J1386*($O$1395-$O$1381)</f>
        <v>492.6</v>
      </c>
      <c r="F1386" s="139">
        <f t="shared" si="980"/>
        <v>490.43918918918916</v>
      </c>
      <c r="G1386" s="149" t="s">
        <v>1941</v>
      </c>
      <c r="H1386" s="82" t="str">
        <f t="shared" si="981"/>
        <v>50 percent up in Jiangshanian international stage</v>
      </c>
      <c r="I1386" s="142" t="str">
        <f t="shared" si="982"/>
        <v>13.5 percent up in Cambrian Stage 10 international stage</v>
      </c>
      <c r="J1386" s="7">
        <v>0.5</v>
      </c>
      <c r="K1386" s="129">
        <f t="shared" si="983"/>
        <v>50</v>
      </c>
      <c r="L1386" s="8" t="s">
        <v>168</v>
      </c>
      <c r="M1386" s="5" t="s">
        <v>82</v>
      </c>
      <c r="N1386" s="5" t="s">
        <v>82</v>
      </c>
      <c r="O1386" s="83"/>
      <c r="P1386" s="20">
        <v>0.13513513513513556</v>
      </c>
      <c r="Q1386" s="143">
        <f t="shared" si="984"/>
        <v>13.5</v>
      </c>
      <c r="R1386" s="124" t="s">
        <v>1363</v>
      </c>
      <c r="S1386" s="8" t="s">
        <v>246</v>
      </c>
      <c r="T1386" s="7" t="s">
        <v>226</v>
      </c>
    </row>
    <row r="1387" spans="1:20" ht="28">
      <c r="A1387" s="113" t="s">
        <v>1361</v>
      </c>
      <c r="B1387" s="115" t="s">
        <v>1378</v>
      </c>
      <c r="C1387" s="5"/>
      <c r="D1387" s="5" t="s">
        <v>82</v>
      </c>
      <c r="E1387" s="132">
        <f>$O$1395-J1387*($O$1395-$O$1381)</f>
        <v>491.8</v>
      </c>
      <c r="F1387" s="139">
        <f t="shared" si="980"/>
        <v>489.87837837837839</v>
      </c>
      <c r="G1387" s="149"/>
      <c r="H1387" s="82" t="str">
        <f t="shared" si="981"/>
        <v>75 percent up in Jiangshanian international stage</v>
      </c>
      <c r="I1387" s="142" t="str">
        <f t="shared" si="982"/>
        <v>27 percent up in Cambrian Stage 10 international stage</v>
      </c>
      <c r="J1387" s="7">
        <v>0.75</v>
      </c>
      <c r="K1387" s="129">
        <f t="shared" si="983"/>
        <v>75</v>
      </c>
      <c r="L1387" s="8" t="s">
        <v>168</v>
      </c>
      <c r="M1387" s="5" t="s">
        <v>82</v>
      </c>
      <c r="N1387" s="5" t="s">
        <v>82</v>
      </c>
      <c r="O1387" s="83"/>
      <c r="P1387" s="20">
        <v>0.27027027027027112</v>
      </c>
      <c r="Q1387" s="143">
        <f t="shared" si="984"/>
        <v>27</v>
      </c>
      <c r="R1387" s="124" t="s">
        <v>1363</v>
      </c>
      <c r="S1387" s="8" t="s">
        <v>246</v>
      </c>
      <c r="T1387" s="7" t="s">
        <v>226</v>
      </c>
    </row>
    <row r="1388" spans="1:20" ht="28">
      <c r="A1388" s="113" t="s">
        <v>1361</v>
      </c>
      <c r="B1388" s="114" t="s">
        <v>1379</v>
      </c>
      <c r="C1388" s="5"/>
      <c r="D1388" s="5" t="s">
        <v>1217</v>
      </c>
      <c r="E1388" s="132">
        <f>$O$1395-J1388*($O$1395-$O$1381)</f>
        <v>492.2</v>
      </c>
      <c r="F1388" s="139">
        <f t="shared" si="980"/>
        <v>488.19594594594594</v>
      </c>
      <c r="G1388" s="149"/>
      <c r="H1388" s="82" t="str">
        <f t="shared" si="981"/>
        <v>62.5 percent up in Jiangshanian international stage</v>
      </c>
      <c r="I1388" s="142" t="str">
        <f t="shared" si="982"/>
        <v>67.6 percent up in Cambrian Stage 10 international stage</v>
      </c>
      <c r="J1388" s="7">
        <v>0.625</v>
      </c>
      <c r="K1388" s="129">
        <f t="shared" si="983"/>
        <v>62.5</v>
      </c>
      <c r="L1388" s="8" t="s">
        <v>168</v>
      </c>
      <c r="M1388" s="5" t="s">
        <v>82</v>
      </c>
      <c r="N1388" s="5" t="s">
        <v>82</v>
      </c>
      <c r="O1388" s="83"/>
      <c r="P1388" s="20">
        <v>0.67567567567567777</v>
      </c>
      <c r="Q1388" s="143">
        <f t="shared" si="984"/>
        <v>67.599999999999994</v>
      </c>
      <c r="R1388" s="124" t="s">
        <v>1363</v>
      </c>
      <c r="S1388" s="8" t="s">
        <v>246</v>
      </c>
      <c r="T1388" s="7" t="s">
        <v>226</v>
      </c>
    </row>
    <row r="1389" spans="1:20" ht="28">
      <c r="A1389" s="113" t="s">
        <v>1361</v>
      </c>
      <c r="B1389" s="115" t="s">
        <v>1381</v>
      </c>
      <c r="C1389" s="5"/>
      <c r="D1389" s="5" t="s">
        <v>82</v>
      </c>
      <c r="E1389" s="132">
        <f>$O$1395-J1389*($O$1395-$O$1381)</f>
        <v>493</v>
      </c>
      <c r="F1389" s="139">
        <f>$O$1395-P1389*($O$1395-$O$1381)</f>
        <v>491.8</v>
      </c>
      <c r="G1389" s="149"/>
      <c r="H1389" s="82" t="str">
        <f t="shared" si="981"/>
        <v>37.5 percent up in Jiangshanian international stage</v>
      </c>
      <c r="I1389" s="142" t="str">
        <f t="shared" si="982"/>
        <v>75 percent up in Jiangshanian international stage</v>
      </c>
      <c r="J1389" s="7">
        <v>0.375</v>
      </c>
      <c r="K1389" s="129">
        <f t="shared" si="983"/>
        <v>37.5</v>
      </c>
      <c r="L1389" s="8" t="s">
        <v>168</v>
      </c>
      <c r="M1389" s="5" t="s">
        <v>82</v>
      </c>
      <c r="N1389" s="5" t="s">
        <v>82</v>
      </c>
      <c r="O1389" s="83"/>
      <c r="P1389" s="20">
        <v>0.75</v>
      </c>
      <c r="Q1389" s="143">
        <f t="shared" si="984"/>
        <v>75</v>
      </c>
      <c r="R1389" s="21" t="s">
        <v>168</v>
      </c>
      <c r="S1389" s="8" t="s">
        <v>259</v>
      </c>
      <c r="T1389" s="7">
        <v>0.375</v>
      </c>
    </row>
    <row r="1390" spans="1:20" ht="28">
      <c r="A1390" s="113" t="s">
        <v>1361</v>
      </c>
      <c r="B1390" s="115" t="s">
        <v>1382</v>
      </c>
      <c r="C1390" s="5"/>
      <c r="D1390" s="5" t="s">
        <v>82</v>
      </c>
      <c r="E1390" s="132">
        <f>$O$1395-J1390*($O$1395-$O$1381)</f>
        <v>494.2</v>
      </c>
      <c r="F1390" s="139">
        <f>$O$1395-P1390*($O$1395-$O$1381)</f>
        <v>491</v>
      </c>
      <c r="G1390" s="149"/>
      <c r="H1390" s="82" t="str">
        <f t="shared" si="981"/>
        <v>0 percent up in Jiangshanian international stage</v>
      </c>
      <c r="I1390" s="142" t="str">
        <f t="shared" si="982"/>
        <v>100 percent up in Jiangshanian international stage</v>
      </c>
      <c r="J1390" s="7">
        <v>0</v>
      </c>
      <c r="K1390" s="129">
        <f t="shared" si="983"/>
        <v>0</v>
      </c>
      <c r="L1390" s="8" t="s">
        <v>168</v>
      </c>
      <c r="M1390" s="5" t="s">
        <v>82</v>
      </c>
      <c r="N1390" s="5" t="s">
        <v>82</v>
      </c>
      <c r="O1390" s="83"/>
      <c r="P1390" s="20">
        <v>1</v>
      </c>
      <c r="Q1390" s="143">
        <f t="shared" si="984"/>
        <v>100</v>
      </c>
      <c r="R1390" s="21" t="s">
        <v>168</v>
      </c>
      <c r="S1390" s="8" t="s">
        <v>232</v>
      </c>
      <c r="T1390" s="7" t="s">
        <v>226</v>
      </c>
    </row>
    <row r="1391" spans="1:20" ht="28">
      <c r="A1391" s="113" t="s">
        <v>1361</v>
      </c>
      <c r="B1391" s="114" t="s">
        <v>1383</v>
      </c>
      <c r="C1391" s="5"/>
      <c r="D1391" s="5" t="s">
        <v>368</v>
      </c>
      <c r="E1391" s="132">
        <f>$O$1395-J1391*($O$1395-$O$1381)</f>
        <v>494.2</v>
      </c>
      <c r="F1391" s="139">
        <f>$O$1395-P1391*($O$1395-$O$1381)</f>
        <v>491</v>
      </c>
      <c r="G1391" s="149"/>
      <c r="H1391" s="82" t="str">
        <f t="shared" si="981"/>
        <v>0 percent up in Jiangshanian international stage</v>
      </c>
      <c r="I1391" s="142" t="str">
        <f t="shared" si="982"/>
        <v>100 percent up in Jiangshanian international stage</v>
      </c>
      <c r="J1391" s="7">
        <v>0</v>
      </c>
      <c r="K1391" s="129">
        <f t="shared" si="983"/>
        <v>0</v>
      </c>
      <c r="L1391" s="8" t="s">
        <v>168</v>
      </c>
      <c r="M1391" s="5" t="s">
        <v>82</v>
      </c>
      <c r="N1391" s="5" t="s">
        <v>82</v>
      </c>
      <c r="O1391" s="83"/>
      <c r="P1391" s="20">
        <v>1</v>
      </c>
      <c r="Q1391" s="143">
        <f t="shared" si="984"/>
        <v>100</v>
      </c>
      <c r="R1391" s="21" t="s">
        <v>168</v>
      </c>
      <c r="S1391" s="8" t="s">
        <v>232</v>
      </c>
      <c r="T1391" s="7" t="s">
        <v>226</v>
      </c>
    </row>
    <row r="1392" spans="1:20" ht="28">
      <c r="A1392" s="113" t="s">
        <v>1361</v>
      </c>
      <c r="B1392" s="114" t="s">
        <v>1384</v>
      </c>
      <c r="C1392" s="5"/>
      <c r="D1392" s="5" t="s">
        <v>1371</v>
      </c>
      <c r="E1392" s="132">
        <f>$O$1395-J1392*($O$1395-$O$1381)</f>
        <v>494.2</v>
      </c>
      <c r="F1392" s="139">
        <f>$O$1395-P1392*($O$1395-$O$1381)</f>
        <v>491</v>
      </c>
      <c r="G1392" s="149"/>
      <c r="H1392" s="82" t="str">
        <f t="shared" si="981"/>
        <v>0 percent up in Jiangshanian international stage</v>
      </c>
      <c r="I1392" s="142" t="str">
        <f t="shared" si="982"/>
        <v>100 percent up in Jiangshanian international stage</v>
      </c>
      <c r="J1392" s="7">
        <v>0</v>
      </c>
      <c r="K1392" s="129">
        <f t="shared" si="983"/>
        <v>0</v>
      </c>
      <c r="L1392" s="8" t="s">
        <v>168</v>
      </c>
      <c r="M1392" s="5" t="s">
        <v>82</v>
      </c>
      <c r="N1392" s="5" t="s">
        <v>82</v>
      </c>
      <c r="O1392" s="83"/>
      <c r="P1392" s="20">
        <v>1</v>
      </c>
      <c r="Q1392" s="143">
        <f t="shared" si="984"/>
        <v>100</v>
      </c>
      <c r="R1392" s="21" t="s">
        <v>168</v>
      </c>
      <c r="S1392" s="8" t="s">
        <v>232</v>
      </c>
      <c r="T1392" s="7" t="s">
        <v>226</v>
      </c>
    </row>
    <row r="1393" spans="1:20" ht="28">
      <c r="A1393" s="113"/>
      <c r="B1393" s="115" t="s">
        <v>2188</v>
      </c>
      <c r="C1393" s="5"/>
      <c r="D1393" s="5"/>
      <c r="E1393" s="132">
        <f>$O$1395-J1393*($O$1395-$O$1381)</f>
        <v>492.6</v>
      </c>
      <c r="F1393" s="139">
        <f>$O$1395-P1393*($O$1395-$O$1381)</f>
        <v>491</v>
      </c>
      <c r="G1393" s="149" t="s">
        <v>2186</v>
      </c>
      <c r="H1393" s="82" t="str">
        <f t="shared" ref="H1393:H1394" si="991">CONCATENATE(K1393," percent up in ",L1393," international stage")</f>
        <v>50 percent up in Jiangshanian international stage</v>
      </c>
      <c r="I1393" s="142" t="str">
        <f t="shared" ref="I1393:I1394" si="992">CONCATENATE(Q1393," percent up in ",R1393," international stage")</f>
        <v>100 percent up in Jiangshanian international stage</v>
      </c>
      <c r="J1393" s="7">
        <v>0.5</v>
      </c>
      <c r="K1393" s="129">
        <f t="shared" ref="K1393:K1394" si="993">ROUND(J1393*100,1)</f>
        <v>50</v>
      </c>
      <c r="L1393" s="8" t="s">
        <v>168</v>
      </c>
      <c r="M1393" s="5" t="s">
        <v>82</v>
      </c>
      <c r="N1393" s="5" t="s">
        <v>82</v>
      </c>
      <c r="O1393" s="83"/>
      <c r="P1393" s="20">
        <v>1</v>
      </c>
      <c r="Q1393" s="143">
        <f t="shared" ref="Q1393:Q1394" si="994">ROUND(P1393*100,1)</f>
        <v>100</v>
      </c>
      <c r="R1393" s="21" t="s">
        <v>168</v>
      </c>
      <c r="S1393" s="8"/>
    </row>
    <row r="1394" spans="1:20" ht="28">
      <c r="A1394" s="113"/>
      <c r="B1394" s="115" t="s">
        <v>2189</v>
      </c>
      <c r="C1394" s="5"/>
      <c r="D1394" s="5"/>
      <c r="E1394" s="132">
        <f>$O$1395-J1394*($O$1395-$O$1381)</f>
        <v>494.2</v>
      </c>
      <c r="F1394" s="139">
        <f>$O$1395-P1394*($O$1395-$O$1381)</f>
        <v>492.6</v>
      </c>
      <c r="G1394" s="149" t="s">
        <v>2187</v>
      </c>
      <c r="H1394" s="82" t="str">
        <f t="shared" si="991"/>
        <v>0 percent up in Jiangshanian international stage</v>
      </c>
      <c r="I1394" s="142" t="str">
        <f t="shared" si="992"/>
        <v>50 percent up in Jiangshanian international stage</v>
      </c>
      <c r="J1394" s="7">
        <v>0</v>
      </c>
      <c r="K1394" s="129">
        <f t="shared" si="993"/>
        <v>0</v>
      </c>
      <c r="L1394" s="8" t="s">
        <v>168</v>
      </c>
      <c r="M1394" s="5" t="s">
        <v>82</v>
      </c>
      <c r="N1394" s="5" t="s">
        <v>82</v>
      </c>
      <c r="O1394" s="83"/>
      <c r="P1394" s="20">
        <v>0.5</v>
      </c>
      <c r="Q1394" s="143">
        <f t="shared" si="994"/>
        <v>50</v>
      </c>
      <c r="R1394" s="21" t="s">
        <v>168</v>
      </c>
      <c r="S1394" s="8"/>
    </row>
    <row r="1395" spans="1:20" ht="28">
      <c r="A1395" s="113" t="s">
        <v>1361</v>
      </c>
      <c r="B1395" s="115" t="s">
        <v>168</v>
      </c>
      <c r="C1395" s="135"/>
      <c r="D1395" s="135" t="s">
        <v>222</v>
      </c>
      <c r="E1395" s="132">
        <f>$O$1395-J1395*($O$1395-$O$1381)</f>
        <v>494.2</v>
      </c>
      <c r="F1395" s="139">
        <f>$O$1395-P1395*($O$1395-$O$1381)</f>
        <v>491</v>
      </c>
      <c r="G1395" s="149"/>
      <c r="H1395" s="82" t="str">
        <f t="shared" si="981"/>
        <v>0 percent up in Jiangshanian international stage</v>
      </c>
      <c r="I1395" s="142" t="str">
        <f t="shared" si="982"/>
        <v>100 percent up in Jiangshanian international stage</v>
      </c>
      <c r="J1395" s="7">
        <v>0</v>
      </c>
      <c r="K1395" s="129">
        <f t="shared" si="983"/>
        <v>0</v>
      </c>
      <c r="L1395" s="8" t="s">
        <v>168</v>
      </c>
      <c r="M1395" s="5" t="s">
        <v>224</v>
      </c>
      <c r="N1395" s="5" t="s">
        <v>1385</v>
      </c>
      <c r="O1395" s="83">
        <f>Master_Chronostrat!I154</f>
        <v>494.2</v>
      </c>
      <c r="P1395" s="20">
        <v>1</v>
      </c>
      <c r="Q1395" s="143">
        <f t="shared" si="984"/>
        <v>100</v>
      </c>
      <c r="R1395" s="21" t="s">
        <v>168</v>
      </c>
      <c r="S1395" s="8" t="s">
        <v>224</v>
      </c>
      <c r="T1395" s="7" t="s">
        <v>226</v>
      </c>
    </row>
    <row r="1396" spans="1:20" ht="28">
      <c r="A1396" s="113" t="s">
        <v>1361</v>
      </c>
      <c r="B1396" s="115" t="s">
        <v>1386</v>
      </c>
      <c r="C1396" s="5"/>
      <c r="D1396" s="5" t="s">
        <v>248</v>
      </c>
      <c r="E1396" s="132">
        <f t="shared" ref="E1396:E1407" si="995">$O$1407-J1396*($O$1407-$O$1395)</f>
        <v>494.94666666666666</v>
      </c>
      <c r="F1396" s="139">
        <f>$O$1395-P1396*($O$1395-$O$1381)</f>
        <v>491.4</v>
      </c>
      <c r="G1396" s="149"/>
      <c r="H1396" s="82" t="str">
        <f t="shared" si="981"/>
        <v>73.3 percent up in Paibian international stage</v>
      </c>
      <c r="I1396" s="142" t="str">
        <f t="shared" si="982"/>
        <v>87.5 percent up in Jiangshanian international stage</v>
      </c>
      <c r="J1396" s="7">
        <v>0.73333333333332962</v>
      </c>
      <c r="K1396" s="129">
        <f t="shared" si="983"/>
        <v>73.3</v>
      </c>
      <c r="L1396" s="8" t="s">
        <v>170</v>
      </c>
      <c r="M1396" s="5" t="s">
        <v>82</v>
      </c>
      <c r="N1396" s="5" t="s">
        <v>82</v>
      </c>
      <c r="O1396" s="83"/>
      <c r="P1396" s="20">
        <v>0.875</v>
      </c>
      <c r="Q1396" s="143">
        <f t="shared" si="984"/>
        <v>87.5</v>
      </c>
      <c r="R1396" s="21" t="s">
        <v>168</v>
      </c>
      <c r="S1396" s="8" t="s">
        <v>246</v>
      </c>
      <c r="T1396" s="7" t="s">
        <v>226</v>
      </c>
    </row>
    <row r="1397" spans="1:20" ht="28">
      <c r="A1397" s="113" t="s">
        <v>1361</v>
      </c>
      <c r="B1397" s="115" t="s">
        <v>1387</v>
      </c>
      <c r="C1397" s="5"/>
      <c r="D1397" s="5" t="s">
        <v>82</v>
      </c>
      <c r="E1397" s="132">
        <f t="shared" si="995"/>
        <v>494.94666666666666</v>
      </c>
      <c r="F1397" s="139">
        <f>$O$1395-P1397*($O$1395-$O$1381)</f>
        <v>491.4</v>
      </c>
      <c r="G1397" s="149"/>
      <c r="H1397" s="82" t="str">
        <f t="shared" si="981"/>
        <v>73.3 percent up in Paibian international stage</v>
      </c>
      <c r="I1397" s="142" t="str">
        <f t="shared" si="982"/>
        <v>87.5 percent up in Jiangshanian international stage</v>
      </c>
      <c r="J1397" s="7">
        <v>0.73333333333332962</v>
      </c>
      <c r="K1397" s="129">
        <f t="shared" si="983"/>
        <v>73.3</v>
      </c>
      <c r="L1397" s="8" t="s">
        <v>170</v>
      </c>
      <c r="M1397" s="5" t="s">
        <v>82</v>
      </c>
      <c r="N1397" s="5" t="s">
        <v>82</v>
      </c>
      <c r="O1397" s="83"/>
      <c r="P1397" s="20">
        <v>0.875</v>
      </c>
      <c r="Q1397" s="143">
        <f t="shared" si="984"/>
        <v>87.5</v>
      </c>
      <c r="R1397" s="21" t="s">
        <v>168</v>
      </c>
      <c r="S1397" s="8" t="s">
        <v>246</v>
      </c>
      <c r="T1397" s="7" t="s">
        <v>226</v>
      </c>
    </row>
    <row r="1398" spans="1:20" ht="28">
      <c r="A1398" s="113"/>
      <c r="B1398" s="115" t="s">
        <v>2185</v>
      </c>
      <c r="C1398" s="5"/>
      <c r="D1398" s="5"/>
      <c r="E1398" s="132">
        <f>$O$1395-J1398*($O$1395-$O$1381)</f>
        <v>493.17599999999999</v>
      </c>
      <c r="F1398" s="139">
        <f>$O$1395-P1398*($O$1395-$O$1381)</f>
        <v>491.4</v>
      </c>
      <c r="G1398" s="149" t="s">
        <v>2186</v>
      </c>
      <c r="H1398" s="82" t="str">
        <f t="shared" ref="H1398:H1399" si="996">CONCATENATE(K1398," percent up in ",L1398," international stage")</f>
        <v>32 percent up in Jiangshanian international stage</v>
      </c>
      <c r="I1398" s="142" t="str">
        <f t="shared" ref="I1398:I1399" si="997">CONCATENATE(Q1398," percent up in ",R1398," international stage")</f>
        <v>87.5 percent up in Jiangshanian international stage</v>
      </c>
      <c r="J1398" s="7">
        <v>0.32</v>
      </c>
      <c r="K1398" s="129">
        <f t="shared" ref="K1398:K1399" si="998">ROUND(J1398*100,1)</f>
        <v>32</v>
      </c>
      <c r="L1398" s="8" t="s">
        <v>168</v>
      </c>
      <c r="M1398" s="5" t="s">
        <v>82</v>
      </c>
      <c r="N1398" s="5" t="s">
        <v>82</v>
      </c>
      <c r="O1398" s="83"/>
      <c r="P1398" s="20">
        <v>0.875</v>
      </c>
      <c r="Q1398" s="143">
        <f t="shared" ref="Q1398:Q1399" si="999">ROUND(P1398*100,1)</f>
        <v>87.5</v>
      </c>
      <c r="R1398" s="21" t="s">
        <v>168</v>
      </c>
      <c r="S1398" s="8"/>
    </row>
    <row r="1399" spans="1:20" ht="28">
      <c r="A1399" s="113"/>
      <c r="B1399" s="115" t="s">
        <v>2184</v>
      </c>
      <c r="C1399" s="5"/>
      <c r="D1399" s="5"/>
      <c r="E1399" s="132">
        <f t="shared" ref="E1399" si="1000">$O$1407-J1399*($O$1407-$O$1395)</f>
        <v>494.94666666666666</v>
      </c>
      <c r="F1399" s="139">
        <f>$O$1395-P1399*($O$1395-$O$1381)</f>
        <v>493.17599999999999</v>
      </c>
      <c r="G1399" s="149" t="s">
        <v>2187</v>
      </c>
      <c r="H1399" s="82" t="str">
        <f t="shared" si="996"/>
        <v>73.3 percent up in Paibian international stage</v>
      </c>
      <c r="I1399" s="142" t="str">
        <f t="shared" si="997"/>
        <v>32 percent up in Jiangshanian international stage</v>
      </c>
      <c r="J1399" s="7">
        <v>0.73333333333332962</v>
      </c>
      <c r="K1399" s="129">
        <f t="shared" si="998"/>
        <v>73.3</v>
      </c>
      <c r="L1399" s="8" t="s">
        <v>170</v>
      </c>
      <c r="M1399" s="5" t="s">
        <v>82</v>
      </c>
      <c r="N1399" s="5" t="s">
        <v>82</v>
      </c>
      <c r="O1399" s="83"/>
      <c r="P1399" s="20">
        <v>0.32</v>
      </c>
      <c r="Q1399" s="143">
        <f t="shared" si="999"/>
        <v>32</v>
      </c>
      <c r="R1399" s="21" t="s">
        <v>168</v>
      </c>
      <c r="S1399" s="8"/>
    </row>
    <row r="1400" spans="1:20" ht="28">
      <c r="A1400" s="113" t="s">
        <v>1361</v>
      </c>
      <c r="B1400" s="115" t="s">
        <v>1388</v>
      </c>
      <c r="C1400" s="5"/>
      <c r="D1400" s="5" t="s">
        <v>82</v>
      </c>
      <c r="E1400" s="132">
        <f t="shared" si="995"/>
        <v>494.94666666666666</v>
      </c>
      <c r="F1400" s="139">
        <f>$O$1395-P1400*($O$1395-$O$1381)</f>
        <v>491.4</v>
      </c>
      <c r="G1400" s="149"/>
      <c r="H1400" s="82" t="str">
        <f t="shared" si="981"/>
        <v>73.3 percent up in Paibian international stage</v>
      </c>
      <c r="I1400" s="142" t="str">
        <f t="shared" si="982"/>
        <v>87.5 percent up in Jiangshanian international stage</v>
      </c>
      <c r="J1400" s="7">
        <v>0.73333333333332962</v>
      </c>
      <c r="K1400" s="129">
        <f t="shared" si="983"/>
        <v>73.3</v>
      </c>
      <c r="L1400" s="8" t="s">
        <v>170</v>
      </c>
      <c r="M1400" s="5" t="s">
        <v>82</v>
      </c>
      <c r="N1400" s="5" t="s">
        <v>82</v>
      </c>
      <c r="O1400" s="83"/>
      <c r="P1400" s="20">
        <v>0.875</v>
      </c>
      <c r="Q1400" s="143">
        <f t="shared" si="984"/>
        <v>87.5</v>
      </c>
      <c r="R1400" s="21" t="s">
        <v>168</v>
      </c>
      <c r="S1400" s="8" t="s">
        <v>246</v>
      </c>
      <c r="T1400" s="7" t="s">
        <v>226</v>
      </c>
    </row>
    <row r="1401" spans="1:20" ht="28">
      <c r="A1401" s="113"/>
      <c r="B1401" s="115" t="s">
        <v>2018</v>
      </c>
      <c r="C1401" s="5"/>
      <c r="D1401" s="5"/>
      <c r="E1401" s="132">
        <f>$O$1395-J1401*($O$1395-$O$1381)</f>
        <v>493.88</v>
      </c>
      <c r="F1401" s="139">
        <f>$O$1395-P1401*($O$1395-$O$1381)</f>
        <v>492.6</v>
      </c>
      <c r="G1401" s="149" t="s">
        <v>2021</v>
      </c>
      <c r="H1401" s="82" t="str">
        <f t="shared" si="981"/>
        <v>10 percent up in Jiangshanian international stage</v>
      </c>
      <c r="I1401" s="142" t="str">
        <f t="shared" si="982"/>
        <v>50 percent up in Jiangshanian international stage</v>
      </c>
      <c r="J1401" s="7">
        <v>0.1</v>
      </c>
      <c r="K1401" s="129">
        <f t="shared" ref="K1401" si="1001">ROUND(J1401*100,1)</f>
        <v>10</v>
      </c>
      <c r="L1401" s="8" t="s">
        <v>168</v>
      </c>
      <c r="M1401" s="5"/>
      <c r="O1401" s="83"/>
      <c r="P1401" s="20">
        <v>0.5</v>
      </c>
      <c r="Q1401" s="143">
        <f t="shared" ref="Q1401:Q1402" si="1002">ROUND(P1401*100,1)</f>
        <v>50</v>
      </c>
      <c r="R1401" s="21" t="s">
        <v>168</v>
      </c>
      <c r="S1401" s="8"/>
    </row>
    <row r="1402" spans="1:20" ht="28">
      <c r="A1402" s="113"/>
      <c r="B1402" s="115" t="s">
        <v>2019</v>
      </c>
      <c r="C1402" s="5"/>
      <c r="D1402" s="5"/>
      <c r="E1402" s="132">
        <f>E1403</f>
        <v>495.13333333333333</v>
      </c>
      <c r="F1402" s="139">
        <f>$O$1395-P1402*($O$1395-$O$1381)</f>
        <v>493.88</v>
      </c>
      <c r="G1402" s="149" t="s">
        <v>2020</v>
      </c>
      <c r="H1402" s="82" t="str">
        <f t="shared" si="981"/>
        <v>66.7 percent up in Paibian international stage</v>
      </c>
      <c r="I1402" s="142" t="str">
        <f t="shared" si="982"/>
        <v>10 percent up in Jiangshanian international stage</v>
      </c>
      <c r="J1402" s="7">
        <v>0.66666666666666674</v>
      </c>
      <c r="K1402" s="129">
        <f t="shared" ref="K1402" si="1003">ROUND(J1402*100,1)</f>
        <v>66.7</v>
      </c>
      <c r="L1402" s="8" t="s">
        <v>170</v>
      </c>
      <c r="M1402" s="5"/>
      <c r="O1402" s="83"/>
      <c r="P1402" s="20">
        <v>0.1</v>
      </c>
      <c r="Q1402" s="143">
        <f t="shared" si="1002"/>
        <v>10</v>
      </c>
      <c r="R1402" s="21" t="s">
        <v>168</v>
      </c>
      <c r="S1402" s="8"/>
    </row>
    <row r="1403" spans="1:20" ht="28">
      <c r="A1403" s="113" t="s">
        <v>1361</v>
      </c>
      <c r="B1403" s="115" t="s">
        <v>1389</v>
      </c>
      <c r="C1403" s="5"/>
      <c r="D1403" s="5" t="s">
        <v>368</v>
      </c>
      <c r="E1403" s="132">
        <f t="shared" si="995"/>
        <v>495.13333333333333</v>
      </c>
      <c r="F1403" s="139">
        <f>$O$1395-P1403*($O$1395-$O$1381)</f>
        <v>492.6</v>
      </c>
      <c r="G1403" s="149"/>
      <c r="H1403" s="82" t="str">
        <f t="shared" si="981"/>
        <v>66.7 percent up in Paibian international stage</v>
      </c>
      <c r="I1403" s="142" t="str">
        <f t="shared" si="982"/>
        <v>50 percent up in Jiangshanian international stage</v>
      </c>
      <c r="J1403" s="7">
        <v>0.66666666666666674</v>
      </c>
      <c r="K1403" s="129">
        <f t="shared" si="983"/>
        <v>66.7</v>
      </c>
      <c r="L1403" s="8" t="s">
        <v>170</v>
      </c>
      <c r="M1403" s="5" t="s">
        <v>82</v>
      </c>
      <c r="N1403" s="5" t="s">
        <v>82</v>
      </c>
      <c r="O1403" s="83"/>
      <c r="P1403" s="20">
        <v>0.5</v>
      </c>
      <c r="Q1403" s="143">
        <f t="shared" si="984"/>
        <v>50</v>
      </c>
      <c r="R1403" s="21" t="s">
        <v>168</v>
      </c>
      <c r="S1403" s="8" t="s">
        <v>246</v>
      </c>
      <c r="T1403" s="7" t="s">
        <v>226</v>
      </c>
    </row>
    <row r="1404" spans="1:20" ht="28">
      <c r="A1404" s="113" t="s">
        <v>1361</v>
      </c>
      <c r="B1404" s="114" t="s">
        <v>1390</v>
      </c>
      <c r="C1404" s="5"/>
      <c r="D1404" s="5" t="s">
        <v>1217</v>
      </c>
      <c r="E1404" s="132">
        <f t="shared" si="995"/>
        <v>495.75555555555559</v>
      </c>
      <c r="F1404" s="139">
        <f>$O$1395-P1404*($O$1395-$O$1381)</f>
        <v>492.2</v>
      </c>
      <c r="G1404" s="149"/>
      <c r="H1404" s="82" t="str">
        <f t="shared" si="981"/>
        <v>44.4 percent up in Paibian international stage</v>
      </c>
      <c r="I1404" s="142" t="str">
        <f t="shared" si="982"/>
        <v>62.5 percent up in Jiangshanian international stage</v>
      </c>
      <c r="J1404" s="7">
        <v>0.44444444444443809</v>
      </c>
      <c r="K1404" s="129">
        <f t="shared" si="983"/>
        <v>44.4</v>
      </c>
      <c r="L1404" s="8" t="s">
        <v>170</v>
      </c>
      <c r="M1404" s="5" t="s">
        <v>82</v>
      </c>
      <c r="N1404" s="5" t="s">
        <v>82</v>
      </c>
      <c r="O1404" s="83"/>
      <c r="P1404" s="20">
        <v>0.625</v>
      </c>
      <c r="Q1404" s="143">
        <f t="shared" si="984"/>
        <v>62.5</v>
      </c>
      <c r="R1404" s="21" t="s">
        <v>168</v>
      </c>
      <c r="S1404" s="8" t="s">
        <v>246</v>
      </c>
      <c r="T1404" s="7" t="s">
        <v>226</v>
      </c>
    </row>
    <row r="1405" spans="1:20" ht="28">
      <c r="A1405" s="113" t="s">
        <v>1361</v>
      </c>
      <c r="B1405" s="115" t="s">
        <v>1380</v>
      </c>
      <c r="C1405" s="5"/>
      <c r="D1405" s="5" t="s">
        <v>961</v>
      </c>
      <c r="E1405" s="132">
        <f t="shared" si="995"/>
        <v>497</v>
      </c>
      <c r="F1405" s="139">
        <f>$O$1395-P1405*($O$1395-$O$1381)</f>
        <v>492.6</v>
      </c>
      <c r="G1405" s="149" t="s">
        <v>1941</v>
      </c>
      <c r="H1405" s="82" t="str">
        <f t="shared" si="981"/>
        <v>0 percent up in Paibian international stage</v>
      </c>
      <c r="I1405" s="142" t="str">
        <f>CONCATENATE(Q1405," percent up in ",R1405," international stage")</f>
        <v>50 percent up in Jiangshanian international stage</v>
      </c>
      <c r="J1405" s="7">
        <v>0</v>
      </c>
      <c r="K1405" s="129">
        <f t="shared" ref="K1405" si="1004">ROUND(J1405*100,1)</f>
        <v>0</v>
      </c>
      <c r="L1405" s="8" t="s">
        <v>170</v>
      </c>
      <c r="M1405" s="5" t="s">
        <v>82</v>
      </c>
      <c r="N1405" s="5" t="s">
        <v>82</v>
      </c>
      <c r="O1405" s="83"/>
      <c r="P1405" s="20">
        <v>0.5</v>
      </c>
      <c r="Q1405" s="143">
        <f>ROUND(P1405*100,1)</f>
        <v>50</v>
      </c>
      <c r="R1405" s="21" t="s">
        <v>168</v>
      </c>
      <c r="S1405" s="8" t="s">
        <v>259</v>
      </c>
      <c r="T1405" s="7">
        <v>0.375</v>
      </c>
    </row>
    <row r="1406" spans="1:20" ht="28">
      <c r="A1406" s="113" t="s">
        <v>1361</v>
      </c>
      <c r="B1406" s="115" t="s">
        <v>170</v>
      </c>
      <c r="C1406" s="135"/>
      <c r="D1406" s="135" t="s">
        <v>222</v>
      </c>
      <c r="E1406" s="132">
        <f t="shared" si="995"/>
        <v>497</v>
      </c>
      <c r="F1406" s="139">
        <f>$O$1407-P1406*($O$1407-$O$1395)</f>
        <v>494.2</v>
      </c>
      <c r="G1406" s="149"/>
      <c r="H1406" s="82" t="str">
        <f t="shared" si="981"/>
        <v>0 percent up in Paibian international stage</v>
      </c>
      <c r="I1406" s="142" t="str">
        <f t="shared" si="982"/>
        <v>100 percent up in Paibian international stage</v>
      </c>
      <c r="J1406" s="7">
        <v>0</v>
      </c>
      <c r="K1406" s="129">
        <f t="shared" si="983"/>
        <v>0</v>
      </c>
      <c r="L1406" s="8" t="s">
        <v>170</v>
      </c>
      <c r="M1406" s="5" t="s">
        <v>224</v>
      </c>
      <c r="N1406" s="5" t="s">
        <v>1391</v>
      </c>
      <c r="O1406" s="83">
        <f>Master_Chronostrat!I155</f>
        <v>497</v>
      </c>
      <c r="P1406" s="20">
        <v>1</v>
      </c>
      <c r="Q1406" s="143">
        <f t="shared" si="984"/>
        <v>100</v>
      </c>
      <c r="R1406" s="21" t="s">
        <v>170</v>
      </c>
      <c r="S1406" s="8" t="s">
        <v>246</v>
      </c>
      <c r="T1406" s="7" t="s">
        <v>226</v>
      </c>
    </row>
    <row r="1407" spans="1:20" ht="28">
      <c r="A1407" s="113" t="s">
        <v>1361</v>
      </c>
      <c r="B1407" s="115" t="s">
        <v>169</v>
      </c>
      <c r="C1407" s="135"/>
      <c r="D1407" s="135" t="s">
        <v>222</v>
      </c>
      <c r="E1407" s="132">
        <f t="shared" si="995"/>
        <v>497</v>
      </c>
      <c r="F1407" s="139">
        <f>$O$1381-P1407*($O$1381-$O$1371)</f>
        <v>486.85</v>
      </c>
      <c r="G1407" s="149"/>
      <c r="H1407" s="82" t="str">
        <f t="shared" si="981"/>
        <v>0 percent up in Paibian international stage</v>
      </c>
      <c r="I1407" s="142" t="str">
        <f t="shared" si="982"/>
        <v>100 percent up in Cambrian Stage 10 international stage</v>
      </c>
      <c r="J1407" s="7">
        <v>0</v>
      </c>
      <c r="K1407" s="129">
        <f t="shared" si="983"/>
        <v>0</v>
      </c>
      <c r="L1407" s="8" t="s">
        <v>170</v>
      </c>
      <c r="M1407" s="5" t="s">
        <v>224</v>
      </c>
      <c r="N1407" s="5" t="s">
        <v>1392</v>
      </c>
      <c r="O1407" s="83">
        <f>Master_Chronostrat!I155</f>
        <v>497</v>
      </c>
      <c r="P1407" s="20">
        <v>1</v>
      </c>
      <c r="Q1407" s="143">
        <f t="shared" si="984"/>
        <v>100</v>
      </c>
      <c r="R1407" s="124" t="s">
        <v>1363</v>
      </c>
      <c r="S1407" s="8" t="s">
        <v>246</v>
      </c>
      <c r="T1407" s="7" t="s">
        <v>226</v>
      </c>
    </row>
    <row r="1408" spans="1:20" ht="28">
      <c r="A1408" s="113" t="s">
        <v>1361</v>
      </c>
      <c r="B1408" s="115" t="s">
        <v>1393</v>
      </c>
      <c r="C1408" s="5"/>
      <c r="D1408" s="5" t="s">
        <v>961</v>
      </c>
      <c r="E1408" s="132">
        <f>$O$1438-J1408*($O$1438-$O$1407)</f>
        <v>498.75</v>
      </c>
      <c r="F1408" s="139">
        <f>$O$1438-P1408*($O$1438-$O$1407)</f>
        <v>497</v>
      </c>
      <c r="G1408" s="149" t="s">
        <v>1941</v>
      </c>
      <c r="H1408" s="82" t="str">
        <f t="shared" si="981"/>
        <v>50 percent up in Guzhangian international stage</v>
      </c>
      <c r="I1408" s="142" t="str">
        <f t="shared" si="982"/>
        <v>100 percent up in Guzhangian international stage</v>
      </c>
      <c r="J1408" s="7">
        <v>0.5</v>
      </c>
      <c r="K1408" s="129">
        <f t="shared" si="983"/>
        <v>50</v>
      </c>
      <c r="L1408" s="8" t="s">
        <v>171</v>
      </c>
      <c r="M1408" s="5" t="s">
        <v>82</v>
      </c>
      <c r="N1408" s="5" t="s">
        <v>82</v>
      </c>
      <c r="O1408" s="83"/>
      <c r="P1408" s="20">
        <v>1</v>
      </c>
      <c r="Q1408" s="143">
        <f t="shared" ref="Q1408:Q1409" si="1005">ROUND(P1408*100,1)</f>
        <v>100</v>
      </c>
      <c r="R1408" s="21" t="s">
        <v>171</v>
      </c>
      <c r="S1408" s="8" t="s">
        <v>246</v>
      </c>
      <c r="T1408" s="7" t="s">
        <v>226</v>
      </c>
    </row>
    <row r="1409" spans="1:20" ht="34">
      <c r="A1409" s="113"/>
      <c r="B1409" s="115" t="s">
        <v>2046</v>
      </c>
      <c r="C1409" s="5"/>
      <c r="D1409" s="5"/>
      <c r="E1409" s="132">
        <f>$O$1395-J1409*($O$1395-$O$1381)</f>
        <v>493.4</v>
      </c>
      <c r="F1409" s="139">
        <f>$O$1381-P1409*($O$1381-$O$1371)</f>
        <v>486.85</v>
      </c>
      <c r="G1409" s="149" t="s">
        <v>2047</v>
      </c>
      <c r="H1409" s="82" t="str">
        <f t="shared" si="981"/>
        <v>25 percent up in Jiangshanian international stage</v>
      </c>
      <c r="I1409" s="142" t="str">
        <f t="shared" si="982"/>
        <v>100 percent up in Cambrian Stage 10 international stage</v>
      </c>
      <c r="J1409" s="7">
        <v>0.25</v>
      </c>
      <c r="K1409" s="129">
        <f t="shared" si="983"/>
        <v>25</v>
      </c>
      <c r="L1409" s="8" t="s">
        <v>168</v>
      </c>
      <c r="M1409" s="5"/>
      <c r="O1409" s="83"/>
      <c r="P1409" s="20">
        <v>1</v>
      </c>
      <c r="Q1409" s="143">
        <f t="shared" si="1005"/>
        <v>100</v>
      </c>
      <c r="R1409" s="124" t="s">
        <v>1363</v>
      </c>
      <c r="S1409" s="8"/>
    </row>
    <row r="1410" spans="1:20" ht="42">
      <c r="A1410" s="113"/>
      <c r="B1410" s="115" t="s">
        <v>1794</v>
      </c>
      <c r="C1410" s="5"/>
      <c r="D1410" s="5"/>
      <c r="E1410" s="132">
        <f>$O$1395-J1410*($O$1395-$O$1381)</f>
        <v>493.4</v>
      </c>
      <c r="F1410" s="139">
        <f>$O$1381-P1410*($O$1381-$O$1371)</f>
        <v>486.85</v>
      </c>
      <c r="G1410" s="149" t="s">
        <v>1796</v>
      </c>
      <c r="H1410" s="82" t="str">
        <f t="shared" ref="H1410:H1411" si="1006">CONCATENATE(K1410," percent up in ",L1410," international stage")</f>
        <v>25 percent up in Jiangshanian international stage</v>
      </c>
      <c r="I1410" s="142" t="str">
        <f t="shared" ref="I1410:I1411" si="1007">CONCATENATE(Q1410," percent up in ",R1410," international stage")</f>
        <v>100 percent up in Cambrian Stage 10 international stage</v>
      </c>
      <c r="J1410" s="7">
        <v>0.25</v>
      </c>
      <c r="K1410" s="129">
        <f t="shared" ref="K1410:K1411" si="1008">ROUND(J1410*100,1)</f>
        <v>25</v>
      </c>
      <c r="L1410" s="8" t="s">
        <v>168</v>
      </c>
      <c r="M1410" s="5"/>
      <c r="O1410" s="83"/>
      <c r="P1410" s="20">
        <v>1</v>
      </c>
      <c r="Q1410" s="143">
        <f t="shared" ref="Q1410:Q1412" si="1009">ROUND(P1410*100,1)</f>
        <v>100</v>
      </c>
      <c r="R1410" s="124" t="s">
        <v>1363</v>
      </c>
      <c r="S1410" s="151" t="s">
        <v>1796</v>
      </c>
    </row>
    <row r="1411" spans="1:20" ht="34">
      <c r="A1411" s="113"/>
      <c r="B1411" s="115" t="s">
        <v>2045</v>
      </c>
      <c r="C1411" s="5"/>
      <c r="D1411" s="5"/>
      <c r="E1411" s="132">
        <f>$O$1438-J1411*($O$1438-$O$1407)</f>
        <v>498.75</v>
      </c>
      <c r="F1411" s="139">
        <f>$O$1395-P1411*($O$1395-$O$1381)</f>
        <v>493.4</v>
      </c>
      <c r="G1411" s="149" t="s">
        <v>2047</v>
      </c>
      <c r="H1411" s="82" t="str">
        <f t="shared" si="1006"/>
        <v>50 percent up in Guzhangian international stage</v>
      </c>
      <c r="I1411" s="142" t="str">
        <f t="shared" si="1007"/>
        <v>25 percent up in Jiangshanian international stage</v>
      </c>
      <c r="J1411" s="7">
        <v>0.5</v>
      </c>
      <c r="K1411" s="129">
        <f t="shared" si="1008"/>
        <v>50</v>
      </c>
      <c r="L1411" s="8" t="s">
        <v>171</v>
      </c>
      <c r="M1411" s="5"/>
      <c r="O1411" s="83"/>
      <c r="P1411" s="20">
        <v>0.25</v>
      </c>
      <c r="Q1411" s="143">
        <f t="shared" ref="Q1411" si="1010">ROUND(P1411*100,1)</f>
        <v>25</v>
      </c>
      <c r="R1411" s="21" t="s">
        <v>168</v>
      </c>
      <c r="S1411" s="151"/>
    </row>
    <row r="1412" spans="1:20" ht="42">
      <c r="A1412" s="113"/>
      <c r="B1412" s="115" t="s">
        <v>1795</v>
      </c>
      <c r="C1412" s="5"/>
      <c r="D1412" s="5"/>
      <c r="E1412" s="132">
        <f>$O$1438-J1412*($O$1438-$O$1407)</f>
        <v>498.75</v>
      </c>
      <c r="F1412" s="139">
        <f>$O$1395-P1412*($O$1395-$O$1381)</f>
        <v>493.4</v>
      </c>
      <c r="G1412" s="149" t="s">
        <v>1797</v>
      </c>
      <c r="H1412" s="82" t="str">
        <f t="shared" ref="H1412" si="1011">CONCATENATE(K1412," percent up in ",L1412," international stage")</f>
        <v>50 percent up in Guzhangian international stage</v>
      </c>
      <c r="I1412" s="142" t="str">
        <f t="shared" ref="I1412" si="1012">CONCATENATE(Q1412," percent up in ",R1412," international stage")</f>
        <v>25 percent up in Jiangshanian international stage</v>
      </c>
      <c r="J1412" s="7">
        <v>0.5</v>
      </c>
      <c r="K1412" s="129">
        <f t="shared" ref="K1412" si="1013">ROUND(J1412*100,1)</f>
        <v>50</v>
      </c>
      <c r="L1412" s="8" t="s">
        <v>171</v>
      </c>
      <c r="M1412" s="5"/>
      <c r="O1412" s="83"/>
      <c r="P1412" s="20">
        <v>0.25</v>
      </c>
      <c r="Q1412" s="143">
        <f t="shared" si="1009"/>
        <v>25</v>
      </c>
      <c r="R1412" s="21" t="s">
        <v>168</v>
      </c>
      <c r="S1412" s="151" t="s">
        <v>1797</v>
      </c>
    </row>
    <row r="1413" spans="1:20" ht="28">
      <c r="A1413" s="113" t="s">
        <v>1361</v>
      </c>
      <c r="B1413" s="115" t="s">
        <v>1394</v>
      </c>
      <c r="C1413" s="5"/>
      <c r="D1413" s="5" t="s">
        <v>82</v>
      </c>
      <c r="E1413" s="132">
        <f>$O$1438-J1413*($O$1438-$O$1407)</f>
        <v>498.75</v>
      </c>
      <c r="F1413" s="139">
        <f>$O$1381-P1413*($O$1381-$O$1371)</f>
        <v>486.85</v>
      </c>
      <c r="G1413" s="149"/>
      <c r="H1413" s="82" t="str">
        <f t="shared" si="981"/>
        <v>50 percent up in Guzhangian international stage</v>
      </c>
      <c r="I1413" s="142" t="str">
        <f t="shared" si="982"/>
        <v>100 percent up in Cambrian Stage 10 international stage</v>
      </c>
      <c r="J1413" s="7">
        <v>0.5</v>
      </c>
      <c r="K1413" s="129">
        <f t="shared" si="983"/>
        <v>50</v>
      </c>
      <c r="L1413" s="8" t="s">
        <v>171</v>
      </c>
      <c r="M1413" s="5" t="s">
        <v>82</v>
      </c>
      <c r="N1413" s="5" t="s">
        <v>82</v>
      </c>
      <c r="O1413" s="83"/>
      <c r="P1413" s="20">
        <v>1</v>
      </c>
      <c r="Q1413" s="143">
        <f t="shared" si="984"/>
        <v>100</v>
      </c>
      <c r="R1413" s="124" t="s">
        <v>1363</v>
      </c>
      <c r="S1413" s="8" t="s">
        <v>246</v>
      </c>
      <c r="T1413" s="7" t="s">
        <v>226</v>
      </c>
    </row>
    <row r="1414" spans="1:20" ht="28">
      <c r="A1414" s="113" t="s">
        <v>1361</v>
      </c>
      <c r="B1414" s="115" t="s">
        <v>1395</v>
      </c>
      <c r="C1414" s="5"/>
      <c r="D1414" s="5" t="s">
        <v>244</v>
      </c>
      <c r="E1414" s="132">
        <f>$O$1438-J1414*($O$1438-$O$1407)</f>
        <v>498.75</v>
      </c>
      <c r="F1414" s="139">
        <f>$O$1381-P1414*($O$1381-$O$1371)</f>
        <v>486.85</v>
      </c>
      <c r="G1414" s="149"/>
      <c r="H1414" s="82" t="str">
        <f t="shared" si="981"/>
        <v>50 percent up in Guzhangian international stage</v>
      </c>
      <c r="I1414" s="142" t="str">
        <f t="shared" si="982"/>
        <v>100 percent up in Cambrian Stage 10 international stage</v>
      </c>
      <c r="J1414" s="7">
        <v>0.5</v>
      </c>
      <c r="K1414" s="129">
        <f t="shared" si="983"/>
        <v>50</v>
      </c>
      <c r="L1414" s="8" t="s">
        <v>171</v>
      </c>
      <c r="M1414" s="5" t="s">
        <v>82</v>
      </c>
      <c r="N1414" s="5" t="s">
        <v>82</v>
      </c>
      <c r="O1414" s="83"/>
      <c r="P1414" s="20">
        <v>1</v>
      </c>
      <c r="Q1414" s="143">
        <f t="shared" si="984"/>
        <v>100</v>
      </c>
      <c r="R1414" s="124" t="s">
        <v>1363</v>
      </c>
      <c r="S1414" s="8" t="s">
        <v>246</v>
      </c>
      <c r="T1414" s="7" t="s">
        <v>226</v>
      </c>
    </row>
    <row r="1415" spans="1:20" ht="28">
      <c r="A1415" s="113"/>
      <c r="B1415" s="115" t="s">
        <v>1790</v>
      </c>
      <c r="C1415" s="5"/>
      <c r="D1415" s="5"/>
      <c r="E1415" s="132">
        <f t="shared" ref="E1415" si="1014">$O$1407-J1415*($O$1407-$O$1395)</f>
        <v>497</v>
      </c>
      <c r="F1415" s="139">
        <f>$O$1407-P1415*($O$1407-$O$1395)</f>
        <v>494.94666666666666</v>
      </c>
      <c r="G1415" s="149" t="s">
        <v>1792</v>
      </c>
      <c r="H1415" s="82" t="str">
        <f t="shared" ref="H1415:H1416" si="1015">CONCATENATE(K1415," percent up in ",L1415," international stage")</f>
        <v>0 percent up in Paibian international stage</v>
      </c>
      <c r="I1415" s="142" t="str">
        <f t="shared" ref="I1415:I1416" si="1016">CONCATENATE(Q1415," percent up in ",R1415," international stage")</f>
        <v>73.3 percent up in Paibian international stage</v>
      </c>
      <c r="J1415" s="7">
        <v>0</v>
      </c>
      <c r="K1415" s="129">
        <f t="shared" ref="K1415:K1416" si="1017">ROUND(J1415*100,1)</f>
        <v>0</v>
      </c>
      <c r="L1415" s="8" t="s">
        <v>170</v>
      </c>
      <c r="M1415" s="5"/>
      <c r="O1415" s="83"/>
      <c r="P1415" s="20">
        <v>0.73333333333332951</v>
      </c>
      <c r="Q1415" s="143">
        <f t="shared" ref="Q1415:Q1416" si="1018">ROUND(P1415*100,1)</f>
        <v>73.3</v>
      </c>
      <c r="R1415" s="21" t="s">
        <v>170</v>
      </c>
      <c r="S1415" s="151" t="s">
        <v>1792</v>
      </c>
    </row>
    <row r="1416" spans="1:20" ht="28">
      <c r="A1416" s="113"/>
      <c r="B1416" s="115" t="s">
        <v>1791</v>
      </c>
      <c r="C1416" s="5"/>
      <c r="D1416" s="5"/>
      <c r="E1416" s="132">
        <f t="shared" ref="E1416:E1424" si="1019">$O$1438-J1416*($O$1438-$O$1407)</f>
        <v>498.75</v>
      </c>
      <c r="F1416" s="139">
        <f>$O$1438-P1416*($O$1438-$O$1407)</f>
        <v>497</v>
      </c>
      <c r="G1416" s="149" t="s">
        <v>1793</v>
      </c>
      <c r="H1416" s="82" t="str">
        <f t="shared" si="1015"/>
        <v>50 percent up in Guzhangian international stage</v>
      </c>
      <c r="I1416" s="142" t="str">
        <f t="shared" si="1016"/>
        <v>100 percent up in Guzhangian international stage</v>
      </c>
      <c r="J1416" s="7">
        <v>0.5</v>
      </c>
      <c r="K1416" s="129">
        <f t="shared" si="1017"/>
        <v>50</v>
      </c>
      <c r="L1416" s="8" t="s">
        <v>171</v>
      </c>
      <c r="M1416" s="5"/>
      <c r="O1416" s="83"/>
      <c r="P1416" s="20">
        <v>1</v>
      </c>
      <c r="Q1416" s="143">
        <f t="shared" si="1018"/>
        <v>100</v>
      </c>
      <c r="R1416" s="21" t="s">
        <v>171</v>
      </c>
      <c r="S1416" s="151" t="s">
        <v>1793</v>
      </c>
    </row>
    <row r="1417" spans="1:20" ht="28">
      <c r="A1417" s="113" t="s">
        <v>1361</v>
      </c>
      <c r="B1417" s="115" t="s">
        <v>1396</v>
      </c>
      <c r="C1417" s="5"/>
      <c r="D1417" s="5" t="s">
        <v>82</v>
      </c>
      <c r="E1417" s="132">
        <f t="shared" si="1019"/>
        <v>498.75</v>
      </c>
      <c r="F1417" s="139">
        <f>$O$1407-P1417*($O$1407-$O$1395)</f>
        <v>494.94666666666666</v>
      </c>
      <c r="G1417" s="149"/>
      <c r="H1417" s="82" t="str">
        <f t="shared" si="981"/>
        <v>50 percent up in Guzhangian international stage</v>
      </c>
      <c r="I1417" s="142" t="str">
        <f t="shared" si="982"/>
        <v>73.3 percent up in Paibian international stage</v>
      </c>
      <c r="J1417" s="7">
        <v>0.5</v>
      </c>
      <c r="K1417" s="129">
        <f t="shared" si="983"/>
        <v>50</v>
      </c>
      <c r="L1417" s="8" t="s">
        <v>171</v>
      </c>
      <c r="M1417" s="5" t="s">
        <v>82</v>
      </c>
      <c r="N1417" s="5" t="s">
        <v>82</v>
      </c>
      <c r="O1417" s="83"/>
      <c r="P1417" s="20">
        <v>0.73333333333332951</v>
      </c>
      <c r="Q1417" s="143">
        <f t="shared" si="984"/>
        <v>73.3</v>
      </c>
      <c r="R1417" s="21" t="s">
        <v>170</v>
      </c>
      <c r="S1417" s="8" t="s">
        <v>246</v>
      </c>
      <c r="T1417" s="7" t="s">
        <v>226</v>
      </c>
    </row>
    <row r="1418" spans="1:20" ht="28">
      <c r="A1418" s="113"/>
      <c r="B1418" s="174" t="s">
        <v>2004</v>
      </c>
      <c r="C1418" s="5"/>
      <c r="D1418" s="5" t="s">
        <v>248</v>
      </c>
      <c r="E1418" s="132">
        <f t="shared" si="1019"/>
        <v>498.75</v>
      </c>
      <c r="F1418" s="139">
        <f>$O$1407-P1418*($O$1407-$O$1395)</f>
        <v>494.94666666666666</v>
      </c>
      <c r="G1418" s="149" t="s">
        <v>1997</v>
      </c>
      <c r="H1418" s="82" t="str">
        <f t="shared" ref="H1418" si="1020">CONCATENATE(K1418," percent up in ",L1418," international stage")</f>
        <v>50 percent up in Guzhangian international stage</v>
      </c>
      <c r="I1418" s="142" t="str">
        <f t="shared" ref="I1418" si="1021">CONCATENATE(Q1418," percent up in ",R1418," international stage")</f>
        <v>73.3 percent up in Paibian international stage</v>
      </c>
      <c r="J1418" s="7">
        <v>0.5</v>
      </c>
      <c r="K1418" s="129">
        <f t="shared" ref="K1418" si="1022">ROUND(J1418*100,1)</f>
        <v>50</v>
      </c>
      <c r="L1418" s="8" t="s">
        <v>171</v>
      </c>
      <c r="M1418" s="5" t="s">
        <v>82</v>
      </c>
      <c r="N1418" s="5" t="s">
        <v>82</v>
      </c>
      <c r="O1418" s="83"/>
      <c r="P1418" s="20">
        <v>0.73333333333332951</v>
      </c>
      <c r="Q1418" s="143">
        <f t="shared" ref="Q1418" si="1023">ROUND(P1418*100,1)</f>
        <v>73.3</v>
      </c>
      <c r="R1418" s="21" t="s">
        <v>170</v>
      </c>
      <c r="S1418" s="8"/>
    </row>
    <row r="1419" spans="1:20" ht="28">
      <c r="A1419" s="113" t="s">
        <v>1361</v>
      </c>
      <c r="B1419" s="176" t="s">
        <v>1397</v>
      </c>
      <c r="C1419" s="5"/>
      <c r="D1419" s="5" t="s">
        <v>248</v>
      </c>
      <c r="E1419" s="132">
        <f t="shared" si="1019"/>
        <v>498.75</v>
      </c>
      <c r="F1419" s="139">
        <f>$O$1407-P1419*($O$1407-$O$1395)</f>
        <v>494.94666666666666</v>
      </c>
      <c r="G1419" s="149"/>
      <c r="H1419" s="82" t="str">
        <f t="shared" si="981"/>
        <v>50 percent up in Guzhangian international stage</v>
      </c>
      <c r="I1419" s="142" t="str">
        <f t="shared" si="982"/>
        <v>73.3 percent up in Paibian international stage</v>
      </c>
      <c r="J1419" s="7">
        <v>0.5</v>
      </c>
      <c r="K1419" s="129">
        <f t="shared" si="983"/>
        <v>50</v>
      </c>
      <c r="L1419" s="8" t="s">
        <v>171</v>
      </c>
      <c r="M1419" s="5" t="s">
        <v>82</v>
      </c>
      <c r="N1419" s="5" t="s">
        <v>82</v>
      </c>
      <c r="O1419" s="83"/>
      <c r="P1419" s="20">
        <v>0.73333333333332951</v>
      </c>
      <c r="Q1419" s="143">
        <f t="shared" si="984"/>
        <v>73.3</v>
      </c>
      <c r="R1419" s="21" t="s">
        <v>170</v>
      </c>
      <c r="S1419" s="8" t="s">
        <v>246</v>
      </c>
      <c r="T1419" s="7" t="s">
        <v>226</v>
      </c>
    </row>
    <row r="1420" spans="1:20" ht="28">
      <c r="A1420" s="113" t="s">
        <v>1361</v>
      </c>
      <c r="B1420" s="114" t="s">
        <v>1398</v>
      </c>
      <c r="C1420" s="5"/>
      <c r="D1420" s="5" t="s">
        <v>1371</v>
      </c>
      <c r="E1420" s="132">
        <f t="shared" si="1019"/>
        <v>498.75</v>
      </c>
      <c r="F1420" s="139">
        <f>$O$1371-P1420*($O$1371-$O$1343)</f>
        <v>483.5258793814433</v>
      </c>
      <c r="G1420" s="149"/>
      <c r="H1420" s="82" t="str">
        <f t="shared" si="981"/>
        <v>50 percent up in Guzhangian international stage</v>
      </c>
      <c r="I1420" s="142" t="str">
        <f t="shared" si="982"/>
        <v>34 percent up in Tremadocian international stage</v>
      </c>
      <c r="J1420" s="7">
        <v>0.5</v>
      </c>
      <c r="K1420" s="129">
        <f t="shared" si="983"/>
        <v>50</v>
      </c>
      <c r="L1420" s="8" t="s">
        <v>171</v>
      </c>
      <c r="M1420" s="5" t="s">
        <v>82</v>
      </c>
      <c r="N1420" s="5" t="s">
        <v>82</v>
      </c>
      <c r="O1420" s="83"/>
      <c r="P1420" s="20">
        <v>0.34020618556701188</v>
      </c>
      <c r="Q1420" s="143">
        <f t="shared" si="984"/>
        <v>34</v>
      </c>
      <c r="R1420" s="21" t="s">
        <v>166</v>
      </c>
      <c r="S1420" s="8" t="s">
        <v>246</v>
      </c>
      <c r="T1420" s="7" t="s">
        <v>226</v>
      </c>
    </row>
    <row r="1421" spans="1:20" ht="28">
      <c r="A1421" s="113" t="s">
        <v>1361</v>
      </c>
      <c r="B1421" s="115" t="s">
        <v>1399</v>
      </c>
      <c r="C1421" s="5"/>
      <c r="D1421" s="5" t="s">
        <v>82</v>
      </c>
      <c r="E1421" s="132">
        <f t="shared" si="1019"/>
        <v>498.75</v>
      </c>
      <c r="F1421" s="139">
        <f>$O$1407-P1421*($O$1407-$O$1395)</f>
        <v>494.94666666666666</v>
      </c>
      <c r="G1421" s="149"/>
      <c r="H1421" s="82" t="str">
        <f t="shared" si="981"/>
        <v>50 percent up in Guzhangian international stage</v>
      </c>
      <c r="I1421" s="142" t="str">
        <f t="shared" si="982"/>
        <v>73.3 percent up in Paibian international stage</v>
      </c>
      <c r="J1421" s="7">
        <v>0.5</v>
      </c>
      <c r="K1421" s="129">
        <f t="shared" si="983"/>
        <v>50</v>
      </c>
      <c r="L1421" s="8" t="s">
        <v>171</v>
      </c>
      <c r="M1421" s="5" t="s">
        <v>82</v>
      </c>
      <c r="N1421" s="5" t="s">
        <v>82</v>
      </c>
      <c r="O1421" s="83"/>
      <c r="P1421" s="20">
        <v>0.73333333333332951</v>
      </c>
      <c r="Q1421" s="143">
        <f t="shared" si="984"/>
        <v>73.3</v>
      </c>
      <c r="R1421" s="21" t="s">
        <v>170</v>
      </c>
      <c r="S1421" s="8" t="s">
        <v>246</v>
      </c>
      <c r="T1421" s="7" t="s">
        <v>226</v>
      </c>
    </row>
    <row r="1422" spans="1:20" ht="28">
      <c r="A1422" s="113" t="s">
        <v>1361</v>
      </c>
      <c r="B1422" s="115" t="s">
        <v>1400</v>
      </c>
      <c r="C1422" s="5"/>
      <c r="D1422" s="5" t="s">
        <v>1401</v>
      </c>
      <c r="E1422" s="132">
        <f t="shared" si="1019"/>
        <v>498.75</v>
      </c>
      <c r="F1422" s="139">
        <f>$O$1381-P1422*($O$1381-$O$1371)</f>
        <v>486.85</v>
      </c>
      <c r="G1422" s="149"/>
      <c r="H1422" s="82" t="str">
        <f t="shared" si="981"/>
        <v>50 percent up in Guzhangian international stage</v>
      </c>
      <c r="I1422" s="142" t="str">
        <f t="shared" si="982"/>
        <v>100 percent up in Cambrian Stage 10 international stage</v>
      </c>
      <c r="J1422" s="7">
        <v>0.5</v>
      </c>
      <c r="K1422" s="129">
        <f t="shared" si="983"/>
        <v>50</v>
      </c>
      <c r="L1422" s="8" t="s">
        <v>171</v>
      </c>
      <c r="M1422" s="5" t="s">
        <v>82</v>
      </c>
      <c r="N1422" s="5" t="s">
        <v>82</v>
      </c>
      <c r="O1422" s="83"/>
      <c r="P1422" s="20">
        <v>1</v>
      </c>
      <c r="Q1422" s="143">
        <f t="shared" si="984"/>
        <v>100</v>
      </c>
      <c r="R1422" s="124" t="s">
        <v>1363</v>
      </c>
      <c r="S1422" s="8" t="s">
        <v>246</v>
      </c>
      <c r="T1422" s="7" t="s">
        <v>226</v>
      </c>
    </row>
    <row r="1423" spans="1:20" ht="28">
      <c r="A1423" s="113" t="s">
        <v>1361</v>
      </c>
      <c r="B1423" s="115" t="s">
        <v>1402</v>
      </c>
      <c r="C1423" s="5"/>
      <c r="D1423" s="5" t="s">
        <v>1401</v>
      </c>
      <c r="E1423" s="132">
        <f t="shared" si="1019"/>
        <v>498.75</v>
      </c>
      <c r="F1423" s="139">
        <f>$O$1381-P1423*($O$1381-$O$1371)</f>
        <v>486.85</v>
      </c>
      <c r="G1423" s="149"/>
      <c r="H1423" s="82" t="str">
        <f t="shared" si="981"/>
        <v>50 percent up in Guzhangian international stage</v>
      </c>
      <c r="I1423" s="142" t="str">
        <f t="shared" si="982"/>
        <v>100 percent up in Cambrian Stage 10 international stage</v>
      </c>
      <c r="J1423" s="7">
        <v>0.5</v>
      </c>
      <c r="K1423" s="129">
        <f t="shared" si="983"/>
        <v>50</v>
      </c>
      <c r="L1423" s="8" t="s">
        <v>171</v>
      </c>
      <c r="M1423" s="5" t="s">
        <v>82</v>
      </c>
      <c r="N1423" s="5" t="s">
        <v>82</v>
      </c>
      <c r="O1423" s="83"/>
      <c r="P1423" s="20">
        <v>1</v>
      </c>
      <c r="Q1423" s="143">
        <f t="shared" si="984"/>
        <v>100</v>
      </c>
      <c r="R1423" s="124" t="s">
        <v>1363</v>
      </c>
      <c r="S1423" s="8" t="s">
        <v>246</v>
      </c>
      <c r="T1423" s="7" t="s">
        <v>226</v>
      </c>
    </row>
    <row r="1424" spans="1:20" ht="28">
      <c r="A1424" s="113" t="s">
        <v>1361</v>
      </c>
      <c r="B1424" s="114" t="s">
        <v>1403</v>
      </c>
      <c r="C1424" s="5"/>
      <c r="D1424" s="5" t="s">
        <v>1404</v>
      </c>
      <c r="E1424" s="132">
        <f t="shared" si="1019"/>
        <v>498.75</v>
      </c>
      <c r="F1424" s="139">
        <f>$O$1381-P1424*($O$1381-$O$1371)</f>
        <v>486.85</v>
      </c>
      <c r="G1424" s="149"/>
      <c r="H1424" s="82" t="str">
        <f t="shared" si="981"/>
        <v>50 percent up in Guzhangian international stage</v>
      </c>
      <c r="I1424" s="142" t="str">
        <f t="shared" si="982"/>
        <v>100 percent up in Cambrian Stage 10 international stage</v>
      </c>
      <c r="J1424" s="7">
        <v>0.5</v>
      </c>
      <c r="K1424" s="129">
        <f t="shared" si="983"/>
        <v>50</v>
      </c>
      <c r="L1424" s="8" t="s">
        <v>171</v>
      </c>
      <c r="M1424" s="5" t="s">
        <v>82</v>
      </c>
      <c r="N1424" s="5" t="s">
        <v>82</v>
      </c>
      <c r="O1424" s="83"/>
      <c r="P1424" s="20">
        <v>1</v>
      </c>
      <c r="Q1424" s="143">
        <f t="shared" si="984"/>
        <v>100</v>
      </c>
      <c r="R1424" s="124" t="s">
        <v>1363</v>
      </c>
      <c r="S1424" s="8" t="s">
        <v>246</v>
      </c>
      <c r="T1424" s="7" t="s">
        <v>226</v>
      </c>
    </row>
    <row r="1425" spans="1:20" ht="28">
      <c r="A1425" s="113"/>
      <c r="B1425" s="115" t="s">
        <v>2026</v>
      </c>
      <c r="C1425" s="5"/>
      <c r="D1425" s="5"/>
      <c r="E1425" s="132">
        <f t="shared" ref="E1425" si="1024">$O$1407-J1425*($O$1407-$O$1395)</f>
        <v>497</v>
      </c>
      <c r="F1425" s="139">
        <f>$O$1407-P1425*($O$1407-$O$1395)</f>
        <v>495.13333333333333</v>
      </c>
      <c r="G1425" s="149" t="s">
        <v>2028</v>
      </c>
      <c r="H1425" s="82" t="str">
        <f t="shared" si="981"/>
        <v>0 percent up in Paibian international stage</v>
      </c>
      <c r="I1425" s="142" t="str">
        <f t="shared" si="982"/>
        <v>66.7 percent up in Paibian international stage</v>
      </c>
      <c r="J1425" s="7">
        <v>0</v>
      </c>
      <c r="K1425" s="129">
        <f t="shared" si="983"/>
        <v>0</v>
      </c>
      <c r="L1425" s="8" t="s">
        <v>170</v>
      </c>
      <c r="M1425" s="5"/>
      <c r="O1425" s="83"/>
      <c r="P1425" s="20">
        <v>0.66666666666666663</v>
      </c>
      <c r="Q1425" s="143">
        <f t="shared" ref="Q1425:Q1426" si="1025">ROUND(P1425*100,1)</f>
        <v>66.7</v>
      </c>
      <c r="R1425" s="21" t="s">
        <v>170</v>
      </c>
      <c r="S1425" s="8"/>
    </row>
    <row r="1426" spans="1:20" ht="28">
      <c r="A1426" s="113"/>
      <c r="B1426" s="115" t="s">
        <v>2027</v>
      </c>
      <c r="C1426" s="5"/>
      <c r="D1426" s="5"/>
      <c r="E1426" s="132">
        <f t="shared" ref="E1426:E1438" si="1026">$O$1438-J1426*($O$1438-$O$1407)</f>
        <v>498.75</v>
      </c>
      <c r="F1426" s="139">
        <f>$O$1407-P1426*($O$1407-$O$1395)</f>
        <v>497</v>
      </c>
      <c r="G1426" s="149" t="s">
        <v>2029</v>
      </c>
      <c r="H1426" s="82" t="str">
        <f t="shared" si="981"/>
        <v>50 percent up in Guzhangian international stage</v>
      </c>
      <c r="I1426" s="142" t="str">
        <f t="shared" si="982"/>
        <v>0 percent up in Paibian international stage</v>
      </c>
      <c r="J1426" s="7">
        <v>0.5</v>
      </c>
      <c r="K1426" s="129">
        <f t="shared" ref="K1426" si="1027">ROUND(J1426*100,1)</f>
        <v>50</v>
      </c>
      <c r="L1426" s="8" t="s">
        <v>171</v>
      </c>
      <c r="M1426" s="5"/>
      <c r="O1426" s="83"/>
      <c r="P1426" s="20">
        <v>0</v>
      </c>
      <c r="Q1426" s="143">
        <f t="shared" si="1025"/>
        <v>0</v>
      </c>
      <c r="R1426" s="21" t="s">
        <v>170</v>
      </c>
      <c r="S1426" s="8"/>
    </row>
    <row r="1427" spans="1:20" ht="28">
      <c r="A1427" s="113" t="s">
        <v>1361</v>
      </c>
      <c r="B1427" s="115" t="s">
        <v>1405</v>
      </c>
      <c r="C1427" s="5"/>
      <c r="D1427" s="5" t="s">
        <v>368</v>
      </c>
      <c r="E1427" s="132">
        <f t="shared" si="1026"/>
        <v>498.75</v>
      </c>
      <c r="F1427" s="139">
        <f>$O$1407-P1427*($O$1407-$O$1395)</f>
        <v>495.13333333333333</v>
      </c>
      <c r="G1427" s="149"/>
      <c r="H1427" s="82" t="str">
        <f t="shared" si="981"/>
        <v>50 percent up in Guzhangian international stage</v>
      </c>
      <c r="I1427" s="142" t="str">
        <f t="shared" si="982"/>
        <v>66.7 percent up in Paibian international stage</v>
      </c>
      <c r="J1427" s="7">
        <v>0.5</v>
      </c>
      <c r="K1427" s="129">
        <f t="shared" si="983"/>
        <v>50</v>
      </c>
      <c r="L1427" s="8" t="s">
        <v>171</v>
      </c>
      <c r="M1427" s="5" t="s">
        <v>82</v>
      </c>
      <c r="N1427" s="5" t="s">
        <v>82</v>
      </c>
      <c r="O1427" s="83"/>
      <c r="P1427" s="20">
        <v>0.66666666666666663</v>
      </c>
      <c r="Q1427" s="143">
        <f t="shared" si="984"/>
        <v>66.7</v>
      </c>
      <c r="R1427" s="21" t="s">
        <v>170</v>
      </c>
      <c r="S1427" s="8" t="s">
        <v>246</v>
      </c>
      <c r="T1427" s="7" t="s">
        <v>226</v>
      </c>
    </row>
    <row r="1428" spans="1:20" ht="28">
      <c r="A1428" s="113" t="s">
        <v>1361</v>
      </c>
      <c r="B1428" s="115" t="s">
        <v>1406</v>
      </c>
      <c r="C1428" s="5"/>
      <c r="D1428" s="5" t="s">
        <v>82</v>
      </c>
      <c r="E1428" s="132">
        <f t="shared" si="1026"/>
        <v>498.75</v>
      </c>
      <c r="F1428" s="139">
        <f>$O$1381-P1428*($O$1381-$O$1371)</f>
        <v>486.85</v>
      </c>
      <c r="G1428" s="149"/>
      <c r="H1428" s="82" t="str">
        <f t="shared" si="981"/>
        <v>50 percent up in Guzhangian international stage</v>
      </c>
      <c r="I1428" s="142" t="str">
        <f t="shared" si="982"/>
        <v>100 percent up in Cambrian Stage 10 international stage</v>
      </c>
      <c r="J1428" s="7">
        <v>0.5</v>
      </c>
      <c r="K1428" s="129">
        <f t="shared" si="983"/>
        <v>50</v>
      </c>
      <c r="L1428" s="8" t="s">
        <v>171</v>
      </c>
      <c r="M1428" s="5" t="s">
        <v>82</v>
      </c>
      <c r="N1428" s="5" t="s">
        <v>82</v>
      </c>
      <c r="O1428" s="83"/>
      <c r="P1428" s="20">
        <v>1</v>
      </c>
      <c r="Q1428" s="143">
        <f t="shared" si="984"/>
        <v>100</v>
      </c>
      <c r="R1428" s="124" t="s">
        <v>1363</v>
      </c>
      <c r="S1428" s="8" t="s">
        <v>246</v>
      </c>
      <c r="T1428" s="7" t="s">
        <v>226</v>
      </c>
    </row>
    <row r="1429" spans="1:20" ht="28">
      <c r="A1429" s="113" t="s">
        <v>1361</v>
      </c>
      <c r="B1429" s="115" t="s">
        <v>1407</v>
      </c>
      <c r="C1429" s="5"/>
      <c r="D1429" s="5" t="s">
        <v>82</v>
      </c>
      <c r="E1429" s="132">
        <f t="shared" si="1026"/>
        <v>498.75</v>
      </c>
      <c r="F1429" s="139">
        <f>$O$1381-P1429*($O$1381-$O$1371)</f>
        <v>486.85</v>
      </c>
      <c r="G1429" s="149"/>
      <c r="H1429" s="82" t="str">
        <f t="shared" si="981"/>
        <v>50 percent up in Guzhangian international stage</v>
      </c>
      <c r="I1429" s="142" t="str">
        <f t="shared" si="982"/>
        <v>100 percent up in Cambrian Stage 10 international stage</v>
      </c>
      <c r="J1429" s="7">
        <v>0.5</v>
      </c>
      <c r="K1429" s="129">
        <f t="shared" si="983"/>
        <v>50</v>
      </c>
      <c r="L1429" s="8" t="s">
        <v>171</v>
      </c>
      <c r="M1429" s="5" t="s">
        <v>82</v>
      </c>
      <c r="N1429" s="5" t="s">
        <v>82</v>
      </c>
      <c r="O1429" s="83"/>
      <c r="P1429" s="20">
        <v>1</v>
      </c>
      <c r="Q1429" s="143">
        <f t="shared" si="984"/>
        <v>100</v>
      </c>
      <c r="R1429" s="124" t="s">
        <v>1363</v>
      </c>
      <c r="S1429" s="8" t="s">
        <v>246</v>
      </c>
      <c r="T1429" s="7" t="s">
        <v>226</v>
      </c>
    </row>
    <row r="1430" spans="1:20" ht="28">
      <c r="A1430" s="113" t="s">
        <v>1361</v>
      </c>
      <c r="B1430" s="114" t="s">
        <v>1408</v>
      </c>
      <c r="C1430" s="5"/>
      <c r="D1430" s="5" t="s">
        <v>1409</v>
      </c>
      <c r="E1430" s="132">
        <f t="shared" si="1026"/>
        <v>498.75</v>
      </c>
      <c r="F1430" s="139">
        <f>$O$1395-P1430*($O$1395-$O$1381)</f>
        <v>491.8</v>
      </c>
      <c r="G1430" s="149"/>
      <c r="H1430" s="82" t="str">
        <f t="shared" si="981"/>
        <v>50 percent up in Guzhangian international stage</v>
      </c>
      <c r="I1430" s="142" t="str">
        <f t="shared" si="982"/>
        <v>75 percent up in Jiangshanian international stage</v>
      </c>
      <c r="J1430" s="7">
        <v>0.5</v>
      </c>
      <c r="K1430" s="129">
        <f t="shared" si="983"/>
        <v>50</v>
      </c>
      <c r="L1430" s="8" t="s">
        <v>171</v>
      </c>
      <c r="M1430" s="5" t="s">
        <v>82</v>
      </c>
      <c r="N1430" s="5" t="s">
        <v>82</v>
      </c>
      <c r="O1430" s="83"/>
      <c r="P1430" s="20">
        <v>0.75</v>
      </c>
      <c r="Q1430" s="143">
        <f t="shared" si="984"/>
        <v>75</v>
      </c>
      <c r="R1430" s="21" t="s">
        <v>168</v>
      </c>
      <c r="S1430" s="8" t="s">
        <v>246</v>
      </c>
      <c r="T1430" s="7" t="s">
        <v>226</v>
      </c>
    </row>
    <row r="1431" spans="1:20" ht="28">
      <c r="A1431" s="113" t="s">
        <v>1361</v>
      </c>
      <c r="B1431" s="115" t="s">
        <v>1410</v>
      </c>
      <c r="C1431" s="5"/>
      <c r="D1431" s="5" t="s">
        <v>248</v>
      </c>
      <c r="E1431" s="132">
        <f t="shared" si="1026"/>
        <v>498.75</v>
      </c>
      <c r="F1431" s="139">
        <f>$O$1407-P1431*($O$1407-$O$1395)</f>
        <v>494.2</v>
      </c>
      <c r="G1431" s="149"/>
      <c r="H1431" s="82" t="str">
        <f t="shared" si="981"/>
        <v>50 percent up in Guzhangian international stage</v>
      </c>
      <c r="I1431" s="142" t="str">
        <f t="shared" si="982"/>
        <v>100 percent up in Paibian international stage</v>
      </c>
      <c r="J1431" s="7">
        <v>0.5</v>
      </c>
      <c r="K1431" s="129">
        <f t="shared" si="983"/>
        <v>50</v>
      </c>
      <c r="L1431" s="8" t="s">
        <v>171</v>
      </c>
      <c r="M1431" s="5" t="s">
        <v>82</v>
      </c>
      <c r="N1431" s="5" t="s">
        <v>82</v>
      </c>
      <c r="O1431" s="83"/>
      <c r="P1431" s="20">
        <v>1</v>
      </c>
      <c r="Q1431" s="143">
        <f t="shared" si="984"/>
        <v>100</v>
      </c>
      <c r="R1431" s="21" t="s">
        <v>170</v>
      </c>
      <c r="S1431" s="8" t="s">
        <v>246</v>
      </c>
      <c r="T1431" s="7" t="s">
        <v>226</v>
      </c>
    </row>
    <row r="1432" spans="1:20" ht="28">
      <c r="A1432" s="113" t="s">
        <v>1361</v>
      </c>
      <c r="B1432" s="115" t="s">
        <v>1411</v>
      </c>
      <c r="C1432" s="5"/>
      <c r="D1432" s="5" t="s">
        <v>82</v>
      </c>
      <c r="E1432" s="132">
        <f t="shared" si="1026"/>
        <v>499.625</v>
      </c>
      <c r="F1432" s="139">
        <f>$O$1438-P1432*($O$1438-$O$1407)</f>
        <v>498.75</v>
      </c>
      <c r="G1432" s="149"/>
      <c r="H1432" s="82" t="str">
        <f t="shared" si="981"/>
        <v>25 percent up in Guzhangian international stage</v>
      </c>
      <c r="I1432" s="142" t="str">
        <f t="shared" si="982"/>
        <v>50 percent up in Guzhangian international stage</v>
      </c>
      <c r="J1432" s="7">
        <v>0.25</v>
      </c>
      <c r="K1432" s="129">
        <f t="shared" si="983"/>
        <v>25</v>
      </c>
      <c r="L1432" s="8" t="s">
        <v>171</v>
      </c>
      <c r="M1432" s="5" t="s">
        <v>82</v>
      </c>
      <c r="N1432" s="5" t="s">
        <v>82</v>
      </c>
      <c r="O1432" s="83"/>
      <c r="P1432" s="20">
        <v>0.5</v>
      </c>
      <c r="Q1432" s="143">
        <f t="shared" si="984"/>
        <v>50</v>
      </c>
      <c r="R1432" s="21" t="s">
        <v>171</v>
      </c>
      <c r="S1432" s="8" t="s">
        <v>259</v>
      </c>
      <c r="T1432" s="7">
        <v>0.25</v>
      </c>
    </row>
    <row r="1433" spans="1:20" ht="28">
      <c r="A1433" s="113" t="s">
        <v>1361</v>
      </c>
      <c r="B1433" s="115" t="s">
        <v>1413</v>
      </c>
      <c r="C1433" s="5"/>
      <c r="D1433" s="5" t="s">
        <v>82</v>
      </c>
      <c r="E1433" s="132">
        <f t="shared" si="1026"/>
        <v>499.625</v>
      </c>
      <c r="F1433" s="139">
        <f>$O$1438-P1433*($O$1438-$O$1407)</f>
        <v>498.75</v>
      </c>
      <c r="G1433" s="149"/>
      <c r="H1433" s="82" t="str">
        <f t="shared" si="981"/>
        <v>25 percent up in Guzhangian international stage</v>
      </c>
      <c r="I1433" s="142" t="str">
        <f t="shared" si="982"/>
        <v>50 percent up in Guzhangian international stage</v>
      </c>
      <c r="J1433" s="7">
        <v>0.25</v>
      </c>
      <c r="K1433" s="129">
        <f t="shared" si="983"/>
        <v>25</v>
      </c>
      <c r="L1433" s="8" t="s">
        <v>171</v>
      </c>
      <c r="M1433" s="5" t="s">
        <v>82</v>
      </c>
      <c r="N1433" s="5" t="s">
        <v>82</v>
      </c>
      <c r="O1433" s="83"/>
      <c r="P1433" s="20">
        <v>0.5</v>
      </c>
      <c r="Q1433" s="143">
        <f t="shared" si="984"/>
        <v>50</v>
      </c>
      <c r="R1433" s="21" t="s">
        <v>171</v>
      </c>
      <c r="S1433" s="8" t="s">
        <v>259</v>
      </c>
      <c r="T1433" s="7">
        <v>0.25</v>
      </c>
    </row>
    <row r="1434" spans="1:20" ht="28">
      <c r="A1434" s="113" t="s">
        <v>1361</v>
      </c>
      <c r="B1434" s="114" t="s">
        <v>1414</v>
      </c>
      <c r="C1434" s="5"/>
      <c r="D1434" s="5" t="s">
        <v>1217</v>
      </c>
      <c r="E1434" s="132">
        <f t="shared" si="1026"/>
        <v>499.84375</v>
      </c>
      <c r="F1434" s="139">
        <f>$O$1407-P1434*($O$1407-$O$1395)</f>
        <v>495.75555555555559</v>
      </c>
      <c r="G1434" s="149"/>
      <c r="H1434" s="82" t="str">
        <f t="shared" si="981"/>
        <v>18.8 percent up in Guzhangian international stage</v>
      </c>
      <c r="I1434" s="142" t="str">
        <f t="shared" si="982"/>
        <v>44.4 percent up in Paibian international stage</v>
      </c>
      <c r="J1434" s="7">
        <v>0.1875</v>
      </c>
      <c r="K1434" s="129">
        <f t="shared" si="983"/>
        <v>18.8</v>
      </c>
      <c r="L1434" s="8" t="s">
        <v>171</v>
      </c>
      <c r="M1434" s="5" t="s">
        <v>82</v>
      </c>
      <c r="N1434" s="5" t="s">
        <v>82</v>
      </c>
      <c r="O1434" s="83"/>
      <c r="P1434" s="20">
        <v>0.44444444444443815</v>
      </c>
      <c r="Q1434" s="143">
        <f t="shared" si="984"/>
        <v>44.4</v>
      </c>
      <c r="R1434" s="21" t="s">
        <v>170</v>
      </c>
      <c r="S1434" s="8" t="s">
        <v>246</v>
      </c>
      <c r="T1434" s="7" t="s">
        <v>226</v>
      </c>
    </row>
    <row r="1435" spans="1:20" ht="28">
      <c r="A1435" s="113" t="s">
        <v>1361</v>
      </c>
      <c r="B1435" s="114" t="s">
        <v>1415</v>
      </c>
      <c r="C1435" s="5"/>
      <c r="D1435" s="5" t="s">
        <v>1371</v>
      </c>
      <c r="E1435" s="132">
        <f t="shared" si="1026"/>
        <v>500.5</v>
      </c>
      <c r="F1435" s="139">
        <f t="shared" ref="F1435:F1440" si="1028">$O$1438-P1435*($O$1438-$O$1407)</f>
        <v>498.75</v>
      </c>
      <c r="G1435" s="149"/>
      <c r="H1435" s="82" t="str">
        <f t="shared" si="981"/>
        <v>0 percent up in Guzhangian international stage</v>
      </c>
      <c r="I1435" s="142" t="str">
        <f t="shared" si="982"/>
        <v>50 percent up in Guzhangian international stage</v>
      </c>
      <c r="J1435" s="7">
        <v>0</v>
      </c>
      <c r="K1435" s="129">
        <f t="shared" si="983"/>
        <v>0</v>
      </c>
      <c r="L1435" s="8" t="s">
        <v>171</v>
      </c>
      <c r="M1435" s="5" t="s">
        <v>82</v>
      </c>
      <c r="N1435" s="5" t="s">
        <v>82</v>
      </c>
      <c r="O1435" s="83"/>
      <c r="P1435" s="20">
        <v>0.5</v>
      </c>
      <c r="Q1435" s="143">
        <f t="shared" si="984"/>
        <v>50</v>
      </c>
      <c r="R1435" s="21" t="s">
        <v>171</v>
      </c>
      <c r="S1435" s="8" t="s">
        <v>230</v>
      </c>
      <c r="T1435" s="7" t="s">
        <v>226</v>
      </c>
    </row>
    <row r="1436" spans="1:20" ht="28">
      <c r="A1436" s="113"/>
      <c r="B1436" s="114" t="s">
        <v>2073</v>
      </c>
      <c r="C1436" s="5"/>
      <c r="D1436" s="5"/>
      <c r="E1436" s="132">
        <f t="shared" ref="E1436:E1437" si="1029">$O$1438-J1436*($O$1438-$O$1407)</f>
        <v>498.75</v>
      </c>
      <c r="F1436" s="139">
        <f t="shared" si="1028"/>
        <v>497</v>
      </c>
      <c r="G1436" s="149" t="s">
        <v>1601</v>
      </c>
      <c r="H1436" s="82" t="str">
        <f t="shared" ref="H1436:H1437" si="1030">CONCATENATE(K1436," percent up in ",L1436," international stage")</f>
        <v>50 percent up in Guzhangian international stage</v>
      </c>
      <c r="I1436" s="142" t="str">
        <f t="shared" ref="I1436:I1437" si="1031">CONCATENATE(Q1436," percent up in ",R1436," international stage")</f>
        <v>100 percent up in Guzhangian international stage</v>
      </c>
      <c r="J1436" s="7">
        <v>0.5</v>
      </c>
      <c r="K1436" s="129">
        <f t="shared" ref="K1436:K1437" si="1032">ROUND(J1436*100,1)</f>
        <v>50</v>
      </c>
      <c r="L1436" s="8" t="s">
        <v>171</v>
      </c>
      <c r="M1436" s="5"/>
      <c r="O1436" s="83"/>
      <c r="P1436" s="20">
        <v>1</v>
      </c>
      <c r="Q1436" s="143">
        <f t="shared" ref="Q1436:Q1437" si="1033">ROUND(P1436*100,1)</f>
        <v>100</v>
      </c>
      <c r="R1436" s="21" t="s">
        <v>171</v>
      </c>
      <c r="S1436" s="8"/>
    </row>
    <row r="1437" spans="1:20" ht="28">
      <c r="A1437" s="113"/>
      <c r="B1437" s="114" t="s">
        <v>2074</v>
      </c>
      <c r="C1437" s="5"/>
      <c r="D1437" s="5"/>
      <c r="E1437" s="132">
        <f t="shared" si="1029"/>
        <v>500.5</v>
      </c>
      <c r="F1437" s="139">
        <f t="shared" si="1028"/>
        <v>498.75</v>
      </c>
      <c r="G1437" s="149" t="s">
        <v>1602</v>
      </c>
      <c r="H1437" s="82" t="str">
        <f t="shared" si="1030"/>
        <v>0 percent up in Guzhangian international stage</v>
      </c>
      <c r="I1437" s="142" t="str">
        <f t="shared" si="1031"/>
        <v>50 percent up in Guzhangian international stage</v>
      </c>
      <c r="J1437" s="7">
        <v>0</v>
      </c>
      <c r="K1437" s="129">
        <f t="shared" si="1032"/>
        <v>0</v>
      </c>
      <c r="L1437" s="8" t="s">
        <v>171</v>
      </c>
      <c r="M1437" s="5"/>
      <c r="O1437" s="83"/>
      <c r="P1437" s="20">
        <v>0.5</v>
      </c>
      <c r="Q1437" s="143">
        <f t="shared" si="1033"/>
        <v>50</v>
      </c>
      <c r="R1437" s="21" t="s">
        <v>171</v>
      </c>
      <c r="S1437" s="8"/>
    </row>
    <row r="1438" spans="1:20" ht="28">
      <c r="A1438" s="113" t="s">
        <v>1361</v>
      </c>
      <c r="B1438" s="115" t="s">
        <v>171</v>
      </c>
      <c r="C1438" s="135"/>
      <c r="D1438" s="135" t="s">
        <v>222</v>
      </c>
      <c r="E1438" s="132">
        <f t="shared" si="1026"/>
        <v>500.5</v>
      </c>
      <c r="F1438" s="139">
        <f t="shared" si="1028"/>
        <v>497</v>
      </c>
      <c r="G1438" s="149"/>
      <c r="H1438" s="82" t="str">
        <f t="shared" si="981"/>
        <v>0 percent up in Guzhangian international stage</v>
      </c>
      <c r="I1438" s="142" t="str">
        <f t="shared" si="982"/>
        <v>100 percent up in Guzhangian international stage</v>
      </c>
      <c r="J1438" s="7">
        <v>0</v>
      </c>
      <c r="K1438" s="129">
        <f t="shared" si="983"/>
        <v>0</v>
      </c>
      <c r="L1438" s="8" t="s">
        <v>171</v>
      </c>
      <c r="M1438" s="5" t="s">
        <v>224</v>
      </c>
      <c r="N1438" s="5" t="s">
        <v>1416</v>
      </c>
      <c r="O1438" s="83">
        <f>Master_Chronostrat!I156</f>
        <v>500.5</v>
      </c>
      <c r="P1438" s="20">
        <v>1</v>
      </c>
      <c r="Q1438" s="143">
        <f t="shared" si="984"/>
        <v>100</v>
      </c>
      <c r="R1438" s="21" t="s">
        <v>171</v>
      </c>
      <c r="S1438" s="8" t="s">
        <v>224</v>
      </c>
      <c r="T1438" s="7" t="s">
        <v>226</v>
      </c>
    </row>
    <row r="1439" spans="1:20" ht="28">
      <c r="A1439" s="113" t="s">
        <v>1361</v>
      </c>
      <c r="B1439" s="114" t="s">
        <v>1417</v>
      </c>
      <c r="C1439" s="5"/>
      <c r="D1439" s="5" t="s">
        <v>1418</v>
      </c>
      <c r="E1439" s="132">
        <f t="shared" ref="E1439:E1450" si="1034">$O$1450-J1439*($O$1450-$O$1438)</f>
        <v>501.07142857142856</v>
      </c>
      <c r="F1439" s="139">
        <f t="shared" si="1028"/>
        <v>498.75</v>
      </c>
      <c r="G1439" s="149"/>
      <c r="H1439" s="82" t="str">
        <f t="shared" si="981"/>
        <v>85.7 percent up in Drumian international stage</v>
      </c>
      <c r="I1439" s="142" t="str">
        <f t="shared" si="982"/>
        <v>50 percent up in Guzhangian international stage</v>
      </c>
      <c r="J1439" s="7">
        <v>0.85714285714285721</v>
      </c>
      <c r="K1439" s="129">
        <f t="shared" si="983"/>
        <v>85.7</v>
      </c>
      <c r="L1439" s="8" t="s">
        <v>172</v>
      </c>
      <c r="M1439" s="5" t="s">
        <v>82</v>
      </c>
      <c r="N1439" s="5" t="s">
        <v>82</v>
      </c>
      <c r="O1439" s="83"/>
      <c r="P1439" s="20">
        <v>0.5</v>
      </c>
      <c r="Q1439" s="143">
        <f t="shared" si="984"/>
        <v>50</v>
      </c>
      <c r="R1439" s="21" t="s">
        <v>171</v>
      </c>
      <c r="S1439" s="8" t="s">
        <v>246</v>
      </c>
      <c r="T1439" s="7" t="s">
        <v>226</v>
      </c>
    </row>
    <row r="1440" spans="1:20" ht="28">
      <c r="A1440" s="113" t="s">
        <v>1361</v>
      </c>
      <c r="B1440" s="115" t="s">
        <v>1419</v>
      </c>
      <c r="C1440" s="5"/>
      <c r="D1440" s="5" t="s">
        <v>368</v>
      </c>
      <c r="E1440" s="132">
        <f t="shared" si="1034"/>
        <v>501.64285714285717</v>
      </c>
      <c r="F1440" s="139">
        <f t="shared" si="1028"/>
        <v>498.75</v>
      </c>
      <c r="G1440" s="149"/>
      <c r="H1440" s="82" t="str">
        <f t="shared" si="981"/>
        <v>71.4 percent up in Drumian international stage</v>
      </c>
      <c r="I1440" s="142" t="str">
        <f t="shared" si="982"/>
        <v>50 percent up in Guzhangian international stage</v>
      </c>
      <c r="J1440" s="7">
        <v>0.7142857142857143</v>
      </c>
      <c r="K1440" s="129">
        <f t="shared" si="983"/>
        <v>71.400000000000006</v>
      </c>
      <c r="L1440" s="8" t="s">
        <v>172</v>
      </c>
      <c r="M1440" s="5" t="s">
        <v>82</v>
      </c>
      <c r="N1440" s="5" t="s">
        <v>82</v>
      </c>
      <c r="O1440" s="83"/>
      <c r="P1440" s="20">
        <v>0.5</v>
      </c>
      <c r="Q1440" s="143">
        <f t="shared" si="984"/>
        <v>50</v>
      </c>
      <c r="R1440" s="21" t="s">
        <v>171</v>
      </c>
      <c r="S1440" s="8" t="s">
        <v>246</v>
      </c>
      <c r="T1440" s="7" t="s">
        <v>226</v>
      </c>
    </row>
    <row r="1441" spans="1:20" ht="28">
      <c r="A1441" s="113" t="s">
        <v>1361</v>
      </c>
      <c r="B1441" s="115" t="s">
        <v>1420</v>
      </c>
      <c r="C1441" s="5"/>
      <c r="D1441" s="5" t="s">
        <v>82</v>
      </c>
      <c r="E1441" s="132">
        <f t="shared" si="1034"/>
        <v>501.64285714285717</v>
      </c>
      <c r="F1441" s="139">
        <f>$O$1395-P1441*($O$1395-$O$1381)</f>
        <v>493</v>
      </c>
      <c r="G1441" s="149"/>
      <c r="H1441" s="82" t="str">
        <f t="shared" si="981"/>
        <v>71.4 percent up in Drumian international stage</v>
      </c>
      <c r="I1441" s="142" t="str">
        <f t="shared" si="982"/>
        <v>37.5 percent up in Jiangshanian international stage</v>
      </c>
      <c r="J1441" s="7">
        <v>0.7142857142857143</v>
      </c>
      <c r="K1441" s="129">
        <f t="shared" si="983"/>
        <v>71.400000000000006</v>
      </c>
      <c r="L1441" s="8" t="s">
        <v>172</v>
      </c>
      <c r="M1441" s="5" t="s">
        <v>82</v>
      </c>
      <c r="N1441" s="5" t="s">
        <v>82</v>
      </c>
      <c r="O1441" s="83"/>
      <c r="P1441" s="20">
        <v>0.375</v>
      </c>
      <c r="Q1441" s="143">
        <f t="shared" si="984"/>
        <v>37.5</v>
      </c>
      <c r="R1441" s="21" t="s">
        <v>168</v>
      </c>
      <c r="S1441" s="8" t="s">
        <v>246</v>
      </c>
      <c r="T1441" s="7" t="s">
        <v>226</v>
      </c>
    </row>
    <row r="1442" spans="1:20" ht="28">
      <c r="A1442" s="113"/>
      <c r="B1442" s="174" t="s">
        <v>2003</v>
      </c>
      <c r="C1442" s="5"/>
      <c r="D1442" s="5" t="s">
        <v>248</v>
      </c>
      <c r="E1442" s="132">
        <f t="shared" ref="E1442" si="1035">$O$1450-J1442*($O$1450-$O$1438)</f>
        <v>502.78571428571428</v>
      </c>
      <c r="F1442" s="139">
        <f>$O$1438-P1442*($O$1438-$O$1407)</f>
        <v>498.75</v>
      </c>
      <c r="G1442" s="149" t="s">
        <v>1997</v>
      </c>
      <c r="H1442" s="82" t="str">
        <f t="shared" ref="H1442" si="1036">CONCATENATE(K1442," percent up in ",L1442," international stage")</f>
        <v>42.9 percent up in Drumian international stage</v>
      </c>
      <c r="I1442" s="142" t="str">
        <f t="shared" ref="I1442" si="1037">CONCATENATE(Q1442," percent up in ",R1442," international stage")</f>
        <v>50 percent up in Guzhangian international stage</v>
      </c>
      <c r="J1442" s="7">
        <v>0.4285714285714286</v>
      </c>
      <c r="K1442" s="129">
        <f t="shared" ref="K1442" si="1038">ROUND(J1442*100,1)</f>
        <v>42.9</v>
      </c>
      <c r="L1442" s="8" t="s">
        <v>172</v>
      </c>
      <c r="M1442" s="5" t="s">
        <v>82</v>
      </c>
      <c r="N1442" s="5" t="s">
        <v>82</v>
      </c>
      <c r="O1442" s="83"/>
      <c r="P1442" s="20">
        <v>0.5</v>
      </c>
      <c r="Q1442" s="143">
        <f t="shared" ref="Q1442" si="1039">ROUND(P1442*100,1)</f>
        <v>50</v>
      </c>
      <c r="R1442" s="21" t="s">
        <v>171</v>
      </c>
      <c r="S1442" s="8"/>
    </row>
    <row r="1443" spans="1:20" ht="28">
      <c r="A1443" s="113" t="s">
        <v>1361</v>
      </c>
      <c r="B1443" s="176" t="s">
        <v>1421</v>
      </c>
      <c r="C1443" s="5"/>
      <c r="D1443" s="5" t="s">
        <v>248</v>
      </c>
      <c r="E1443" s="132">
        <f t="shared" si="1034"/>
        <v>502.78571428571428</v>
      </c>
      <c r="F1443" s="139">
        <f>$O$1438-P1443*($O$1438-$O$1407)</f>
        <v>498.75</v>
      </c>
      <c r="G1443" s="149"/>
      <c r="H1443" s="82" t="str">
        <f t="shared" si="981"/>
        <v>42.9 percent up in Drumian international stage</v>
      </c>
      <c r="I1443" s="142" t="str">
        <f t="shared" si="982"/>
        <v>50 percent up in Guzhangian international stage</v>
      </c>
      <c r="J1443" s="7">
        <v>0.4285714285714286</v>
      </c>
      <c r="K1443" s="129">
        <f t="shared" si="983"/>
        <v>42.9</v>
      </c>
      <c r="L1443" s="8" t="s">
        <v>172</v>
      </c>
      <c r="M1443" s="5" t="s">
        <v>82</v>
      </c>
      <c r="N1443" s="5" t="s">
        <v>82</v>
      </c>
      <c r="O1443" s="83"/>
      <c r="P1443" s="20">
        <v>0.5</v>
      </c>
      <c r="Q1443" s="143">
        <f t="shared" si="984"/>
        <v>50</v>
      </c>
      <c r="R1443" s="21" t="s">
        <v>171</v>
      </c>
      <c r="S1443" s="8" t="s">
        <v>246</v>
      </c>
      <c r="T1443" s="7" t="s">
        <v>226</v>
      </c>
    </row>
    <row r="1444" spans="1:20" ht="28">
      <c r="A1444" s="113"/>
      <c r="B1444" s="174" t="s">
        <v>1901</v>
      </c>
      <c r="C1444" s="5"/>
      <c r="D1444" s="5" t="s">
        <v>368</v>
      </c>
      <c r="E1444" s="132">
        <f t="shared" ref="E1444" si="1040">$O$1450-J1444*($O$1450-$O$1438)</f>
        <v>503.92857142857144</v>
      </c>
      <c r="F1444" s="139">
        <f t="shared" ref="F1444" si="1041">$O$1450-P1444*($O$1450-$O$1438)</f>
        <v>501.64285714285717</v>
      </c>
      <c r="G1444" s="149" t="s">
        <v>1902</v>
      </c>
      <c r="H1444" s="82" t="str">
        <f t="shared" ref="H1444" si="1042">CONCATENATE(K1444," percent up in ",L1444," international stage")</f>
        <v>14.3 percent up in Drumian international stage</v>
      </c>
      <c r="I1444" s="142" t="str">
        <f t="shared" ref="I1444" si="1043">CONCATENATE(Q1444," percent up in ",R1444," international stage")</f>
        <v>71.4 percent up in Drumian international stage</v>
      </c>
      <c r="J1444" s="7">
        <v>0.1428571428571429</v>
      </c>
      <c r="K1444" s="129">
        <f t="shared" ref="K1444" si="1044">ROUND(J1444*100,1)</f>
        <v>14.3</v>
      </c>
      <c r="L1444" s="8" t="s">
        <v>172</v>
      </c>
      <c r="M1444" s="5" t="s">
        <v>82</v>
      </c>
      <c r="N1444" s="5" t="s">
        <v>82</v>
      </c>
      <c r="O1444" s="83"/>
      <c r="P1444" s="20">
        <v>0.7142857142857143</v>
      </c>
      <c r="Q1444" s="143">
        <f t="shared" ref="Q1444" si="1045">ROUND(P1444*100,1)</f>
        <v>71.400000000000006</v>
      </c>
      <c r="R1444" s="21" t="s">
        <v>172</v>
      </c>
      <c r="S1444" s="8" t="s">
        <v>259</v>
      </c>
    </row>
    <row r="1445" spans="1:20" ht="28">
      <c r="A1445" s="113" t="s">
        <v>1361</v>
      </c>
      <c r="B1445" s="176" t="s">
        <v>1422</v>
      </c>
      <c r="C1445" s="5"/>
      <c r="D1445" s="5" t="s">
        <v>368</v>
      </c>
      <c r="E1445" s="132">
        <f t="shared" si="1034"/>
        <v>503.92857142857144</v>
      </c>
      <c r="F1445" s="139">
        <f t="shared" ref="F1445:F1456" si="1046">$O$1450-P1445*($O$1450-$O$1438)</f>
        <v>501.64285714285717</v>
      </c>
      <c r="G1445" s="149"/>
      <c r="H1445" s="82" t="str">
        <f t="shared" si="981"/>
        <v>14.3 percent up in Drumian international stage</v>
      </c>
      <c r="I1445" s="142" t="str">
        <f t="shared" si="982"/>
        <v>71.4 percent up in Drumian international stage</v>
      </c>
      <c r="J1445" s="7">
        <v>0.1428571428571429</v>
      </c>
      <c r="K1445" s="129">
        <f t="shared" si="983"/>
        <v>14.3</v>
      </c>
      <c r="L1445" s="8" t="s">
        <v>172</v>
      </c>
      <c r="M1445" s="5" t="s">
        <v>82</v>
      </c>
      <c r="N1445" s="5" t="s">
        <v>82</v>
      </c>
      <c r="O1445" s="83"/>
      <c r="P1445" s="20">
        <v>0.7142857142857143</v>
      </c>
      <c r="Q1445" s="143">
        <f t="shared" si="984"/>
        <v>71.400000000000006</v>
      </c>
      <c r="R1445" s="21" t="s">
        <v>172</v>
      </c>
      <c r="S1445" s="8" t="s">
        <v>259</v>
      </c>
      <c r="T1445" s="7">
        <v>0.5714285714285694</v>
      </c>
    </row>
    <row r="1446" spans="1:20" ht="28">
      <c r="A1446" s="113" t="s">
        <v>1361</v>
      </c>
      <c r="B1446" s="114" t="s">
        <v>1423</v>
      </c>
      <c r="C1446" s="5"/>
      <c r="D1446" s="5" t="s">
        <v>1371</v>
      </c>
      <c r="E1446" s="132">
        <f t="shared" si="1034"/>
        <v>503.92857142857144</v>
      </c>
      <c r="F1446" s="139">
        <f t="shared" si="1046"/>
        <v>500.5</v>
      </c>
      <c r="G1446" s="149"/>
      <c r="H1446" s="82" t="str">
        <f t="shared" si="981"/>
        <v>14.3 percent up in Drumian international stage</v>
      </c>
      <c r="I1446" s="142" t="str">
        <f t="shared" si="982"/>
        <v>100 percent up in Drumian international stage</v>
      </c>
      <c r="J1446" s="7">
        <v>0.1428571428571429</v>
      </c>
      <c r="K1446" s="129">
        <f t="shared" si="983"/>
        <v>14.3</v>
      </c>
      <c r="L1446" s="8" t="s">
        <v>172</v>
      </c>
      <c r="M1446" s="5" t="s">
        <v>82</v>
      </c>
      <c r="N1446" s="5" t="s">
        <v>82</v>
      </c>
      <c r="O1446" s="83"/>
      <c r="P1446" s="20">
        <v>1</v>
      </c>
      <c r="Q1446" s="143">
        <f t="shared" si="984"/>
        <v>100</v>
      </c>
      <c r="R1446" s="21" t="s">
        <v>172</v>
      </c>
      <c r="S1446" s="8" t="s">
        <v>272</v>
      </c>
      <c r="T1446" s="7" t="s">
        <v>226</v>
      </c>
    </row>
    <row r="1447" spans="1:20" ht="28">
      <c r="A1447" s="113" t="s">
        <v>1361</v>
      </c>
      <c r="B1447" s="115" t="s">
        <v>1412</v>
      </c>
      <c r="C1447" s="5"/>
      <c r="D1447" s="5" t="s">
        <v>961</v>
      </c>
      <c r="E1447" s="132">
        <f>$O$1450-J1447*($O$1450-$O$1438)</f>
        <v>504.5</v>
      </c>
      <c r="F1447" s="139">
        <f>$O$1438-P1447*($O$1438-$O$1407)</f>
        <v>498.75</v>
      </c>
      <c r="G1447" s="149" t="s">
        <v>1941</v>
      </c>
      <c r="H1447" s="82" t="str">
        <f>CONCATENATE(K1447," percent up in ",L1447," international stage")</f>
        <v>0 percent up in Drumian international stage</v>
      </c>
      <c r="I1447" s="142" t="str">
        <f>CONCATENATE(Q1447," percent up in ",R1447," international stage")</f>
        <v>50 percent up in Guzhangian international stage</v>
      </c>
      <c r="J1447" s="7">
        <v>0</v>
      </c>
      <c r="K1447" s="129">
        <f t="shared" ref="K1447" si="1047">ROUND(J1447*100,1)</f>
        <v>0</v>
      </c>
      <c r="L1447" s="8" t="s">
        <v>172</v>
      </c>
      <c r="M1447" s="5" t="s">
        <v>82</v>
      </c>
      <c r="N1447" s="5" t="s">
        <v>82</v>
      </c>
      <c r="O1447" s="83"/>
      <c r="P1447" s="20">
        <v>0.5</v>
      </c>
      <c r="Q1447" s="143">
        <f>ROUND(P1447*100,1)</f>
        <v>50</v>
      </c>
      <c r="R1447" s="21" t="s">
        <v>171</v>
      </c>
      <c r="S1447" s="8" t="s">
        <v>259</v>
      </c>
      <c r="T1447" s="7">
        <v>0.25</v>
      </c>
    </row>
    <row r="1448" spans="1:20" ht="28">
      <c r="A1448" s="113"/>
      <c r="B1448" s="115" t="s">
        <v>1988</v>
      </c>
      <c r="C1448" s="5"/>
      <c r="D1448" s="5"/>
      <c r="E1448" s="132">
        <f>$O$1450-J1448*($O$1450-$O$1438)</f>
        <v>502.5</v>
      </c>
      <c r="F1448" s="139">
        <f t="shared" si="1046"/>
        <v>500.5</v>
      </c>
      <c r="G1448" s="149"/>
      <c r="H1448" s="82" t="str">
        <f>CONCATENATE(K1448," percent up in ",L1448," international stage")</f>
        <v>50 percent up in Drumian international stage</v>
      </c>
      <c r="I1448" s="142" t="str">
        <f>CONCATENATE(Q1448," percent up in ",R1448," international stage")</f>
        <v>100 percent up in Drumian international stage</v>
      </c>
      <c r="J1448" s="7">
        <v>0.5</v>
      </c>
      <c r="K1448" s="129">
        <f t="shared" ref="K1448:K1449" si="1048">ROUND(J1448*100,1)</f>
        <v>50</v>
      </c>
      <c r="L1448" s="8" t="s">
        <v>172</v>
      </c>
      <c r="M1448" s="5"/>
      <c r="O1448" s="83"/>
      <c r="P1448" s="20">
        <v>1</v>
      </c>
      <c r="Q1448" s="143">
        <f t="shared" ref="Q1448:Q1449" si="1049">ROUND(P1448*100,1)</f>
        <v>100</v>
      </c>
      <c r="R1448" s="21" t="s">
        <v>172</v>
      </c>
      <c r="S1448" s="8"/>
    </row>
    <row r="1449" spans="1:20" ht="28">
      <c r="A1449" s="113"/>
      <c r="B1449" s="115" t="s">
        <v>1989</v>
      </c>
      <c r="C1449" s="5"/>
      <c r="D1449" s="5"/>
      <c r="E1449" s="132">
        <f>$O$1450-J1449*($O$1450-$O$1438)</f>
        <v>504.5</v>
      </c>
      <c r="F1449" s="139">
        <f t="shared" si="1046"/>
        <v>502.5</v>
      </c>
      <c r="G1449" s="149"/>
      <c r="H1449" s="82" t="str">
        <f>CONCATENATE(K1449," percent up in ",L1449," international stage")</f>
        <v>0 percent up in Drumian international stage</v>
      </c>
      <c r="I1449" s="142" t="str">
        <f>CONCATENATE(Q1449," percent up in ",R1449," international stage")</f>
        <v>50 percent up in Drumian international stage</v>
      </c>
      <c r="J1449" s="7">
        <v>0</v>
      </c>
      <c r="K1449" s="129">
        <f t="shared" si="1048"/>
        <v>0</v>
      </c>
      <c r="L1449" s="8" t="s">
        <v>172</v>
      </c>
      <c r="M1449" s="5"/>
      <c r="O1449" s="83"/>
      <c r="P1449" s="20">
        <v>0.5</v>
      </c>
      <c r="Q1449" s="143">
        <f t="shared" si="1049"/>
        <v>50</v>
      </c>
      <c r="R1449" s="21" t="s">
        <v>172</v>
      </c>
      <c r="S1449" s="8"/>
    </row>
    <row r="1450" spans="1:20" ht="28">
      <c r="A1450" s="113" t="s">
        <v>1361</v>
      </c>
      <c r="B1450" s="115" t="s">
        <v>172</v>
      </c>
      <c r="C1450" s="135"/>
      <c r="D1450" s="135" t="s">
        <v>222</v>
      </c>
      <c r="E1450" s="132">
        <f t="shared" si="1034"/>
        <v>504.5</v>
      </c>
      <c r="F1450" s="139">
        <f t="shared" si="1046"/>
        <v>500.5</v>
      </c>
      <c r="G1450" s="149"/>
      <c r="H1450" s="82" t="str">
        <f t="shared" si="981"/>
        <v>0 percent up in Drumian international stage</v>
      </c>
      <c r="I1450" s="142" t="str">
        <f t="shared" si="982"/>
        <v>100 percent up in Drumian international stage</v>
      </c>
      <c r="J1450" s="7">
        <v>0</v>
      </c>
      <c r="K1450" s="129">
        <f t="shared" si="983"/>
        <v>0</v>
      </c>
      <c r="L1450" s="8" t="s">
        <v>172</v>
      </c>
      <c r="M1450" s="5" t="s">
        <v>224</v>
      </c>
      <c r="N1450" s="5" t="s">
        <v>1424</v>
      </c>
      <c r="O1450" s="83">
        <f>Master_Chronostrat!I157</f>
        <v>504.5</v>
      </c>
      <c r="P1450" s="20">
        <v>1</v>
      </c>
      <c r="Q1450" s="143">
        <f t="shared" si="984"/>
        <v>100</v>
      </c>
      <c r="R1450" s="21" t="s">
        <v>172</v>
      </c>
      <c r="S1450" s="8" t="s">
        <v>224</v>
      </c>
      <c r="T1450" s="7" t="s">
        <v>226</v>
      </c>
    </row>
    <row r="1451" spans="1:20" ht="28">
      <c r="A1451" s="113" t="s">
        <v>1361</v>
      </c>
      <c r="B1451" s="114" t="s">
        <v>1425</v>
      </c>
      <c r="C1451" s="5"/>
      <c r="D1451" s="5" t="s">
        <v>1418</v>
      </c>
      <c r="E1451" s="132">
        <f t="shared" ref="E1451:E1464" si="1050">$O$1464-J1451*($O$1464-$O$1450)</f>
        <v>505.69387755102042</v>
      </c>
      <c r="F1451" s="139">
        <f t="shared" si="1046"/>
        <v>501.07142857142856</v>
      </c>
      <c r="G1451" s="149"/>
      <c r="H1451" s="82" t="str">
        <f t="shared" si="981"/>
        <v>73.5 percent up in Wuliuan international stage</v>
      </c>
      <c r="I1451" s="142" t="str">
        <f t="shared" si="982"/>
        <v>85.7 percent up in Drumian international stage</v>
      </c>
      <c r="J1451" s="7">
        <v>0.73469387755101578</v>
      </c>
      <c r="K1451" s="129">
        <f t="shared" si="983"/>
        <v>73.5</v>
      </c>
      <c r="L1451" s="8" t="s">
        <v>174</v>
      </c>
      <c r="M1451" s="5" t="s">
        <v>82</v>
      </c>
      <c r="N1451" s="5" t="s">
        <v>82</v>
      </c>
      <c r="O1451" s="83"/>
      <c r="P1451" s="20">
        <v>0.8571428571428571</v>
      </c>
      <c r="Q1451" s="143">
        <f t="shared" si="984"/>
        <v>85.7</v>
      </c>
      <c r="R1451" s="21" t="s">
        <v>172</v>
      </c>
      <c r="S1451" s="8" t="s">
        <v>246</v>
      </c>
      <c r="T1451" s="7" t="s">
        <v>226</v>
      </c>
    </row>
    <row r="1452" spans="1:20" ht="28">
      <c r="A1452" s="113" t="s">
        <v>1361</v>
      </c>
      <c r="B1452" s="114" t="s">
        <v>1426</v>
      </c>
      <c r="C1452" s="5"/>
      <c r="D1452" s="5" t="s">
        <v>368</v>
      </c>
      <c r="E1452" s="132">
        <f t="shared" si="1050"/>
        <v>506.42857142857144</v>
      </c>
      <c r="F1452" s="139">
        <f t="shared" si="1046"/>
        <v>503.92857142857144</v>
      </c>
      <c r="G1452" s="149"/>
      <c r="H1452" s="82" t="str">
        <f t="shared" si="981"/>
        <v>57.1 percent up in Wuliuan international stage</v>
      </c>
      <c r="I1452" s="142" t="str">
        <f t="shared" si="982"/>
        <v>14.3 percent up in Drumian international stage</v>
      </c>
      <c r="J1452" s="7">
        <v>0.5714285714285714</v>
      </c>
      <c r="K1452" s="129">
        <f t="shared" si="983"/>
        <v>57.1</v>
      </c>
      <c r="L1452" s="8" t="s">
        <v>174</v>
      </c>
      <c r="M1452" s="5" t="s">
        <v>82</v>
      </c>
      <c r="N1452" s="5" t="s">
        <v>82</v>
      </c>
      <c r="O1452" s="83"/>
      <c r="P1452" s="20">
        <v>0.14285714285714285</v>
      </c>
      <c r="Q1452" s="143">
        <f t="shared" si="984"/>
        <v>14.3</v>
      </c>
      <c r="R1452" s="21" t="s">
        <v>172</v>
      </c>
      <c r="S1452" s="8" t="s">
        <v>246</v>
      </c>
      <c r="T1452" s="7" t="s">
        <v>226</v>
      </c>
    </row>
    <row r="1453" spans="1:20" ht="28">
      <c r="A1453" s="113" t="s">
        <v>1361</v>
      </c>
      <c r="B1453" s="115" t="s">
        <v>1427</v>
      </c>
      <c r="C1453" s="5"/>
      <c r="D1453" s="5" t="s">
        <v>368</v>
      </c>
      <c r="E1453" s="132">
        <f t="shared" si="1050"/>
        <v>506.42857142857144</v>
      </c>
      <c r="F1453" s="139">
        <f t="shared" si="1046"/>
        <v>503.92857142857144</v>
      </c>
      <c r="G1453" s="149"/>
      <c r="H1453" s="82" t="str">
        <f t="shared" si="981"/>
        <v>57.1 percent up in Wuliuan international stage</v>
      </c>
      <c r="I1453" s="142" t="str">
        <f t="shared" si="982"/>
        <v>14.3 percent up in Drumian international stage</v>
      </c>
      <c r="J1453" s="7">
        <v>0.5714285714285714</v>
      </c>
      <c r="K1453" s="129">
        <f t="shared" si="983"/>
        <v>57.1</v>
      </c>
      <c r="L1453" s="8" t="s">
        <v>174</v>
      </c>
      <c r="M1453" s="5" t="s">
        <v>82</v>
      </c>
      <c r="N1453" s="5" t="s">
        <v>82</v>
      </c>
      <c r="O1453" s="83"/>
      <c r="P1453" s="20">
        <v>0.14285714285714285</v>
      </c>
      <c r="Q1453" s="143">
        <f t="shared" si="984"/>
        <v>14.3</v>
      </c>
      <c r="R1453" s="21" t="s">
        <v>172</v>
      </c>
      <c r="S1453" s="8" t="s">
        <v>246</v>
      </c>
      <c r="T1453" s="7" t="s">
        <v>226</v>
      </c>
    </row>
    <row r="1454" spans="1:20" ht="28">
      <c r="A1454" s="113"/>
      <c r="B1454" s="174" t="s">
        <v>2001</v>
      </c>
      <c r="C1454" s="5"/>
      <c r="D1454" s="5" t="s">
        <v>248</v>
      </c>
      <c r="E1454" s="132">
        <f t="shared" ref="E1454" si="1051">$O$1464-J1454*($O$1464-$O$1450)</f>
        <v>507.71428571428572</v>
      </c>
      <c r="F1454" s="139">
        <f t="shared" ref="F1454" si="1052">$O$1450-P1454*($O$1450-$O$1438)</f>
        <v>502.78571428571428</v>
      </c>
      <c r="G1454" s="149" t="s">
        <v>1997</v>
      </c>
      <c r="H1454" s="82" t="str">
        <f t="shared" ref="H1454" si="1053">CONCATENATE(K1454," percent up in ",L1454," international stage")</f>
        <v>28.6 percent up in Wuliuan international stage</v>
      </c>
      <c r="I1454" s="142" t="str">
        <f t="shared" ref="I1454" si="1054">CONCATENATE(Q1454," percent up in ",R1454," international stage")</f>
        <v>42.9 percent up in Drumian international stage</v>
      </c>
      <c r="J1454" s="7">
        <v>0.2857142857142857</v>
      </c>
      <c r="K1454" s="129">
        <f t="shared" ref="K1454" si="1055">ROUND(J1454*100,1)</f>
        <v>28.6</v>
      </c>
      <c r="L1454" s="8" t="s">
        <v>174</v>
      </c>
      <c r="M1454" s="5" t="s">
        <v>82</v>
      </c>
      <c r="N1454" s="5" t="s">
        <v>82</v>
      </c>
      <c r="O1454" s="83"/>
      <c r="P1454" s="20">
        <v>0.42857142857142855</v>
      </c>
      <c r="Q1454" s="143">
        <f t="shared" ref="Q1454" si="1056">ROUND(P1454*100,1)</f>
        <v>42.9</v>
      </c>
      <c r="R1454" s="21" t="s">
        <v>172</v>
      </c>
      <c r="S1454" s="8"/>
    </row>
    <row r="1455" spans="1:20" ht="28">
      <c r="A1455" s="113" t="s">
        <v>1361</v>
      </c>
      <c r="B1455" s="175" t="s">
        <v>1428</v>
      </c>
      <c r="C1455" s="5"/>
      <c r="D1455" s="5" t="s">
        <v>248</v>
      </c>
      <c r="E1455" s="132">
        <f t="shared" si="1050"/>
        <v>507.71428571428572</v>
      </c>
      <c r="F1455" s="139">
        <f t="shared" si="1046"/>
        <v>502.78571428571428</v>
      </c>
      <c r="G1455" s="149" t="s">
        <v>2002</v>
      </c>
      <c r="H1455" s="82" t="str">
        <f t="shared" si="981"/>
        <v>28.6 percent up in Wuliuan international stage</v>
      </c>
      <c r="I1455" s="142" t="str">
        <f t="shared" si="982"/>
        <v>42.9 percent up in Drumian international stage</v>
      </c>
      <c r="J1455" s="7">
        <v>0.2857142857142857</v>
      </c>
      <c r="K1455" s="129">
        <f t="shared" si="983"/>
        <v>28.6</v>
      </c>
      <c r="L1455" s="8" t="s">
        <v>174</v>
      </c>
      <c r="M1455" s="5" t="s">
        <v>82</v>
      </c>
      <c r="N1455" s="5" t="s">
        <v>82</v>
      </c>
      <c r="O1455" s="83"/>
      <c r="P1455" s="20">
        <v>0.42857142857142855</v>
      </c>
      <c r="Q1455" s="143">
        <f t="shared" si="984"/>
        <v>42.9</v>
      </c>
      <c r="R1455" s="21" t="s">
        <v>172</v>
      </c>
      <c r="S1455" s="8" t="s">
        <v>246</v>
      </c>
      <c r="T1455" s="7" t="s">
        <v>226</v>
      </c>
    </row>
    <row r="1456" spans="1:20" ht="28">
      <c r="A1456" s="113" t="s">
        <v>1361</v>
      </c>
      <c r="B1456" s="176" t="s">
        <v>1429</v>
      </c>
      <c r="C1456" s="5"/>
      <c r="D1456" s="5" t="s">
        <v>248</v>
      </c>
      <c r="E1456" s="132">
        <f t="shared" si="1050"/>
        <v>507.71428571428572</v>
      </c>
      <c r="F1456" s="139">
        <f t="shared" si="1046"/>
        <v>502.78571428571428</v>
      </c>
      <c r="G1456" s="149" t="s">
        <v>2011</v>
      </c>
      <c r="H1456" s="82" t="str">
        <f t="shared" si="981"/>
        <v>28.6 percent up in Wuliuan international stage</v>
      </c>
      <c r="I1456" s="142" t="str">
        <f t="shared" si="982"/>
        <v>42.9 percent up in Drumian international stage</v>
      </c>
      <c r="J1456" s="7">
        <v>0.2857142857142857</v>
      </c>
      <c r="K1456" s="129">
        <f t="shared" si="983"/>
        <v>28.6</v>
      </c>
      <c r="L1456" s="8" t="s">
        <v>174</v>
      </c>
      <c r="M1456" s="5" t="s">
        <v>82</v>
      </c>
      <c r="N1456" s="5" t="s">
        <v>82</v>
      </c>
      <c r="O1456" s="83"/>
      <c r="P1456" s="20">
        <v>0.42857142857142855</v>
      </c>
      <c r="Q1456" s="143">
        <f t="shared" si="984"/>
        <v>42.9</v>
      </c>
      <c r="R1456" s="21" t="s">
        <v>172</v>
      </c>
      <c r="S1456" s="8" t="s">
        <v>246</v>
      </c>
      <c r="T1456" s="7" t="s">
        <v>226</v>
      </c>
    </row>
    <row r="1457" spans="1:20" ht="28">
      <c r="A1457" s="113" t="s">
        <v>1361</v>
      </c>
      <c r="B1457" s="115" t="s">
        <v>1430</v>
      </c>
      <c r="C1457" s="5"/>
      <c r="D1457" s="5" t="s">
        <v>82</v>
      </c>
      <c r="E1457" s="132">
        <f t="shared" si="1050"/>
        <v>509</v>
      </c>
      <c r="F1457" s="139">
        <f>$O$1464-P1457*($O$1464-$O$1450)</f>
        <v>504.5</v>
      </c>
      <c r="G1457" s="149"/>
      <c r="H1457" s="82" t="str">
        <f t="shared" si="981"/>
        <v>0 percent up in Wuliuan international stage</v>
      </c>
      <c r="I1457" s="142" t="str">
        <f t="shared" si="982"/>
        <v>100 percent up in Wuliuan international stage</v>
      </c>
      <c r="J1457" s="7">
        <v>0</v>
      </c>
      <c r="K1457" s="129">
        <f t="shared" si="983"/>
        <v>0</v>
      </c>
      <c r="L1457" s="8" t="s">
        <v>174</v>
      </c>
      <c r="M1457" s="5" t="s">
        <v>82</v>
      </c>
      <c r="N1457" s="5" t="s">
        <v>82</v>
      </c>
      <c r="O1457" s="83"/>
      <c r="P1457" s="20">
        <v>1</v>
      </c>
      <c r="Q1457" s="143">
        <f t="shared" si="984"/>
        <v>100</v>
      </c>
      <c r="R1457" s="21" t="s">
        <v>174</v>
      </c>
      <c r="S1457" s="8" t="s">
        <v>232</v>
      </c>
      <c r="T1457" s="7" t="s">
        <v>226</v>
      </c>
    </row>
    <row r="1458" spans="1:20" ht="28">
      <c r="A1458" s="113" t="s">
        <v>1361</v>
      </c>
      <c r="B1458" s="114" t="s">
        <v>1431</v>
      </c>
      <c r="C1458" s="5"/>
      <c r="D1458" s="5" t="s">
        <v>1371</v>
      </c>
      <c r="E1458" s="132">
        <f t="shared" si="1050"/>
        <v>509</v>
      </c>
      <c r="F1458" s="139">
        <f>$O$1450-P1458*($O$1450-$O$1438)</f>
        <v>503.92857142857144</v>
      </c>
      <c r="G1458" s="149"/>
      <c r="H1458" s="82" t="str">
        <f t="shared" si="981"/>
        <v>0 percent up in Wuliuan international stage</v>
      </c>
      <c r="I1458" s="142" t="str">
        <f t="shared" si="982"/>
        <v>14.3 percent up in Drumian international stage</v>
      </c>
      <c r="J1458" s="7">
        <v>0</v>
      </c>
      <c r="K1458" s="129">
        <f t="shared" si="983"/>
        <v>0</v>
      </c>
      <c r="L1458" s="8" t="s">
        <v>174</v>
      </c>
      <c r="M1458" s="5" t="s">
        <v>82</v>
      </c>
      <c r="N1458" s="5" t="s">
        <v>82</v>
      </c>
      <c r="O1458" s="83"/>
      <c r="P1458" s="20">
        <v>0.14285714285714285</v>
      </c>
      <c r="Q1458" s="143">
        <f t="shared" si="984"/>
        <v>14.3</v>
      </c>
      <c r="R1458" s="21" t="s">
        <v>172</v>
      </c>
      <c r="S1458" s="8" t="s">
        <v>246</v>
      </c>
      <c r="T1458" s="7" t="s">
        <v>226</v>
      </c>
    </row>
    <row r="1459" spans="1:20" ht="28">
      <c r="A1459" s="113" t="s">
        <v>1361</v>
      </c>
      <c r="B1459" s="115" t="s">
        <v>1432</v>
      </c>
      <c r="C1459" s="5"/>
      <c r="D1459" s="5" t="s">
        <v>368</v>
      </c>
      <c r="E1459" s="132">
        <f t="shared" si="1050"/>
        <v>509</v>
      </c>
      <c r="F1459" s="139">
        <f>$O$1464-P1459*($O$1464-$O$1450)</f>
        <v>506.42857142857144</v>
      </c>
      <c r="G1459" s="149"/>
      <c r="H1459" s="82" t="str">
        <f t="shared" si="981"/>
        <v>0 percent up in Wuliuan international stage</v>
      </c>
      <c r="I1459" s="142" t="str">
        <f t="shared" si="982"/>
        <v>57.1 percent up in Wuliuan international stage</v>
      </c>
      <c r="J1459" s="7">
        <v>0</v>
      </c>
      <c r="K1459" s="129">
        <f t="shared" si="983"/>
        <v>0</v>
      </c>
      <c r="L1459" s="8" t="s">
        <v>174</v>
      </c>
      <c r="M1459" s="5" t="s">
        <v>82</v>
      </c>
      <c r="N1459" s="5" t="s">
        <v>82</v>
      </c>
      <c r="O1459" s="83"/>
      <c r="P1459" s="20">
        <v>0.5714285714285714</v>
      </c>
      <c r="Q1459" s="143">
        <f t="shared" si="984"/>
        <v>57.1</v>
      </c>
      <c r="R1459" s="21" t="s">
        <v>174</v>
      </c>
      <c r="S1459" s="8" t="s">
        <v>230</v>
      </c>
      <c r="T1459" s="7" t="s">
        <v>226</v>
      </c>
    </row>
    <row r="1460" spans="1:20" ht="28">
      <c r="A1460" s="113" t="s">
        <v>1361</v>
      </c>
      <c r="B1460" s="114" t="s">
        <v>1433</v>
      </c>
      <c r="C1460" s="5"/>
      <c r="D1460" s="5" t="s">
        <v>1371</v>
      </c>
      <c r="E1460" s="132">
        <f t="shared" si="1050"/>
        <v>509</v>
      </c>
      <c r="F1460" s="139">
        <f>$O$1464-P1460*($O$1464-$O$1450)</f>
        <v>504.5</v>
      </c>
      <c r="G1460" s="149"/>
      <c r="H1460" s="82" t="str">
        <f t="shared" si="981"/>
        <v>0 percent up in Wuliuan international stage</v>
      </c>
      <c r="I1460" s="142" t="str">
        <f t="shared" si="982"/>
        <v>100 percent up in Wuliuan international stage</v>
      </c>
      <c r="J1460" s="7">
        <v>0</v>
      </c>
      <c r="K1460" s="129">
        <f t="shared" si="983"/>
        <v>0</v>
      </c>
      <c r="L1460" s="8" t="s">
        <v>174</v>
      </c>
      <c r="M1460" s="5" t="s">
        <v>82</v>
      </c>
      <c r="N1460" s="5" t="s">
        <v>82</v>
      </c>
      <c r="O1460" s="83"/>
      <c r="P1460" s="20">
        <v>1</v>
      </c>
      <c r="Q1460" s="143">
        <f t="shared" si="984"/>
        <v>100</v>
      </c>
      <c r="R1460" s="21" t="s">
        <v>174</v>
      </c>
      <c r="S1460" s="8" t="s">
        <v>232</v>
      </c>
      <c r="T1460" s="7" t="s">
        <v>226</v>
      </c>
    </row>
    <row r="1461" spans="1:20" ht="28">
      <c r="A1461" s="113"/>
      <c r="B1461" s="114" t="s">
        <v>2071</v>
      </c>
      <c r="C1461" s="5"/>
      <c r="D1461" s="5"/>
      <c r="E1461" s="132">
        <f t="shared" ref="E1461" si="1057">$O$1464-J1461*($O$1464-$O$1450)</f>
        <v>506.75</v>
      </c>
      <c r="F1461" s="139">
        <f>$O$1464-P1461*($O$1464-$O$1450)</f>
        <v>504.5</v>
      </c>
      <c r="G1461" s="149" t="s">
        <v>1601</v>
      </c>
      <c r="H1461" s="82" t="str">
        <f t="shared" ref="H1461" si="1058">CONCATENATE(K1461," percent up in ",L1461," international stage")</f>
        <v>50 percent up in Wuliuan international stage</v>
      </c>
      <c r="I1461" s="142" t="str">
        <f t="shared" ref="I1461" si="1059">CONCATENATE(Q1461," percent up in ",R1461," international stage")</f>
        <v>100 percent up in Wuliuan international stage</v>
      </c>
      <c r="J1461" s="7">
        <v>0.5</v>
      </c>
      <c r="K1461" s="129">
        <f t="shared" ref="K1461" si="1060">ROUND(J1461*100,1)</f>
        <v>50</v>
      </c>
      <c r="L1461" s="8" t="s">
        <v>174</v>
      </c>
      <c r="M1461" s="5"/>
      <c r="O1461" s="83"/>
      <c r="P1461" s="20">
        <v>1</v>
      </c>
      <c r="Q1461" s="143">
        <f t="shared" ref="Q1461:Q1462" si="1061">ROUND(P1461*100,1)</f>
        <v>100</v>
      </c>
      <c r="R1461" s="21" t="s">
        <v>174</v>
      </c>
      <c r="S1461" s="8"/>
    </row>
    <row r="1462" spans="1:20" ht="28">
      <c r="A1462" s="113"/>
      <c r="B1462" s="114" t="s">
        <v>2072</v>
      </c>
      <c r="C1462" s="5"/>
      <c r="D1462" s="5"/>
      <c r="E1462" s="132">
        <f t="shared" ref="E1462" si="1062">$O$1464-J1462*($O$1464-$O$1450)</f>
        <v>509</v>
      </c>
      <c r="F1462" s="139">
        <f>$O$1464-P1462*($O$1464-$O$1450)</f>
        <v>506.75</v>
      </c>
      <c r="G1462" s="149" t="s">
        <v>1602</v>
      </c>
      <c r="H1462" s="82" t="str">
        <f t="shared" ref="H1462" si="1063">CONCATENATE(K1462," percent up in ",L1462," international stage")</f>
        <v>0 percent up in Wuliuan international stage</v>
      </c>
      <c r="I1462" s="142" t="str">
        <f t="shared" ref="I1462" si="1064">CONCATENATE(Q1462," percent up in ",R1462," international stage")</f>
        <v>50 percent up in Wuliuan international stage</v>
      </c>
      <c r="J1462" s="7">
        <v>0</v>
      </c>
      <c r="K1462" s="129">
        <f t="shared" ref="K1462" si="1065">ROUND(J1462*100,1)</f>
        <v>0</v>
      </c>
      <c r="L1462" s="8" t="s">
        <v>174</v>
      </c>
      <c r="M1462" s="5"/>
      <c r="O1462" s="83"/>
      <c r="P1462" s="20">
        <v>0.5</v>
      </c>
      <c r="Q1462" s="143">
        <f t="shared" si="1061"/>
        <v>50</v>
      </c>
      <c r="R1462" s="21" t="s">
        <v>174</v>
      </c>
      <c r="S1462" s="8"/>
    </row>
    <row r="1463" spans="1:20" ht="28">
      <c r="A1463" s="113" t="s">
        <v>1361</v>
      </c>
      <c r="B1463" s="114" t="s">
        <v>174</v>
      </c>
      <c r="C1463" s="135"/>
      <c r="D1463" s="135" t="s">
        <v>222</v>
      </c>
      <c r="E1463" s="132">
        <f t="shared" si="1050"/>
        <v>509</v>
      </c>
      <c r="F1463" s="139">
        <f>$O$1464-P1463*($O$1464-$O$1450)</f>
        <v>504.5</v>
      </c>
      <c r="G1463" s="149"/>
      <c r="H1463" s="82" t="str">
        <f t="shared" si="981"/>
        <v>0 percent up in Wuliuan international stage</v>
      </c>
      <c r="I1463" s="142" t="str">
        <f t="shared" si="982"/>
        <v>100 percent up in Wuliuan international stage</v>
      </c>
      <c r="J1463" s="7">
        <v>0</v>
      </c>
      <c r="K1463" s="129">
        <f t="shared" si="983"/>
        <v>0</v>
      </c>
      <c r="L1463" s="8" t="s">
        <v>174</v>
      </c>
      <c r="M1463" s="5" t="s">
        <v>224</v>
      </c>
      <c r="N1463" s="5" t="s">
        <v>82</v>
      </c>
      <c r="O1463" s="83">
        <f>Master_Chronostrat!I158</f>
        <v>509</v>
      </c>
      <c r="P1463" s="20">
        <v>1</v>
      </c>
      <c r="Q1463" s="143">
        <f t="shared" si="984"/>
        <v>100</v>
      </c>
      <c r="R1463" s="21" t="s">
        <v>174</v>
      </c>
      <c r="S1463" s="8" t="s">
        <v>224</v>
      </c>
      <c r="T1463" s="7" t="s">
        <v>226</v>
      </c>
    </row>
    <row r="1464" spans="1:20" ht="28">
      <c r="A1464" s="113" t="s">
        <v>1361</v>
      </c>
      <c r="B1464" s="114" t="s">
        <v>173</v>
      </c>
      <c r="C1464" s="135"/>
      <c r="D1464" s="135" t="s">
        <v>222</v>
      </c>
      <c r="E1464" s="132">
        <f t="shared" si="1050"/>
        <v>509</v>
      </c>
      <c r="F1464" s="139">
        <f>$O$1438-P1464*($O$1438-$O$1407)</f>
        <v>497</v>
      </c>
      <c r="G1464" s="149"/>
      <c r="H1464" s="82" t="str">
        <f t="shared" si="981"/>
        <v>0 percent up in Wuliuan international stage</v>
      </c>
      <c r="I1464" s="142" t="str">
        <f t="shared" si="982"/>
        <v>100 percent up in Guzhangian international stage</v>
      </c>
      <c r="J1464" s="7">
        <v>0</v>
      </c>
      <c r="K1464" s="129">
        <f t="shared" si="983"/>
        <v>0</v>
      </c>
      <c r="L1464" s="8" t="s">
        <v>174</v>
      </c>
      <c r="M1464" s="5" t="s">
        <v>224</v>
      </c>
      <c r="N1464" s="5" t="s">
        <v>1434</v>
      </c>
      <c r="O1464" s="83">
        <f>Master_Chronostrat!I158</f>
        <v>509</v>
      </c>
      <c r="P1464" s="20">
        <v>1</v>
      </c>
      <c r="Q1464" s="143">
        <f t="shared" si="984"/>
        <v>100</v>
      </c>
      <c r="R1464" s="21" t="s">
        <v>171</v>
      </c>
      <c r="S1464" s="8" t="s">
        <v>239</v>
      </c>
      <c r="T1464" s="7" t="s">
        <v>226</v>
      </c>
    </row>
    <row r="1465" spans="1:20" ht="28">
      <c r="A1465" s="113" t="s">
        <v>1361</v>
      </c>
      <c r="B1465" s="115" t="s">
        <v>1435</v>
      </c>
      <c r="C1465" s="5"/>
      <c r="D1465" s="5" t="s">
        <v>82</v>
      </c>
      <c r="E1465" s="132">
        <f>$O$1499-J1465*($O$1499-$O$1464)</f>
        <v>511.2</v>
      </c>
      <c r="F1465" s="139">
        <f>$O$1450-P1465*($O$1450-$O$1438)</f>
        <v>501.64285714285717</v>
      </c>
      <c r="G1465" s="149"/>
      <c r="H1465" s="82" t="str">
        <f t="shared" si="981"/>
        <v>60 percent up in Cambrian Stage 4 international stage</v>
      </c>
      <c r="I1465" s="142" t="str">
        <f t="shared" si="982"/>
        <v>71.4 percent up in Drumian international stage</v>
      </c>
      <c r="J1465" s="7">
        <v>0.6</v>
      </c>
      <c r="K1465" s="129">
        <f t="shared" si="983"/>
        <v>60</v>
      </c>
      <c r="L1465" s="8" t="s">
        <v>1436</v>
      </c>
      <c r="M1465" s="5" t="s">
        <v>82</v>
      </c>
      <c r="N1465" s="5" t="s">
        <v>82</v>
      </c>
      <c r="O1465" s="83"/>
      <c r="P1465" s="20">
        <v>0.7142857142857143</v>
      </c>
      <c r="Q1465" s="143">
        <f t="shared" si="984"/>
        <v>71.400000000000006</v>
      </c>
      <c r="R1465" s="21" t="s">
        <v>172</v>
      </c>
      <c r="S1465" s="8" t="s">
        <v>246</v>
      </c>
      <c r="T1465" s="7" t="s">
        <v>226</v>
      </c>
    </row>
    <row r="1466" spans="1:20" ht="28">
      <c r="A1466" s="113" t="s">
        <v>1361</v>
      </c>
      <c r="B1466" s="114" t="s">
        <v>1437</v>
      </c>
      <c r="C1466" s="5"/>
      <c r="D1466" s="5" t="s">
        <v>1404</v>
      </c>
      <c r="E1466" s="132">
        <f>$O$1499-J1466*($O$1499-$O$1464)</f>
        <v>511.2</v>
      </c>
      <c r="F1466" s="139">
        <f>$O$1438-P1466*($O$1438-$O$1407)</f>
        <v>498.75</v>
      </c>
      <c r="G1466" s="149"/>
      <c r="H1466" s="82" t="str">
        <f t="shared" ref="H1466:H1577" si="1066">CONCATENATE(K1466," percent up in ",L1466," international stage")</f>
        <v>60 percent up in Cambrian Stage 4 international stage</v>
      </c>
      <c r="I1466" s="142" t="str">
        <f t="shared" ref="I1466:I1577" si="1067">CONCATENATE(Q1466," percent up in ",R1466," international stage")</f>
        <v>50 percent up in Guzhangian international stage</v>
      </c>
      <c r="J1466" s="7">
        <v>0.6</v>
      </c>
      <c r="K1466" s="129">
        <f t="shared" ref="K1466:K1577" si="1068">ROUND(J1466*100,1)</f>
        <v>60</v>
      </c>
      <c r="L1466" s="8" t="s">
        <v>1436</v>
      </c>
      <c r="M1466" s="5" t="s">
        <v>82</v>
      </c>
      <c r="N1466" s="5" t="s">
        <v>82</v>
      </c>
      <c r="O1466" s="83"/>
      <c r="P1466" s="20">
        <v>0.5</v>
      </c>
      <c r="Q1466" s="143">
        <f t="shared" ref="Q1466:Q1577" si="1069">ROUND(P1466*100,1)</f>
        <v>50</v>
      </c>
      <c r="R1466" s="21" t="s">
        <v>171</v>
      </c>
      <c r="S1466" s="8" t="s">
        <v>246</v>
      </c>
      <c r="T1466" s="7" t="s">
        <v>226</v>
      </c>
    </row>
    <row r="1467" spans="1:20" ht="28">
      <c r="A1467" s="113" t="s">
        <v>1361</v>
      </c>
      <c r="B1467" s="115" t="s">
        <v>1438</v>
      </c>
      <c r="C1467" s="5"/>
      <c r="D1467" s="5" t="s">
        <v>82</v>
      </c>
      <c r="E1467" s="132">
        <f>$O$1499-J1467*($O$1499-$O$1464)</f>
        <v>512.29999999999995</v>
      </c>
      <c r="F1467" s="139">
        <f>$O$1438-P1467*($O$1438-$O$1407)</f>
        <v>498.75</v>
      </c>
      <c r="G1467" s="149"/>
      <c r="H1467" s="82" t="str">
        <f t="shared" si="1066"/>
        <v>40 percent up in Cambrian Stage 4 international stage</v>
      </c>
      <c r="I1467" s="142" t="str">
        <f t="shared" si="1067"/>
        <v>50 percent up in Guzhangian international stage</v>
      </c>
      <c r="J1467" s="7">
        <v>0.4</v>
      </c>
      <c r="K1467" s="129">
        <f t="shared" si="1068"/>
        <v>40</v>
      </c>
      <c r="L1467" s="8" t="s">
        <v>1436</v>
      </c>
      <c r="M1467" s="5" t="s">
        <v>82</v>
      </c>
      <c r="N1467" s="5" t="s">
        <v>82</v>
      </c>
      <c r="O1467" s="83"/>
      <c r="P1467" s="20">
        <v>0.5</v>
      </c>
      <c r="Q1467" s="143">
        <f t="shared" si="1069"/>
        <v>50</v>
      </c>
      <c r="R1467" s="21" t="s">
        <v>171</v>
      </c>
      <c r="S1467" s="8" t="s">
        <v>246</v>
      </c>
      <c r="T1467" s="7" t="s">
        <v>226</v>
      </c>
    </row>
    <row r="1468" spans="1:20" ht="28">
      <c r="A1468" s="113" t="s">
        <v>1361</v>
      </c>
      <c r="B1468" s="115" t="s">
        <v>1439</v>
      </c>
      <c r="C1468" s="5"/>
      <c r="D1468" s="5" t="s">
        <v>244</v>
      </c>
      <c r="E1468" s="132">
        <f>$O$1499-J1468*($O$1499-$O$1464)</f>
        <v>512.29999999999995</v>
      </c>
      <c r="F1468" s="139">
        <f>$O$1438-P1468*($O$1438-$O$1407)</f>
        <v>498.75</v>
      </c>
      <c r="G1468" s="149"/>
      <c r="H1468" s="82" t="str">
        <f t="shared" si="1066"/>
        <v>40 percent up in Cambrian Stage 4 international stage</v>
      </c>
      <c r="I1468" s="142" t="str">
        <f t="shared" si="1067"/>
        <v>50 percent up in Guzhangian international stage</v>
      </c>
      <c r="J1468" s="7">
        <v>0.4</v>
      </c>
      <c r="K1468" s="129">
        <f t="shared" si="1068"/>
        <v>40</v>
      </c>
      <c r="L1468" s="8" t="s">
        <v>1436</v>
      </c>
      <c r="M1468" s="5" t="s">
        <v>82</v>
      </c>
      <c r="N1468" s="5" t="s">
        <v>82</v>
      </c>
      <c r="O1468" s="83"/>
      <c r="P1468" s="20">
        <v>0.5</v>
      </c>
      <c r="Q1468" s="143">
        <f t="shared" si="1069"/>
        <v>50</v>
      </c>
      <c r="R1468" s="21" t="s">
        <v>171</v>
      </c>
      <c r="S1468" s="8" t="s">
        <v>246</v>
      </c>
      <c r="T1468" s="7" t="s">
        <v>226</v>
      </c>
    </row>
    <row r="1469" spans="1:20" ht="28">
      <c r="A1469" s="113"/>
      <c r="B1469" s="115" t="s">
        <v>1802</v>
      </c>
      <c r="C1469" s="5"/>
      <c r="D1469" s="5"/>
      <c r="E1469" s="132">
        <f t="shared" ref="E1469" si="1070">$O$1450-J1469*($O$1450-$O$1438)</f>
        <v>504.5</v>
      </c>
      <c r="F1469" s="139">
        <f>$O$1438-P1469*($O$1438-$O$1407)</f>
        <v>499.625</v>
      </c>
      <c r="G1469" s="149" t="s">
        <v>1804</v>
      </c>
      <c r="H1469" s="82" t="str">
        <f t="shared" si="1066"/>
        <v>0 percent up in Drumian international stage</v>
      </c>
      <c r="I1469" s="142" t="str">
        <f t="shared" si="1067"/>
        <v>25 percent up in Guzhangian international stage</v>
      </c>
      <c r="J1469" s="7">
        <v>0</v>
      </c>
      <c r="K1469" s="129">
        <f t="shared" ref="K1469" si="1071">ROUND(J1469*100,1)</f>
        <v>0</v>
      </c>
      <c r="L1469" s="8" t="s">
        <v>172</v>
      </c>
      <c r="M1469" s="5"/>
      <c r="O1469" s="83"/>
      <c r="P1469" s="20">
        <v>0.25</v>
      </c>
      <c r="Q1469" s="143">
        <f t="shared" si="1069"/>
        <v>25</v>
      </c>
      <c r="R1469" s="21" t="s">
        <v>171</v>
      </c>
      <c r="S1469" s="151" t="s">
        <v>1804</v>
      </c>
    </row>
    <row r="1470" spans="1:20" ht="42">
      <c r="A1470" s="113"/>
      <c r="B1470" s="115" t="s">
        <v>1803</v>
      </c>
      <c r="C1470" s="5"/>
      <c r="D1470" s="5"/>
      <c r="E1470" s="132">
        <f>$O$1499-J1470*($O$1499-$O$1464)</f>
        <v>512.29999999999995</v>
      </c>
      <c r="F1470" s="139">
        <f>$O$1464-P1470*($O$1464-$O$1450)</f>
        <v>504.5</v>
      </c>
      <c r="G1470" s="149" t="s">
        <v>1801</v>
      </c>
      <c r="H1470" s="82" t="str">
        <f t="shared" ref="H1470" si="1072">CONCATENATE(K1470," percent up in ",L1470," international stage")</f>
        <v>40 percent up in Cambrian Stage 4 international stage</v>
      </c>
      <c r="I1470" s="142" t="str">
        <f t="shared" ref="I1470" si="1073">CONCATENATE(Q1470," percent up in ",R1470," international stage")</f>
        <v>100 percent up in Wuliuan international stage</v>
      </c>
      <c r="J1470" s="7">
        <v>0.4</v>
      </c>
      <c r="K1470" s="129">
        <f t="shared" ref="K1470" si="1074">ROUND(J1470*100,1)</f>
        <v>40</v>
      </c>
      <c r="L1470" s="8" t="s">
        <v>1436</v>
      </c>
      <c r="M1470" s="5"/>
      <c r="O1470" s="83"/>
      <c r="P1470" s="20">
        <v>1</v>
      </c>
      <c r="Q1470" s="143">
        <f t="shared" ref="Q1470" si="1075">ROUND(P1470*100,1)</f>
        <v>100</v>
      </c>
      <c r="R1470" s="21" t="s">
        <v>174</v>
      </c>
      <c r="S1470" s="151" t="s">
        <v>1801</v>
      </c>
    </row>
    <row r="1471" spans="1:20" ht="28">
      <c r="A1471" s="113" t="s">
        <v>1361</v>
      </c>
      <c r="B1471" s="115" t="s">
        <v>1440</v>
      </c>
      <c r="C1471" s="5"/>
      <c r="D1471" s="5" t="s">
        <v>82</v>
      </c>
      <c r="E1471" s="132">
        <f>$O$1499-J1471*($O$1499-$O$1464)</f>
        <v>512.29999999999995</v>
      </c>
      <c r="F1471" s="139">
        <f>$O$1438-P1471*($O$1438-$O$1407)</f>
        <v>499.625</v>
      </c>
      <c r="G1471" s="149"/>
      <c r="H1471" s="82" t="str">
        <f t="shared" si="1066"/>
        <v>40 percent up in Cambrian Stage 4 international stage</v>
      </c>
      <c r="I1471" s="142" t="str">
        <f t="shared" si="1067"/>
        <v>25 percent up in Guzhangian international stage</v>
      </c>
      <c r="J1471" s="7">
        <v>0.4</v>
      </c>
      <c r="K1471" s="129">
        <f t="shared" si="1068"/>
        <v>40</v>
      </c>
      <c r="L1471" s="8" t="s">
        <v>1436</v>
      </c>
      <c r="M1471" s="5" t="s">
        <v>82</v>
      </c>
      <c r="N1471" s="5" t="s">
        <v>82</v>
      </c>
      <c r="O1471" s="83"/>
      <c r="P1471" s="20">
        <v>0.25</v>
      </c>
      <c r="Q1471" s="143">
        <f t="shared" si="1069"/>
        <v>25</v>
      </c>
      <c r="R1471" s="21" t="s">
        <v>171</v>
      </c>
      <c r="S1471" s="8" t="s">
        <v>246</v>
      </c>
      <c r="T1471" s="7" t="s">
        <v>226</v>
      </c>
    </row>
    <row r="1472" spans="1:20" ht="28">
      <c r="A1472" s="113" t="s">
        <v>1361</v>
      </c>
      <c r="B1472" s="115" t="s">
        <v>1441</v>
      </c>
      <c r="C1472" s="5"/>
      <c r="D1472" s="5" t="s">
        <v>961</v>
      </c>
      <c r="E1472" s="132">
        <f>$O$1499-J1472*($O$1499-$O$1464)</f>
        <v>510.375</v>
      </c>
      <c r="F1472" s="139">
        <f>$O$1464-P1472*($O$1464-$O$1450)</f>
        <v>504.5</v>
      </c>
      <c r="G1472" s="149" t="s">
        <v>1941</v>
      </c>
      <c r="H1472" s="82" t="str">
        <f t="shared" si="1066"/>
        <v>75 percent up in Cambrian Stage 4 international stage</v>
      </c>
      <c r="I1472" s="142" t="str">
        <f t="shared" si="1067"/>
        <v>100 percent up in Wuliuan international stage</v>
      </c>
      <c r="J1472" s="7">
        <v>0.75</v>
      </c>
      <c r="K1472" s="129">
        <f t="shared" si="1068"/>
        <v>75</v>
      </c>
      <c r="L1472" s="8" t="s">
        <v>1436</v>
      </c>
      <c r="M1472" s="5" t="s">
        <v>82</v>
      </c>
      <c r="N1472" s="5" t="s">
        <v>82</v>
      </c>
      <c r="O1472" s="83"/>
      <c r="P1472" s="20">
        <v>1</v>
      </c>
      <c r="Q1472" s="143">
        <f t="shared" si="1069"/>
        <v>100</v>
      </c>
      <c r="R1472" s="21" t="s">
        <v>174</v>
      </c>
      <c r="S1472" s="8" t="s">
        <v>246</v>
      </c>
      <c r="T1472" s="7" t="s">
        <v>226</v>
      </c>
    </row>
    <row r="1473" spans="1:20" ht="34">
      <c r="A1473" s="113"/>
      <c r="B1473" s="115" t="s">
        <v>2016</v>
      </c>
      <c r="C1473" s="5"/>
      <c r="D1473" s="5"/>
      <c r="E1473" s="132">
        <f t="shared" ref="E1473:E1475" si="1076">$O$1450-J1473*($O$1450-$O$1438)</f>
        <v>501.62</v>
      </c>
      <c r="F1473" s="139">
        <f>$O$1438-P1473*($O$1438-$O$1407)</f>
        <v>498.75</v>
      </c>
      <c r="G1473" s="149" t="s">
        <v>2017</v>
      </c>
      <c r="H1473" s="82" t="str">
        <f t="shared" ref="H1473:H1476" si="1077">CONCATENATE(K1473," percent up in ",L1473," international stage")</f>
        <v>72 percent up in Drumian international stage</v>
      </c>
      <c r="I1473" s="142" t="str">
        <f t="shared" ref="I1473:I1476" si="1078">CONCATENATE(Q1473," percent up in ",R1473," international stage")</f>
        <v>50 percent up in Guzhangian international stage</v>
      </c>
      <c r="J1473" s="7">
        <v>0.72</v>
      </c>
      <c r="K1473" s="129">
        <f t="shared" ref="K1473" si="1079">ROUND(J1473*100,1)</f>
        <v>72</v>
      </c>
      <c r="L1473" s="8" t="s">
        <v>172</v>
      </c>
      <c r="M1473" s="5"/>
      <c r="O1473" s="83"/>
      <c r="P1473" s="20">
        <v>0.5</v>
      </c>
      <c r="Q1473" s="143">
        <f t="shared" si="1069"/>
        <v>50</v>
      </c>
      <c r="R1473" s="21" t="s">
        <v>171</v>
      </c>
      <c r="S1473" s="8"/>
    </row>
    <row r="1474" spans="1:20" ht="34">
      <c r="A1474" s="113"/>
      <c r="B1474" s="115" t="s">
        <v>1798</v>
      </c>
      <c r="C1474" s="5"/>
      <c r="D1474" s="5"/>
      <c r="E1474" s="132">
        <f t="shared" si="1076"/>
        <v>504.5</v>
      </c>
      <c r="F1474" s="139">
        <f>$O$1438-P1474*($O$1438-$O$1407)</f>
        <v>498.75</v>
      </c>
      <c r="G1474" s="149" t="s">
        <v>1800</v>
      </c>
      <c r="H1474" s="82" t="str">
        <f t="shared" si="1077"/>
        <v>0 percent up in Drumian international stage</v>
      </c>
      <c r="I1474" s="142" t="str">
        <f t="shared" si="1078"/>
        <v>50 percent up in Guzhangian international stage</v>
      </c>
      <c r="J1474" s="7">
        <v>0</v>
      </c>
      <c r="K1474" s="129">
        <f t="shared" si="1068"/>
        <v>0</v>
      </c>
      <c r="L1474" s="8" t="s">
        <v>172</v>
      </c>
      <c r="M1474" s="5"/>
      <c r="O1474" s="83"/>
      <c r="P1474" s="20">
        <v>0.5</v>
      </c>
      <c r="Q1474" s="143">
        <f t="shared" ref="Q1474:Q1476" si="1080">ROUND(P1474*100,1)</f>
        <v>50</v>
      </c>
      <c r="R1474" s="21" t="s">
        <v>171</v>
      </c>
      <c r="S1474" s="151" t="s">
        <v>1800</v>
      </c>
    </row>
    <row r="1475" spans="1:20" ht="34">
      <c r="A1475" s="113"/>
      <c r="B1475" s="115" t="s">
        <v>2030</v>
      </c>
      <c r="C1475" s="5"/>
      <c r="D1475" s="5"/>
      <c r="E1475" s="132">
        <f t="shared" si="1076"/>
        <v>504.5</v>
      </c>
      <c r="F1475" s="139">
        <f>$O$1450-P1475*($O$1450-$O$1438)</f>
        <v>500.5</v>
      </c>
      <c r="G1475" s="149" t="s">
        <v>2031</v>
      </c>
      <c r="H1475" s="82" t="str">
        <f t="shared" si="1077"/>
        <v>0 percent up in Drumian international stage</v>
      </c>
      <c r="I1475" s="142" t="str">
        <f>CONCATENATE(Q1475," percent up in ",R1475," international stage")</f>
        <v>100 percent up in Drumian international stage</v>
      </c>
      <c r="J1475" s="7">
        <v>0</v>
      </c>
      <c r="K1475" s="129">
        <f t="shared" ref="K1475" si="1081">ROUND(J1475*100,1)</f>
        <v>0</v>
      </c>
      <c r="L1475" s="8" t="s">
        <v>172</v>
      </c>
      <c r="M1475" s="5"/>
      <c r="O1475" s="83"/>
      <c r="P1475" s="20">
        <v>1</v>
      </c>
      <c r="Q1475" s="143">
        <f t="shared" si="1080"/>
        <v>100</v>
      </c>
      <c r="R1475" s="21" t="s">
        <v>172</v>
      </c>
      <c r="S1475" s="151"/>
    </row>
    <row r="1476" spans="1:20" ht="42">
      <c r="A1476" s="113"/>
      <c r="B1476" s="115" t="s">
        <v>1799</v>
      </c>
      <c r="C1476" s="5"/>
      <c r="D1476" s="5"/>
      <c r="E1476" s="132">
        <f t="shared" ref="E1476:E1484" si="1082">$O$1499-J1476*($O$1499-$O$1464)</f>
        <v>512.29999999999995</v>
      </c>
      <c r="F1476" s="139">
        <f>$O$1464-P1476*($O$1464-$O$1450)</f>
        <v>504.5</v>
      </c>
      <c r="G1476" s="149" t="s">
        <v>1801</v>
      </c>
      <c r="H1476" s="82" t="str">
        <f t="shared" si="1077"/>
        <v>40 percent up in Cambrian Stage 4 international stage</v>
      </c>
      <c r="I1476" s="142" t="str">
        <f t="shared" si="1078"/>
        <v>100 percent up in Wuliuan international stage</v>
      </c>
      <c r="J1476" s="7">
        <v>0.4</v>
      </c>
      <c r="K1476" s="129">
        <f t="shared" ref="K1476" si="1083">ROUND(J1476*100,1)</f>
        <v>40</v>
      </c>
      <c r="L1476" s="8" t="s">
        <v>1436</v>
      </c>
      <c r="M1476" s="5"/>
      <c r="O1476" s="83"/>
      <c r="P1476" s="20">
        <v>1</v>
      </c>
      <c r="Q1476" s="143">
        <f t="shared" si="1080"/>
        <v>100</v>
      </c>
      <c r="R1476" s="21" t="s">
        <v>174</v>
      </c>
      <c r="S1476" s="151" t="s">
        <v>1801</v>
      </c>
    </row>
    <row r="1477" spans="1:20" ht="28">
      <c r="A1477" s="113" t="s">
        <v>1361</v>
      </c>
      <c r="B1477" s="115" t="s">
        <v>1442</v>
      </c>
      <c r="C1477" s="5"/>
      <c r="D1477" s="5" t="s">
        <v>82</v>
      </c>
      <c r="E1477" s="132">
        <f t="shared" si="1082"/>
        <v>512.29999999999995</v>
      </c>
      <c r="F1477" s="139">
        <f>$O$1438-P1477*($O$1438-$O$1407)</f>
        <v>498.75</v>
      </c>
      <c r="G1477" s="149"/>
      <c r="H1477" s="82" t="str">
        <f t="shared" si="1066"/>
        <v>40 percent up in Cambrian Stage 4 international stage</v>
      </c>
      <c r="I1477" s="142" t="str">
        <f t="shared" si="1067"/>
        <v>50 percent up in Guzhangian international stage</v>
      </c>
      <c r="J1477" s="7">
        <v>0.4</v>
      </c>
      <c r="K1477" s="129">
        <f t="shared" si="1068"/>
        <v>40</v>
      </c>
      <c r="L1477" s="8" t="s">
        <v>1436</v>
      </c>
      <c r="M1477" s="5" t="s">
        <v>82</v>
      </c>
      <c r="N1477" s="5" t="s">
        <v>82</v>
      </c>
      <c r="O1477" s="83"/>
      <c r="P1477" s="20">
        <v>0.5</v>
      </c>
      <c r="Q1477" s="143">
        <f t="shared" si="1069"/>
        <v>50</v>
      </c>
      <c r="R1477" s="21" t="s">
        <v>171</v>
      </c>
      <c r="S1477" s="8" t="s">
        <v>246</v>
      </c>
      <c r="T1477" s="7" t="s">
        <v>226</v>
      </c>
    </row>
    <row r="1478" spans="1:20" ht="28">
      <c r="A1478" s="113" t="s">
        <v>1361</v>
      </c>
      <c r="B1478" s="115" t="s">
        <v>1443</v>
      </c>
      <c r="C1478" s="5"/>
      <c r="D1478" s="5" t="s">
        <v>82</v>
      </c>
      <c r="E1478" s="132">
        <f t="shared" si="1082"/>
        <v>512.29999999999995</v>
      </c>
      <c r="F1478" s="139">
        <f>$O$1438-P1478*($O$1438-$O$1407)</f>
        <v>498.75</v>
      </c>
      <c r="G1478" s="149"/>
      <c r="H1478" s="82" t="str">
        <f t="shared" si="1066"/>
        <v>40 percent up in Cambrian Stage 4 international stage</v>
      </c>
      <c r="I1478" s="142" t="str">
        <f t="shared" si="1067"/>
        <v>50 percent up in Guzhangian international stage</v>
      </c>
      <c r="J1478" s="7">
        <v>0.4</v>
      </c>
      <c r="K1478" s="129">
        <f t="shared" si="1068"/>
        <v>40</v>
      </c>
      <c r="L1478" s="8" t="s">
        <v>1436</v>
      </c>
      <c r="M1478" s="5" t="s">
        <v>82</v>
      </c>
      <c r="N1478" s="5" t="s">
        <v>82</v>
      </c>
      <c r="O1478" s="83"/>
      <c r="P1478" s="20">
        <v>0.5</v>
      </c>
      <c r="Q1478" s="143">
        <f t="shared" si="1069"/>
        <v>50</v>
      </c>
      <c r="R1478" s="21" t="s">
        <v>171</v>
      </c>
      <c r="S1478" s="8" t="s">
        <v>246</v>
      </c>
      <c r="T1478" s="7" t="s">
        <v>226</v>
      </c>
    </row>
    <row r="1479" spans="1:20" ht="28">
      <c r="A1479" s="113"/>
      <c r="B1479" s="174" t="s">
        <v>2000</v>
      </c>
      <c r="C1479" s="5"/>
      <c r="D1479" s="5" t="s">
        <v>248</v>
      </c>
      <c r="E1479" s="132">
        <f t="shared" ref="E1479" si="1084">$O$1499-J1479*($O$1499-$O$1464)</f>
        <v>510.1</v>
      </c>
      <c r="F1479" s="139">
        <f>$O$1464-P1479*($O$1464-$O$1450)</f>
        <v>507.71428571428572</v>
      </c>
      <c r="G1479" s="149" t="s">
        <v>1997</v>
      </c>
      <c r="H1479" s="82" t="str">
        <f t="shared" ref="H1479" si="1085">CONCATENATE(K1479," percent up in ",L1479," international stage")</f>
        <v>80 percent up in Cambrian Stage 4 international stage</v>
      </c>
      <c r="I1479" s="142" t="str">
        <f t="shared" ref="I1479" si="1086">CONCATENATE(Q1479," percent up in ",R1479," international stage")</f>
        <v>28.6 percent up in Wuliuan international stage</v>
      </c>
      <c r="J1479" s="7">
        <v>0.8</v>
      </c>
      <c r="K1479" s="129">
        <f t="shared" ref="K1479" si="1087">ROUND(J1479*100,1)</f>
        <v>80</v>
      </c>
      <c r="L1479" s="8" t="s">
        <v>1436</v>
      </c>
      <c r="M1479" s="5" t="s">
        <v>82</v>
      </c>
      <c r="N1479" s="5" t="s">
        <v>82</v>
      </c>
      <c r="O1479" s="83"/>
      <c r="P1479" s="20">
        <v>0.2857142857142857</v>
      </c>
      <c r="Q1479" s="143">
        <f t="shared" ref="Q1479" si="1088">ROUND(P1479*100,1)</f>
        <v>28.6</v>
      </c>
      <c r="R1479" s="21" t="s">
        <v>174</v>
      </c>
      <c r="S1479" s="8"/>
    </row>
    <row r="1480" spans="1:20" ht="28">
      <c r="A1480" s="113" t="s">
        <v>1361</v>
      </c>
      <c r="B1480" s="176" t="s">
        <v>1444</v>
      </c>
      <c r="C1480" s="5"/>
      <c r="D1480" s="5" t="s">
        <v>248</v>
      </c>
      <c r="E1480" s="132">
        <f t="shared" si="1082"/>
        <v>510.1</v>
      </c>
      <c r="F1480" s="139">
        <f>$O$1464-P1480*($O$1464-$O$1450)</f>
        <v>507.71428571428572</v>
      </c>
      <c r="G1480" s="149"/>
      <c r="H1480" s="82" t="str">
        <f t="shared" si="1066"/>
        <v>80 percent up in Cambrian Stage 4 international stage</v>
      </c>
      <c r="I1480" s="142" t="str">
        <f t="shared" si="1067"/>
        <v>28.6 percent up in Wuliuan international stage</v>
      </c>
      <c r="J1480" s="7">
        <v>0.8</v>
      </c>
      <c r="K1480" s="129">
        <f t="shared" si="1068"/>
        <v>80</v>
      </c>
      <c r="L1480" s="8" t="s">
        <v>1436</v>
      </c>
      <c r="M1480" s="5" t="s">
        <v>82</v>
      </c>
      <c r="N1480" s="5" t="s">
        <v>82</v>
      </c>
      <c r="O1480" s="83"/>
      <c r="P1480" s="20">
        <v>0.2857142857142857</v>
      </c>
      <c r="Q1480" s="143">
        <f t="shared" si="1069"/>
        <v>28.6</v>
      </c>
      <c r="R1480" s="21" t="s">
        <v>174</v>
      </c>
      <c r="S1480" s="8" t="s">
        <v>246</v>
      </c>
      <c r="T1480" s="7" t="s">
        <v>226</v>
      </c>
    </row>
    <row r="1481" spans="1:20" ht="28">
      <c r="A1481" s="113" t="s">
        <v>1361</v>
      </c>
      <c r="B1481" s="115" t="s">
        <v>1445</v>
      </c>
      <c r="C1481" s="5"/>
      <c r="D1481" s="5" t="s">
        <v>82</v>
      </c>
      <c r="E1481" s="132">
        <f t="shared" si="1082"/>
        <v>512.29999999999995</v>
      </c>
      <c r="F1481" s="139">
        <f>$O$1438-P1481*($O$1438-$O$1407)</f>
        <v>498.75</v>
      </c>
      <c r="G1481" s="149"/>
      <c r="H1481" s="82" t="str">
        <f t="shared" si="1066"/>
        <v>40 percent up in Cambrian Stage 4 international stage</v>
      </c>
      <c r="I1481" s="142" t="str">
        <f t="shared" si="1067"/>
        <v>50 percent up in Guzhangian international stage</v>
      </c>
      <c r="J1481" s="7">
        <v>0.4</v>
      </c>
      <c r="K1481" s="129">
        <f t="shared" si="1068"/>
        <v>40</v>
      </c>
      <c r="L1481" s="8" t="s">
        <v>1436</v>
      </c>
      <c r="M1481" s="5" t="s">
        <v>82</v>
      </c>
      <c r="N1481" s="5" t="s">
        <v>82</v>
      </c>
      <c r="O1481" s="83"/>
      <c r="P1481" s="20">
        <v>0.5</v>
      </c>
      <c r="Q1481" s="143">
        <f t="shared" si="1069"/>
        <v>50</v>
      </c>
      <c r="R1481" s="21" t="s">
        <v>171</v>
      </c>
      <c r="S1481" s="8" t="s">
        <v>246</v>
      </c>
      <c r="T1481" s="7" t="s">
        <v>226</v>
      </c>
    </row>
    <row r="1482" spans="1:20" ht="28">
      <c r="A1482" s="113" t="s">
        <v>1361</v>
      </c>
      <c r="B1482" s="115" t="s">
        <v>1446</v>
      </c>
      <c r="C1482" s="5"/>
      <c r="D1482" s="5" t="s">
        <v>82</v>
      </c>
      <c r="E1482" s="132">
        <f t="shared" si="1082"/>
        <v>512.29999999999995</v>
      </c>
      <c r="F1482" s="139">
        <f>$O$1438-P1482*($O$1438-$O$1407)</f>
        <v>499.625</v>
      </c>
      <c r="G1482" s="149"/>
      <c r="H1482" s="82" t="str">
        <f t="shared" si="1066"/>
        <v>40 percent up in Cambrian Stage 4 international stage</v>
      </c>
      <c r="I1482" s="142" t="str">
        <f t="shared" si="1067"/>
        <v>25 percent up in Guzhangian international stage</v>
      </c>
      <c r="J1482" s="7">
        <v>0.4</v>
      </c>
      <c r="K1482" s="129">
        <f t="shared" si="1068"/>
        <v>40</v>
      </c>
      <c r="L1482" s="8" t="s">
        <v>1436</v>
      </c>
      <c r="M1482" s="5" t="s">
        <v>82</v>
      </c>
      <c r="N1482" s="5" t="s">
        <v>82</v>
      </c>
      <c r="O1482" s="83"/>
      <c r="P1482" s="20">
        <v>0.25</v>
      </c>
      <c r="Q1482" s="143">
        <f t="shared" si="1069"/>
        <v>25</v>
      </c>
      <c r="R1482" s="21" t="s">
        <v>171</v>
      </c>
      <c r="S1482" s="8" t="s">
        <v>246</v>
      </c>
      <c r="T1482" s="7" t="s">
        <v>226</v>
      </c>
    </row>
    <row r="1483" spans="1:20" ht="28">
      <c r="A1483" s="113" t="s">
        <v>1361</v>
      </c>
      <c r="B1483" s="115" t="s">
        <v>1447</v>
      </c>
      <c r="C1483" s="5"/>
      <c r="D1483" s="5" t="s">
        <v>82</v>
      </c>
      <c r="E1483" s="132">
        <f t="shared" si="1082"/>
        <v>512.29999999999995</v>
      </c>
      <c r="F1483" s="139">
        <f>$O$1438-P1483*($O$1438-$O$1407)</f>
        <v>499.625</v>
      </c>
      <c r="G1483" s="149"/>
      <c r="H1483" s="82" t="str">
        <f t="shared" si="1066"/>
        <v>40 percent up in Cambrian Stage 4 international stage</v>
      </c>
      <c r="I1483" s="142" t="str">
        <f t="shared" si="1067"/>
        <v>25 percent up in Guzhangian international stage</v>
      </c>
      <c r="J1483" s="7">
        <v>0.4</v>
      </c>
      <c r="K1483" s="129">
        <f t="shared" si="1068"/>
        <v>40</v>
      </c>
      <c r="L1483" s="8" t="s">
        <v>1436</v>
      </c>
      <c r="M1483" s="5" t="s">
        <v>82</v>
      </c>
      <c r="N1483" s="5" t="s">
        <v>82</v>
      </c>
      <c r="O1483" s="83"/>
      <c r="P1483" s="20">
        <v>0.25</v>
      </c>
      <c r="Q1483" s="143">
        <f t="shared" si="1069"/>
        <v>25</v>
      </c>
      <c r="R1483" s="21" t="s">
        <v>171</v>
      </c>
      <c r="S1483" s="8" t="s">
        <v>246</v>
      </c>
      <c r="T1483" s="7" t="s">
        <v>226</v>
      </c>
    </row>
    <row r="1484" spans="1:20" ht="28">
      <c r="A1484" s="113" t="s">
        <v>1361</v>
      </c>
      <c r="B1484" s="115" t="s">
        <v>1448</v>
      </c>
      <c r="C1484" s="5"/>
      <c r="D1484" s="5" t="s">
        <v>264</v>
      </c>
      <c r="E1484" s="132">
        <f t="shared" si="1082"/>
        <v>512.29999999999995</v>
      </c>
      <c r="F1484" s="139">
        <f>$O$1438-P1484*($O$1438-$O$1407)</f>
        <v>498.75</v>
      </c>
      <c r="G1484" s="149"/>
      <c r="H1484" s="82" t="str">
        <f t="shared" si="1066"/>
        <v>40 percent up in Cambrian Stage 4 international stage</v>
      </c>
      <c r="I1484" s="142" t="str">
        <f t="shared" si="1067"/>
        <v>50 percent up in Guzhangian international stage</v>
      </c>
      <c r="J1484" s="7">
        <v>0.4</v>
      </c>
      <c r="K1484" s="129">
        <f t="shared" si="1068"/>
        <v>40</v>
      </c>
      <c r="L1484" s="8" t="s">
        <v>1436</v>
      </c>
      <c r="M1484" s="5" t="s">
        <v>82</v>
      </c>
      <c r="N1484" s="5" t="s">
        <v>82</v>
      </c>
      <c r="O1484" s="83"/>
      <c r="P1484" s="20">
        <v>0.5</v>
      </c>
      <c r="Q1484" s="143">
        <f t="shared" si="1069"/>
        <v>50</v>
      </c>
      <c r="R1484" s="21" t="s">
        <v>171</v>
      </c>
      <c r="S1484" s="8" t="s">
        <v>246</v>
      </c>
      <c r="T1484" s="7" t="s">
        <v>226</v>
      </c>
    </row>
    <row r="1485" spans="1:20" ht="28">
      <c r="A1485" s="113"/>
      <c r="B1485" s="115" t="s">
        <v>1956</v>
      </c>
      <c r="C1485" s="5"/>
      <c r="D1485" s="5"/>
      <c r="E1485" s="132">
        <f>E1490-0.66*(E1490-F1490)</f>
        <v>511.31</v>
      </c>
      <c r="F1485" s="139">
        <f t="shared" ref="F1485:F1499" si="1089">$O$1499-P1485*($O$1499-$O$1464)</f>
        <v>510.375</v>
      </c>
      <c r="G1485" s="149" t="s">
        <v>1950</v>
      </c>
      <c r="H1485" s="82" t="str">
        <f t="shared" ref="H1485:H1491" si="1090">CONCATENATE(K1485," percent up in ",L1485," international stage")</f>
        <v>58 percent up in Cambrian Stage 4 international stage</v>
      </c>
      <c r="I1485" s="142" t="str">
        <f t="shared" ref="I1485:I1491" si="1091">CONCATENATE(Q1485," percent up in ",R1485," international stage")</f>
        <v>75 percent up in Cambrian Stage 4 international stage</v>
      </c>
      <c r="J1485" s="7">
        <v>0.57999999999999996</v>
      </c>
      <c r="K1485" s="129">
        <f t="shared" si="1068"/>
        <v>58</v>
      </c>
      <c r="L1485" s="8" t="s">
        <v>1436</v>
      </c>
      <c r="M1485" s="5"/>
      <c r="O1485" s="83"/>
      <c r="P1485" s="20">
        <v>0.75</v>
      </c>
      <c r="Q1485" s="143">
        <f t="shared" ref="Q1485:Q1491" si="1092">ROUND(P1485*100,1)</f>
        <v>75</v>
      </c>
      <c r="R1485" s="21" t="s">
        <v>1436</v>
      </c>
      <c r="S1485" s="8"/>
    </row>
    <row r="1486" spans="1:20" ht="28">
      <c r="A1486" s="113"/>
      <c r="B1486" s="115" t="s">
        <v>1957</v>
      </c>
      <c r="C1486" s="5"/>
      <c r="D1486" s="5"/>
      <c r="E1486" s="132">
        <f>E1490-0.35*(E1490-F1490)</f>
        <v>512.16250000000002</v>
      </c>
      <c r="F1486" s="139">
        <f t="shared" si="1089"/>
        <v>511.31</v>
      </c>
      <c r="G1486" s="149" t="s">
        <v>1952</v>
      </c>
      <c r="H1486" s="82" t="str">
        <f t="shared" si="1090"/>
        <v>42 percent up in Cambrian Stage 4 international stage</v>
      </c>
      <c r="I1486" s="142" t="str">
        <f t="shared" si="1091"/>
        <v>58 percent up in Cambrian Stage 4 international stage</v>
      </c>
      <c r="J1486" s="7">
        <v>0.42</v>
      </c>
      <c r="K1486" s="129">
        <f t="shared" si="1068"/>
        <v>42</v>
      </c>
      <c r="L1486" s="8" t="s">
        <v>1436</v>
      </c>
      <c r="M1486" s="5"/>
      <c r="O1486" s="83"/>
      <c r="P1486" s="20">
        <v>0.57999999999999996</v>
      </c>
      <c r="Q1486" s="143">
        <f t="shared" si="1092"/>
        <v>58</v>
      </c>
      <c r="R1486" s="21" t="s">
        <v>1436</v>
      </c>
      <c r="S1486" s="8"/>
    </row>
    <row r="1487" spans="1:20" ht="28">
      <c r="A1487" s="113"/>
      <c r="B1487" s="115" t="s">
        <v>1958</v>
      </c>
      <c r="C1487" s="5"/>
      <c r="D1487" s="5"/>
      <c r="E1487" s="132">
        <f t="shared" ref="E1487:E1499" si="1093">$O$1499-J1487*($O$1499-$O$1464)</f>
        <v>513.125</v>
      </c>
      <c r="F1487" s="139">
        <f t="shared" si="1089"/>
        <v>512.19000000000005</v>
      </c>
      <c r="G1487" s="149" t="s">
        <v>1951</v>
      </c>
      <c r="H1487" s="82" t="str">
        <f t="shared" si="1090"/>
        <v>25 percent up in Cambrian Stage 4 international stage</v>
      </c>
      <c r="I1487" s="142" t="str">
        <f t="shared" si="1091"/>
        <v>42 percent up in Cambrian Stage 4 international stage</v>
      </c>
      <c r="J1487" s="7">
        <v>0.25</v>
      </c>
      <c r="K1487" s="129">
        <f t="shared" ref="K1487:K1488" si="1094">ROUND(J1487*100,1)</f>
        <v>25</v>
      </c>
      <c r="L1487" s="8" t="s">
        <v>1436</v>
      </c>
      <c r="M1487" s="5"/>
      <c r="O1487" s="83"/>
      <c r="P1487" s="20">
        <v>0.42</v>
      </c>
      <c r="Q1487" s="143">
        <f t="shared" si="1092"/>
        <v>42</v>
      </c>
      <c r="R1487" s="21" t="s">
        <v>1436</v>
      </c>
      <c r="S1487" s="8"/>
    </row>
    <row r="1488" spans="1:20" ht="28">
      <c r="A1488" s="113"/>
      <c r="B1488" s="115" t="s">
        <v>2043</v>
      </c>
      <c r="C1488" s="5"/>
      <c r="D1488" s="5"/>
      <c r="E1488" s="132">
        <f t="shared" si="1093"/>
        <v>511.75</v>
      </c>
      <c r="F1488" s="139">
        <f t="shared" si="1089"/>
        <v>510.375</v>
      </c>
      <c r="G1488" s="149" t="s">
        <v>1811</v>
      </c>
      <c r="H1488" s="82" t="str">
        <f t="shared" si="1090"/>
        <v>50 percent up in Cambrian Stage 4 international stage</v>
      </c>
      <c r="I1488" s="142" t="str">
        <f t="shared" si="1091"/>
        <v>75 percent up in Cambrian Stage 4 international stage</v>
      </c>
      <c r="J1488" s="7">
        <v>0.5</v>
      </c>
      <c r="K1488" s="129">
        <f t="shared" si="1094"/>
        <v>50</v>
      </c>
      <c r="L1488" s="8" t="s">
        <v>1436</v>
      </c>
      <c r="M1488" s="5"/>
      <c r="O1488" s="83"/>
      <c r="P1488" s="20">
        <v>0.75</v>
      </c>
      <c r="Q1488" s="143">
        <f t="shared" si="1092"/>
        <v>75</v>
      </c>
      <c r="R1488" s="21" t="s">
        <v>1436</v>
      </c>
      <c r="S1488" s="8"/>
    </row>
    <row r="1489" spans="1:20" ht="28">
      <c r="A1489" s="113"/>
      <c r="B1489" s="115" t="s">
        <v>2044</v>
      </c>
      <c r="C1489" s="5"/>
      <c r="D1489" s="5"/>
      <c r="E1489" s="132">
        <f t="shared" si="1093"/>
        <v>513.125</v>
      </c>
      <c r="F1489" s="139">
        <f t="shared" si="1089"/>
        <v>511.75</v>
      </c>
      <c r="G1489" s="149" t="s">
        <v>1812</v>
      </c>
      <c r="H1489" s="82" t="str">
        <f t="shared" si="1090"/>
        <v>25 percent up in Cambrian Stage 4 international stage</v>
      </c>
      <c r="I1489" s="142" t="str">
        <f t="shared" si="1091"/>
        <v>50 percent up in Cambrian Stage 4 international stage</v>
      </c>
      <c r="J1489" s="7">
        <v>0.25</v>
      </c>
      <c r="K1489" s="129">
        <f t="shared" ref="K1489" si="1095">ROUND(J1489*100,1)</f>
        <v>25</v>
      </c>
      <c r="L1489" s="8" t="s">
        <v>1436</v>
      </c>
      <c r="M1489" s="5"/>
      <c r="O1489" s="83"/>
      <c r="P1489" s="20">
        <v>0.5</v>
      </c>
      <c r="Q1489" s="143">
        <f t="shared" si="1092"/>
        <v>50</v>
      </c>
      <c r="R1489" s="21" t="s">
        <v>1436</v>
      </c>
      <c r="S1489" s="8"/>
    </row>
    <row r="1490" spans="1:20" ht="28">
      <c r="A1490" s="113" t="s">
        <v>1361</v>
      </c>
      <c r="B1490" s="115" t="s">
        <v>1456</v>
      </c>
      <c r="C1490" s="5"/>
      <c r="D1490" s="5" t="s">
        <v>961</v>
      </c>
      <c r="E1490" s="132">
        <f t="shared" si="1093"/>
        <v>513.125</v>
      </c>
      <c r="F1490" s="139">
        <f t="shared" si="1089"/>
        <v>510.375</v>
      </c>
      <c r="G1490" s="149" t="s">
        <v>1941</v>
      </c>
      <c r="H1490" s="82" t="str">
        <f t="shared" si="1090"/>
        <v>25 percent up in Cambrian Stage 4 international stage</v>
      </c>
      <c r="I1490" s="142" t="str">
        <f t="shared" si="1091"/>
        <v>75 percent up in Cambrian Stage 4 international stage</v>
      </c>
      <c r="J1490" s="7">
        <v>0.25</v>
      </c>
      <c r="K1490" s="129">
        <f t="shared" ref="K1490:K1493" si="1096">ROUND(J1490*100,1)</f>
        <v>25</v>
      </c>
      <c r="L1490" s="8" t="s">
        <v>1436</v>
      </c>
      <c r="M1490" s="5" t="s">
        <v>82</v>
      </c>
      <c r="N1490" s="5" t="s">
        <v>82</v>
      </c>
      <c r="O1490" s="83"/>
      <c r="P1490" s="20">
        <v>0.75</v>
      </c>
      <c r="Q1490" s="143">
        <f t="shared" si="1092"/>
        <v>75</v>
      </c>
      <c r="R1490" s="21" t="s">
        <v>1436</v>
      </c>
      <c r="S1490" s="8" t="s">
        <v>246</v>
      </c>
      <c r="T1490" s="7" t="s">
        <v>226</v>
      </c>
    </row>
    <row r="1491" spans="1:20" ht="28">
      <c r="A1491" s="113"/>
      <c r="B1491" s="174" t="s">
        <v>1998</v>
      </c>
      <c r="C1491" s="5"/>
      <c r="D1491" s="5" t="s">
        <v>248</v>
      </c>
      <c r="E1491" s="132">
        <f t="shared" si="1093"/>
        <v>513.4</v>
      </c>
      <c r="F1491" s="139">
        <f t="shared" si="1089"/>
        <v>510.1</v>
      </c>
      <c r="G1491" s="149" t="s">
        <v>1997</v>
      </c>
      <c r="H1491" s="82" t="str">
        <f t="shared" si="1090"/>
        <v>20 percent up in Cambrian Stage 4 international stage</v>
      </c>
      <c r="I1491" s="142" t="str">
        <f t="shared" si="1091"/>
        <v>80 percent up in Cambrian Stage 4 international stage</v>
      </c>
      <c r="J1491" s="7">
        <v>0.2</v>
      </c>
      <c r="K1491" s="129">
        <f t="shared" si="1096"/>
        <v>20</v>
      </c>
      <c r="L1491" s="8" t="s">
        <v>1436</v>
      </c>
      <c r="M1491" s="5" t="s">
        <v>82</v>
      </c>
      <c r="N1491" s="5" t="s">
        <v>82</v>
      </c>
      <c r="O1491" s="83"/>
      <c r="P1491" s="20">
        <v>0.8</v>
      </c>
      <c r="Q1491" s="143">
        <f t="shared" si="1092"/>
        <v>80</v>
      </c>
      <c r="R1491" s="21" t="s">
        <v>1436</v>
      </c>
      <c r="S1491" s="8"/>
    </row>
    <row r="1492" spans="1:20" ht="28">
      <c r="A1492" s="113"/>
      <c r="B1492" s="175" t="s">
        <v>1994</v>
      </c>
      <c r="C1492" s="5"/>
      <c r="D1492" s="5" t="s">
        <v>248</v>
      </c>
      <c r="E1492" s="132">
        <f t="shared" si="1093"/>
        <v>513.4</v>
      </c>
      <c r="F1492" s="139">
        <f t="shared" si="1089"/>
        <v>510.1</v>
      </c>
      <c r="G1492" s="149" t="s">
        <v>2002</v>
      </c>
      <c r="H1492" s="82" t="str">
        <f t="shared" ref="H1492" si="1097">CONCATENATE(K1492," percent up in ",L1492," international stage")</f>
        <v>20 percent up in Cambrian Stage 4 international stage</v>
      </c>
      <c r="I1492" s="142" t="str">
        <f t="shared" ref="I1492" si="1098">CONCATENATE(Q1492," percent up in ",R1492," international stage")</f>
        <v>80 percent up in Cambrian Stage 4 international stage</v>
      </c>
      <c r="J1492" s="7">
        <v>0.2</v>
      </c>
      <c r="K1492" s="129">
        <f t="shared" si="1096"/>
        <v>20</v>
      </c>
      <c r="L1492" s="8" t="s">
        <v>1436</v>
      </c>
      <c r="M1492" s="5" t="s">
        <v>82</v>
      </c>
      <c r="N1492" s="5" t="s">
        <v>82</v>
      </c>
      <c r="O1492" s="83"/>
      <c r="P1492" s="20">
        <v>0.8</v>
      </c>
      <c r="Q1492" s="143">
        <f t="shared" ref="Q1492" si="1099">ROUND(P1492*100,1)</f>
        <v>80</v>
      </c>
      <c r="R1492" s="21" t="s">
        <v>1436</v>
      </c>
      <c r="S1492" s="8"/>
    </row>
    <row r="1493" spans="1:20" ht="28">
      <c r="A1493" s="113" t="s">
        <v>1361</v>
      </c>
      <c r="B1493" s="176" t="s">
        <v>1455</v>
      </c>
      <c r="C1493" s="5"/>
      <c r="D1493" s="5" t="s">
        <v>248</v>
      </c>
      <c r="E1493" s="132">
        <f t="shared" si="1093"/>
        <v>513.4</v>
      </c>
      <c r="F1493" s="139">
        <f t="shared" si="1089"/>
        <v>510.1</v>
      </c>
      <c r="G1493" s="149" t="s">
        <v>1995</v>
      </c>
      <c r="H1493" s="82" t="str">
        <f>CONCATENATE(K1493," percent up in ",L1493," international stage")</f>
        <v>20 percent up in Cambrian Stage 4 international stage</v>
      </c>
      <c r="I1493" s="142" t="str">
        <f>CONCATENATE(Q1493," percent up in ",R1493," international stage")</f>
        <v>80 percent up in Cambrian Stage 4 international stage</v>
      </c>
      <c r="J1493" s="7">
        <v>0.2</v>
      </c>
      <c r="K1493" s="129">
        <f t="shared" si="1096"/>
        <v>20</v>
      </c>
      <c r="L1493" s="8" t="s">
        <v>1436</v>
      </c>
      <c r="M1493" s="5" t="s">
        <v>82</v>
      </c>
      <c r="N1493" s="5" t="s">
        <v>82</v>
      </c>
      <c r="O1493" s="83"/>
      <c r="P1493" s="20">
        <v>0.8</v>
      </c>
      <c r="Q1493" s="143">
        <f>ROUND(P1493*100,1)</f>
        <v>80</v>
      </c>
      <c r="R1493" s="21" t="s">
        <v>1436</v>
      </c>
      <c r="S1493" s="8" t="s">
        <v>246</v>
      </c>
      <c r="T1493" s="7" t="s">
        <v>226</v>
      </c>
    </row>
    <row r="1494" spans="1:20" ht="28">
      <c r="A1494" s="113" t="s">
        <v>1361</v>
      </c>
      <c r="B1494" s="114" t="s">
        <v>1449</v>
      </c>
      <c r="C1494" s="5"/>
      <c r="D1494" s="5" t="s">
        <v>1371</v>
      </c>
      <c r="E1494" s="132">
        <f t="shared" si="1093"/>
        <v>514.5</v>
      </c>
      <c r="F1494" s="139">
        <f t="shared" si="1089"/>
        <v>509</v>
      </c>
      <c r="G1494" s="149"/>
      <c r="H1494" s="82" t="str">
        <f t="shared" si="1066"/>
        <v>0 percent up in Cambrian Stage 4 international stage</v>
      </c>
      <c r="I1494" s="142" t="str">
        <f t="shared" si="1067"/>
        <v>100 percent up in Cambrian Stage 4 international stage</v>
      </c>
      <c r="J1494" s="7">
        <v>0</v>
      </c>
      <c r="K1494" s="129">
        <f t="shared" si="1068"/>
        <v>0</v>
      </c>
      <c r="L1494" s="8" t="s">
        <v>1436</v>
      </c>
      <c r="M1494" s="5" t="s">
        <v>82</v>
      </c>
      <c r="N1494" s="5" t="s">
        <v>82</v>
      </c>
      <c r="O1494" s="83"/>
      <c r="P1494" s="20">
        <v>1</v>
      </c>
      <c r="Q1494" s="143">
        <f t="shared" si="1069"/>
        <v>100</v>
      </c>
      <c r="R1494" s="21" t="s">
        <v>1436</v>
      </c>
      <c r="S1494" s="8" t="s">
        <v>232</v>
      </c>
      <c r="T1494" s="7" t="s">
        <v>226</v>
      </c>
    </row>
    <row r="1495" spans="1:20" ht="34">
      <c r="A1495" s="113"/>
      <c r="B1495" s="174" t="s">
        <v>2036</v>
      </c>
      <c r="C1495" s="5"/>
      <c r="D1495" s="5"/>
      <c r="E1495" s="132">
        <f t="shared" si="1093"/>
        <v>511.75</v>
      </c>
      <c r="F1495" s="139">
        <f t="shared" si="1089"/>
        <v>509</v>
      </c>
      <c r="G1495" s="149" t="s">
        <v>2034</v>
      </c>
      <c r="H1495" s="82" t="str">
        <f t="shared" si="1066"/>
        <v>50 percent up in Cambrian Stage 4 international stage</v>
      </c>
      <c r="I1495" s="142" t="str">
        <f t="shared" si="1067"/>
        <v>100 percent up in Cambrian Stage 4 international stage</v>
      </c>
      <c r="J1495" s="7">
        <v>0.5</v>
      </c>
      <c r="K1495" s="129">
        <f t="shared" ref="K1495:K1496" si="1100">ROUND(J1495*100,1)</f>
        <v>50</v>
      </c>
      <c r="L1495" s="8" t="s">
        <v>1436</v>
      </c>
      <c r="M1495" s="5"/>
      <c r="O1495" s="83"/>
      <c r="P1495" s="20">
        <v>1</v>
      </c>
      <c r="Q1495" s="143">
        <f t="shared" ref="Q1495:Q1498" si="1101">ROUND(P1495*100,1)</f>
        <v>100</v>
      </c>
      <c r="R1495" s="21" t="s">
        <v>1436</v>
      </c>
      <c r="S1495" s="8"/>
    </row>
    <row r="1496" spans="1:20" ht="34">
      <c r="A1496" s="113"/>
      <c r="B1496" s="176" t="s">
        <v>2032</v>
      </c>
      <c r="C1496" s="5"/>
      <c r="D1496" s="5"/>
      <c r="E1496" s="132">
        <f t="shared" si="1093"/>
        <v>511.75</v>
      </c>
      <c r="F1496" s="139">
        <f t="shared" si="1089"/>
        <v>509</v>
      </c>
      <c r="G1496" s="149" t="s">
        <v>2034</v>
      </c>
      <c r="H1496" s="82" t="str">
        <f t="shared" si="1066"/>
        <v>50 percent up in Cambrian Stage 4 international stage</v>
      </c>
      <c r="I1496" s="142" t="str">
        <f t="shared" si="1067"/>
        <v>100 percent up in Cambrian Stage 4 international stage</v>
      </c>
      <c r="J1496" s="7">
        <v>0.5</v>
      </c>
      <c r="K1496" s="129">
        <f t="shared" si="1100"/>
        <v>50</v>
      </c>
      <c r="L1496" s="8" t="s">
        <v>1436</v>
      </c>
      <c r="M1496" s="5"/>
      <c r="O1496" s="83"/>
      <c r="P1496" s="20">
        <v>1</v>
      </c>
      <c r="Q1496" s="143">
        <f t="shared" si="1101"/>
        <v>100</v>
      </c>
      <c r="R1496" s="21" t="s">
        <v>1436</v>
      </c>
      <c r="S1496" s="8"/>
    </row>
    <row r="1497" spans="1:20" ht="34">
      <c r="A1497" s="113"/>
      <c r="B1497" s="174" t="s">
        <v>2037</v>
      </c>
      <c r="C1497" s="5"/>
      <c r="D1497" s="5"/>
      <c r="E1497" s="132">
        <f t="shared" si="1093"/>
        <v>514.5</v>
      </c>
      <c r="F1497" s="139">
        <f t="shared" si="1089"/>
        <v>511.75</v>
      </c>
      <c r="G1497" s="149" t="s">
        <v>2035</v>
      </c>
      <c r="H1497" s="82" t="str">
        <f t="shared" si="1066"/>
        <v>0 percent up in Cambrian Stage 4 international stage</v>
      </c>
      <c r="I1497" s="142" t="str">
        <f t="shared" si="1067"/>
        <v>50 percent up in Cambrian Stage 4 international stage</v>
      </c>
      <c r="J1497" s="7">
        <v>0</v>
      </c>
      <c r="K1497" s="129">
        <f t="shared" ref="K1497" si="1102">ROUND(J1497*100,1)</f>
        <v>0</v>
      </c>
      <c r="L1497" s="8" t="s">
        <v>1436</v>
      </c>
      <c r="M1497" s="5"/>
      <c r="O1497" s="83"/>
      <c r="P1497" s="20">
        <v>0.5</v>
      </c>
      <c r="Q1497" s="143">
        <f t="shared" si="1101"/>
        <v>50</v>
      </c>
      <c r="R1497" s="21" t="s">
        <v>1436</v>
      </c>
      <c r="S1497" s="8"/>
    </row>
    <row r="1498" spans="1:20" ht="34">
      <c r="A1498" s="113"/>
      <c r="B1498" s="176" t="s">
        <v>2033</v>
      </c>
      <c r="C1498" s="5"/>
      <c r="D1498" s="5"/>
      <c r="E1498" s="132">
        <f t="shared" si="1093"/>
        <v>514.5</v>
      </c>
      <c r="F1498" s="139">
        <f t="shared" si="1089"/>
        <v>511.75</v>
      </c>
      <c r="G1498" s="149" t="s">
        <v>2035</v>
      </c>
      <c r="H1498" s="82" t="str">
        <f t="shared" si="1066"/>
        <v>0 percent up in Cambrian Stage 4 international stage</v>
      </c>
      <c r="I1498" s="142" t="str">
        <f t="shared" si="1067"/>
        <v>50 percent up in Cambrian Stage 4 international stage</v>
      </c>
      <c r="J1498" s="7">
        <v>0</v>
      </c>
      <c r="K1498" s="129">
        <f t="shared" ref="K1498" si="1103">ROUND(J1498*100,1)</f>
        <v>0</v>
      </c>
      <c r="L1498" s="8" t="s">
        <v>1436</v>
      </c>
      <c r="M1498" s="5"/>
      <c r="O1498" s="83"/>
      <c r="P1498" s="20">
        <v>0.5</v>
      </c>
      <c r="Q1498" s="143">
        <f t="shared" si="1101"/>
        <v>50</v>
      </c>
      <c r="R1498" s="21" t="s">
        <v>1436</v>
      </c>
      <c r="S1498" s="8"/>
    </row>
    <row r="1499" spans="1:20" ht="28">
      <c r="A1499" s="113" t="s">
        <v>1361</v>
      </c>
      <c r="B1499" s="115" t="s">
        <v>1436</v>
      </c>
      <c r="C1499" s="135"/>
      <c r="D1499" s="135" t="s">
        <v>222</v>
      </c>
      <c r="E1499" s="132">
        <f t="shared" si="1093"/>
        <v>514.5</v>
      </c>
      <c r="F1499" s="139">
        <f t="shared" si="1089"/>
        <v>509</v>
      </c>
      <c r="G1499" s="149"/>
      <c r="H1499" s="82" t="str">
        <f t="shared" si="1066"/>
        <v>0 percent up in Cambrian Stage 4 international stage</v>
      </c>
      <c r="I1499" s="142" t="str">
        <f t="shared" si="1067"/>
        <v>100 percent up in Cambrian Stage 4 international stage</v>
      </c>
      <c r="J1499" s="7">
        <v>0</v>
      </c>
      <c r="K1499" s="129">
        <f t="shared" si="1068"/>
        <v>0</v>
      </c>
      <c r="L1499" s="8" t="s">
        <v>1436</v>
      </c>
      <c r="M1499" s="5" t="s">
        <v>224</v>
      </c>
      <c r="N1499" s="5" t="s">
        <v>1450</v>
      </c>
      <c r="O1499" s="83">
        <f>Master_Chronostrat!I159</f>
        <v>514.5</v>
      </c>
      <c r="P1499" s="20">
        <v>1</v>
      </c>
      <c r="Q1499" s="143">
        <f t="shared" si="1069"/>
        <v>100</v>
      </c>
      <c r="R1499" s="21" t="s">
        <v>1436</v>
      </c>
      <c r="S1499" s="8" t="s">
        <v>224</v>
      </c>
      <c r="T1499" s="7" t="s">
        <v>226</v>
      </c>
    </row>
    <row r="1500" spans="1:20" ht="28">
      <c r="A1500" s="113" t="s">
        <v>1361</v>
      </c>
      <c r="B1500" s="114" t="s">
        <v>1451</v>
      </c>
      <c r="C1500" s="5"/>
      <c r="D1500" s="5" t="s">
        <v>1418</v>
      </c>
      <c r="E1500" s="132">
        <f>$O$1533-J1500*($O$1533-$O$1499)</f>
        <v>515.58333333333337</v>
      </c>
      <c r="F1500" s="139">
        <f>$O$1464-P1500*($O$1464-$O$1450)</f>
        <v>505.69387755102042</v>
      </c>
      <c r="G1500" s="149"/>
      <c r="H1500" s="82" t="str">
        <f t="shared" si="1066"/>
        <v>83.3 percent up in Cambrian Stage 3 international stage</v>
      </c>
      <c r="I1500" s="142" t="str">
        <f t="shared" si="1067"/>
        <v>73.5 percent up in Wuliuan international stage</v>
      </c>
      <c r="J1500" s="7">
        <v>0.83333333333333337</v>
      </c>
      <c r="K1500" s="129">
        <f t="shared" si="1068"/>
        <v>83.3</v>
      </c>
      <c r="L1500" s="8" t="s">
        <v>1452</v>
      </c>
      <c r="M1500" s="5" t="s">
        <v>82</v>
      </c>
      <c r="N1500" s="5" t="s">
        <v>82</v>
      </c>
      <c r="O1500" s="83"/>
      <c r="P1500" s="20">
        <v>0.73469387755101578</v>
      </c>
      <c r="Q1500" s="143">
        <f t="shared" si="1069"/>
        <v>73.5</v>
      </c>
      <c r="R1500" s="21" t="s">
        <v>174</v>
      </c>
      <c r="S1500" s="8" t="s">
        <v>246</v>
      </c>
      <c r="T1500" s="7" t="s">
        <v>226</v>
      </c>
    </row>
    <row r="1501" spans="1:20" ht="28">
      <c r="A1501" s="113" t="s">
        <v>1361</v>
      </c>
      <c r="B1501" s="114" t="s">
        <v>1453</v>
      </c>
      <c r="C1501" s="5"/>
      <c r="D1501" s="5" t="s">
        <v>82</v>
      </c>
      <c r="E1501" s="132">
        <f t="shared" ref="E1501" si="1104">$O$1533-J1501*($O$1533-$O$1499)</f>
        <v>515.58333333333337</v>
      </c>
      <c r="F1501" s="139">
        <f>$O$1464-P1501*($O$1464-$O$1450)</f>
        <v>505.69387755102042</v>
      </c>
      <c r="G1501" s="149"/>
      <c r="H1501" s="82" t="str">
        <f t="shared" si="1066"/>
        <v>83.3 percent up in Cambrian Stage 3 international stage</v>
      </c>
      <c r="I1501" s="142" t="str">
        <f t="shared" si="1067"/>
        <v>73.5 percent up in Wuliuan international stage</v>
      </c>
      <c r="J1501" s="7">
        <v>0.83333333333333337</v>
      </c>
      <c r="K1501" s="129">
        <f t="shared" si="1068"/>
        <v>83.3</v>
      </c>
      <c r="L1501" s="8" t="s">
        <v>1452</v>
      </c>
      <c r="M1501" s="5" t="s">
        <v>82</v>
      </c>
      <c r="N1501" s="5" t="s">
        <v>82</v>
      </c>
      <c r="O1501" s="83"/>
      <c r="P1501" s="20">
        <v>0.73469387755101578</v>
      </c>
      <c r="Q1501" s="143">
        <f t="shared" si="1069"/>
        <v>73.5</v>
      </c>
      <c r="R1501" s="21" t="s">
        <v>174</v>
      </c>
      <c r="S1501" s="8" t="s">
        <v>246</v>
      </c>
      <c r="T1501" s="7" t="s">
        <v>226</v>
      </c>
    </row>
    <row r="1502" spans="1:20" ht="28">
      <c r="A1502" s="113"/>
      <c r="B1502" s="115" t="s">
        <v>1955</v>
      </c>
      <c r="C1502" s="5"/>
      <c r="D1502" s="5"/>
      <c r="E1502" s="132">
        <f t="shared" ref="E1502" si="1105">$O$1499-J1502*($O$1499-$O$1464)</f>
        <v>514.5</v>
      </c>
      <c r="F1502" s="139">
        <f>$O$1499-P1502*($O$1499-$O$1464)</f>
        <v>513.125</v>
      </c>
      <c r="G1502" s="149" t="s">
        <v>1950</v>
      </c>
      <c r="H1502" s="82" t="str">
        <f t="shared" si="1066"/>
        <v>0 percent up in Cambrian Stage 4 international stage</v>
      </c>
      <c r="I1502" s="142" t="str">
        <f t="shared" ref="I1502:I1508" si="1106">CONCATENATE(Q1502," percent up in ",R1502," international stage")</f>
        <v>25 percent up in Cambrian Stage 4 international stage</v>
      </c>
      <c r="J1502" s="7">
        <v>0</v>
      </c>
      <c r="K1502" s="129">
        <f t="shared" si="1068"/>
        <v>0</v>
      </c>
      <c r="L1502" s="8" t="s">
        <v>1436</v>
      </c>
      <c r="M1502" s="5"/>
      <c r="O1502" s="83"/>
      <c r="P1502" s="20">
        <v>0.25</v>
      </c>
      <c r="Q1502" s="143">
        <f t="shared" ref="Q1502:Q1508" si="1107">ROUND(P1502*100,1)</f>
        <v>25</v>
      </c>
      <c r="R1502" s="21" t="s">
        <v>1436</v>
      </c>
      <c r="S1502" s="8"/>
    </row>
    <row r="1503" spans="1:20" ht="28">
      <c r="A1503" s="113"/>
      <c r="B1503" s="160" t="s">
        <v>1954</v>
      </c>
      <c r="C1503" s="5"/>
      <c r="D1503" s="5"/>
      <c r="E1503" s="132">
        <f t="shared" ref="E1503:E1504" si="1108">$O$1533-J1503*($O$1533-$O$1499)</f>
        <v>515.15</v>
      </c>
      <c r="F1503" s="139">
        <f t="shared" ref="F1503" si="1109">$O$1499-P1503*($O$1499-$O$1464)</f>
        <v>514.5</v>
      </c>
      <c r="G1503" s="149" t="s">
        <v>1952</v>
      </c>
      <c r="H1503" s="82" t="str">
        <f t="shared" ref="H1503:H1508" si="1110">CONCATENATE(K1503," percent up in ",L1503," international stage")</f>
        <v>90 percent up in Cambrian Stage 3 international stage</v>
      </c>
      <c r="I1503" s="142" t="str">
        <f t="shared" si="1106"/>
        <v>0 percent up in Cambrian Stage 4 international stage</v>
      </c>
      <c r="J1503" s="7">
        <v>0.9</v>
      </c>
      <c r="K1503" s="129">
        <f t="shared" ref="K1503" si="1111">ROUND(J1503*100,1)</f>
        <v>90</v>
      </c>
      <c r="L1503" s="8" t="s">
        <v>1452</v>
      </c>
      <c r="M1503" s="5"/>
      <c r="O1503" s="83"/>
      <c r="P1503" s="20">
        <v>0</v>
      </c>
      <c r="Q1503" s="143">
        <f t="shared" si="1107"/>
        <v>0</v>
      </c>
      <c r="R1503" s="21" t="s">
        <v>1436</v>
      </c>
      <c r="S1503" s="8"/>
    </row>
    <row r="1504" spans="1:20" ht="28">
      <c r="A1504" s="113"/>
      <c r="B1504" s="115" t="s">
        <v>1953</v>
      </c>
      <c r="C1504" s="5"/>
      <c r="D1504" s="5"/>
      <c r="E1504" s="132">
        <f t="shared" si="1108"/>
        <v>516.125</v>
      </c>
      <c r="F1504" s="139">
        <f>$O$1533-P1504*($O$1533-$O$1499)</f>
        <v>515.15</v>
      </c>
      <c r="G1504" s="149" t="s">
        <v>1951</v>
      </c>
      <c r="H1504" s="82" t="str">
        <f t="shared" si="1110"/>
        <v>75 percent up in Cambrian Stage 3 international stage</v>
      </c>
      <c r="I1504" s="142" t="str">
        <f t="shared" si="1106"/>
        <v>90 percent up in Cambrian Stage 3 international stage</v>
      </c>
      <c r="J1504" s="7">
        <v>0.75</v>
      </c>
      <c r="K1504" s="129">
        <f t="shared" ref="K1504:K1505" si="1112">ROUND(J1504*100,1)</f>
        <v>75</v>
      </c>
      <c r="L1504" s="8" t="s">
        <v>1452</v>
      </c>
      <c r="M1504" s="5"/>
      <c r="O1504" s="83"/>
      <c r="P1504" s="20">
        <v>0.9</v>
      </c>
      <c r="Q1504" s="143">
        <f t="shared" si="1107"/>
        <v>90</v>
      </c>
      <c r="R1504" s="21" t="s">
        <v>1452</v>
      </c>
      <c r="S1504" s="8"/>
    </row>
    <row r="1505" spans="1:20" ht="28">
      <c r="A1505" s="113"/>
      <c r="B1505" s="115" t="s">
        <v>2041</v>
      </c>
      <c r="C1505" s="5"/>
      <c r="D1505" s="5"/>
      <c r="E1505" s="132">
        <f t="shared" ref="E1505:E1506" si="1113">$O$1533-J1505*($O$1533-$O$1499)</f>
        <v>514.69500000000005</v>
      </c>
      <c r="F1505" s="139">
        <f>$O$1499-P1505*($O$1499-$O$1464)</f>
        <v>513.125</v>
      </c>
      <c r="G1505" s="149" t="s">
        <v>1811</v>
      </c>
      <c r="H1505" s="82" t="str">
        <f t="shared" si="1110"/>
        <v>97 percent up in Cambrian Stage 3 international stage</v>
      </c>
      <c r="I1505" s="142" t="str">
        <f t="shared" si="1106"/>
        <v>25 percent up in Cambrian Stage 4 international stage</v>
      </c>
      <c r="J1505" s="7">
        <v>0.97</v>
      </c>
      <c r="K1505" s="129">
        <f t="shared" si="1112"/>
        <v>97</v>
      </c>
      <c r="L1505" s="8" t="s">
        <v>1452</v>
      </c>
      <c r="M1505" s="5"/>
      <c r="O1505" s="83"/>
      <c r="P1505" s="20">
        <v>0.25</v>
      </c>
      <c r="Q1505" s="143">
        <f t="shared" si="1107"/>
        <v>25</v>
      </c>
      <c r="R1505" s="21" t="s">
        <v>1436</v>
      </c>
      <c r="S1505" s="8"/>
    </row>
    <row r="1506" spans="1:20" ht="28">
      <c r="A1506" s="113"/>
      <c r="B1506" s="115" t="s">
        <v>2042</v>
      </c>
      <c r="C1506" s="5"/>
      <c r="D1506" s="5"/>
      <c r="E1506" s="132">
        <f t="shared" si="1113"/>
        <v>516.125</v>
      </c>
      <c r="F1506" s="139">
        <f>$O$1533-P1506*($O$1533-$O$1499)</f>
        <v>514.69500000000005</v>
      </c>
      <c r="G1506" s="149" t="s">
        <v>1812</v>
      </c>
      <c r="H1506" s="82" t="str">
        <f t="shared" si="1110"/>
        <v>75 percent up in Cambrian Stage 3 international stage</v>
      </c>
      <c r="I1506" s="142" t="str">
        <f t="shared" si="1106"/>
        <v>97 percent up in Cambrian Stage 3 international stage</v>
      </c>
      <c r="J1506" s="7">
        <v>0.75</v>
      </c>
      <c r="K1506" s="129">
        <f t="shared" ref="K1506" si="1114">ROUND(J1506*100,1)</f>
        <v>75</v>
      </c>
      <c r="L1506" s="8" t="s">
        <v>1452</v>
      </c>
      <c r="M1506" s="5"/>
      <c r="O1506" s="83"/>
      <c r="P1506" s="20">
        <v>0.97</v>
      </c>
      <c r="Q1506" s="143">
        <f t="shared" si="1107"/>
        <v>97</v>
      </c>
      <c r="R1506" s="21" t="s">
        <v>1452</v>
      </c>
      <c r="S1506" s="8"/>
    </row>
    <row r="1507" spans="1:20" ht="28">
      <c r="A1507" s="113"/>
      <c r="B1507" s="115" t="s">
        <v>2012</v>
      </c>
      <c r="C1507" s="5"/>
      <c r="D1507" s="5"/>
      <c r="E1507" s="132">
        <f t="shared" ref="E1507" si="1115">$O$1533-J1507*($O$1533-$O$1499)</f>
        <v>516.125</v>
      </c>
      <c r="F1507" s="139">
        <f>$O$1499-P1507*($O$1499-$O$1464)</f>
        <v>513.125</v>
      </c>
      <c r="G1507" s="149" t="s">
        <v>2013</v>
      </c>
      <c r="H1507" s="82" t="str">
        <f t="shared" si="1110"/>
        <v>75 percent up in Cambrian Stage 3 international stage</v>
      </c>
      <c r="I1507" s="142" t="str">
        <f t="shared" si="1106"/>
        <v>25 percent up in Cambrian Stage 4 international stage</v>
      </c>
      <c r="J1507" s="7">
        <v>0.75</v>
      </c>
      <c r="K1507" s="129">
        <f t="shared" ref="K1507" si="1116">ROUND(J1507*100,1)</f>
        <v>75</v>
      </c>
      <c r="L1507" s="8" t="s">
        <v>1452</v>
      </c>
      <c r="M1507" s="5" t="s">
        <v>82</v>
      </c>
      <c r="N1507" s="5" t="s">
        <v>82</v>
      </c>
      <c r="O1507" s="83"/>
      <c r="P1507" s="20">
        <v>0.25</v>
      </c>
      <c r="Q1507" s="143">
        <f t="shared" si="1107"/>
        <v>25</v>
      </c>
      <c r="R1507" s="21" t="s">
        <v>1436</v>
      </c>
      <c r="S1507" s="8"/>
    </row>
    <row r="1508" spans="1:20" ht="28">
      <c r="A1508" s="113" t="s">
        <v>1361</v>
      </c>
      <c r="B1508" s="115" t="s">
        <v>1463</v>
      </c>
      <c r="C1508" s="5"/>
      <c r="D1508" s="5" t="s">
        <v>961</v>
      </c>
      <c r="E1508" s="132">
        <f t="shared" ref="E1508" si="1117">$O$1533-J1508*($O$1533-$O$1499)</f>
        <v>516.125</v>
      </c>
      <c r="F1508" s="139">
        <f>$O$1499-P1508*($O$1499-$O$1464)</f>
        <v>513.125</v>
      </c>
      <c r="G1508" s="149" t="s">
        <v>1941</v>
      </c>
      <c r="H1508" s="82" t="str">
        <f t="shared" si="1110"/>
        <v>75 percent up in Cambrian Stage 3 international stage</v>
      </c>
      <c r="I1508" s="142" t="str">
        <f t="shared" si="1106"/>
        <v>25 percent up in Cambrian Stage 4 international stage</v>
      </c>
      <c r="J1508" s="7">
        <v>0.75</v>
      </c>
      <c r="K1508" s="129">
        <f t="shared" ref="K1508" si="1118">ROUND(J1508*100,1)</f>
        <v>75</v>
      </c>
      <c r="L1508" s="8" t="s">
        <v>1452</v>
      </c>
      <c r="M1508" s="5" t="s">
        <v>82</v>
      </c>
      <c r="N1508" s="5" t="s">
        <v>82</v>
      </c>
      <c r="O1508" s="83"/>
      <c r="P1508" s="20">
        <v>0.25</v>
      </c>
      <c r="Q1508" s="143">
        <f t="shared" si="1107"/>
        <v>25</v>
      </c>
      <c r="R1508" s="21" t="s">
        <v>1436</v>
      </c>
      <c r="S1508" s="8" t="s">
        <v>246</v>
      </c>
      <c r="T1508" s="7" t="s">
        <v>226</v>
      </c>
    </row>
    <row r="1509" spans="1:20" ht="28">
      <c r="A1509" s="113" t="s">
        <v>1361</v>
      </c>
      <c r="B1509" s="114" t="s">
        <v>1454</v>
      </c>
      <c r="C1509" s="5"/>
      <c r="D1509" s="5" t="s">
        <v>1401</v>
      </c>
      <c r="E1509" s="132">
        <f>$O$1533-J1509*($O$1533-$O$1499)</f>
        <v>516.66666666666663</v>
      </c>
      <c r="F1509" s="139">
        <f>$O$1499-P1509*($O$1499-$O$1464)</f>
        <v>512.29999999999995</v>
      </c>
      <c r="G1509" s="149"/>
      <c r="H1509" s="82" t="str">
        <f t="shared" si="1066"/>
        <v>66.7 percent up in Cambrian Stage 3 international stage</v>
      </c>
      <c r="I1509" s="142" t="str">
        <f t="shared" si="1067"/>
        <v>40 percent up in Cambrian Stage 4 international stage</v>
      </c>
      <c r="J1509" s="7">
        <v>0.66666666666666674</v>
      </c>
      <c r="K1509" s="129">
        <f t="shared" si="1068"/>
        <v>66.7</v>
      </c>
      <c r="L1509" s="8" t="s">
        <v>1452</v>
      </c>
      <c r="M1509" s="5" t="s">
        <v>82</v>
      </c>
      <c r="N1509" s="5" t="s">
        <v>82</v>
      </c>
      <c r="O1509" s="83"/>
      <c r="P1509" s="20">
        <v>0.4</v>
      </c>
      <c r="Q1509" s="143">
        <f t="shared" si="1069"/>
        <v>40</v>
      </c>
      <c r="R1509" s="21" t="s">
        <v>1436</v>
      </c>
      <c r="S1509" s="8" t="s">
        <v>246</v>
      </c>
      <c r="T1509" s="7" t="s">
        <v>226</v>
      </c>
    </row>
    <row r="1510" spans="1:20" ht="28">
      <c r="A1510" s="113" t="s">
        <v>1361</v>
      </c>
      <c r="B1510" s="114" t="s">
        <v>1457</v>
      </c>
      <c r="C1510" s="5"/>
      <c r="D1510" s="5" t="s">
        <v>1418</v>
      </c>
      <c r="E1510" s="132">
        <f>$O$1533-J1510*($O$1533-$O$1499)</f>
        <v>519.375</v>
      </c>
      <c r="F1510" s="139">
        <f>$O$1533-P1510*($O$1533-$O$1499)</f>
        <v>515.58333333333337</v>
      </c>
      <c r="G1510" s="149"/>
      <c r="H1510" s="82" t="str">
        <f>CONCATENATE(K1510," percent up in ",L1510," international stage")</f>
        <v>25 percent up in Cambrian Stage 3 international stage</v>
      </c>
      <c r="I1510" s="142" t="str">
        <f>CONCATENATE(Q1510," percent up in ",R1510," international stage")</f>
        <v>83.3 percent up in Cambrian Stage 3 international stage</v>
      </c>
      <c r="J1510" s="7">
        <v>0.25</v>
      </c>
      <c r="K1510" s="129">
        <f>ROUND(J1510*100,1)</f>
        <v>25</v>
      </c>
      <c r="L1510" s="8" t="s">
        <v>1452</v>
      </c>
      <c r="M1510" s="5" t="s">
        <v>82</v>
      </c>
      <c r="N1510" s="5" t="s">
        <v>82</v>
      </c>
      <c r="O1510" s="83"/>
      <c r="P1510" s="20">
        <v>0.83333333333333337</v>
      </c>
      <c r="Q1510" s="143">
        <f>ROUND(P1510*100,1)</f>
        <v>83.3</v>
      </c>
      <c r="R1510" s="21" t="s">
        <v>1452</v>
      </c>
      <c r="S1510" s="8" t="s">
        <v>259</v>
      </c>
      <c r="T1510" s="7">
        <v>0.5833333333333387</v>
      </c>
    </row>
    <row r="1511" spans="1:20" ht="28">
      <c r="A1511" s="113" t="s">
        <v>1361</v>
      </c>
      <c r="B1511" s="115" t="s">
        <v>1458</v>
      </c>
      <c r="C1511" s="5"/>
      <c r="D1511" s="5" t="s">
        <v>368</v>
      </c>
      <c r="E1511" s="132">
        <f>$O$1533-J1511*($O$1533-$O$1499)</f>
        <v>519.91666666666663</v>
      </c>
      <c r="F1511" s="139">
        <f>$O$1499-P1511*($O$1499-$O$1464)</f>
        <v>509</v>
      </c>
      <c r="G1511" s="149"/>
      <c r="H1511" s="82" t="str">
        <f>CONCATENATE(K1511," percent up in ",L1511," international stage")</f>
        <v>16.7 percent up in Cambrian Stage 3 international stage</v>
      </c>
      <c r="I1511" s="142" t="str">
        <f>CONCATENATE(Q1511," percent up in ",R1511," international stage")</f>
        <v>100 percent up in Cambrian Stage 4 international stage</v>
      </c>
      <c r="J1511" s="7">
        <v>0.16666666666666663</v>
      </c>
      <c r="K1511" s="129">
        <f>ROUND(J1511*100,1)</f>
        <v>16.7</v>
      </c>
      <c r="L1511" s="8" t="s">
        <v>1452</v>
      </c>
      <c r="M1511" s="5" t="s">
        <v>82</v>
      </c>
      <c r="N1511" s="5" t="s">
        <v>82</v>
      </c>
      <c r="O1511" s="83"/>
      <c r="P1511" s="20">
        <v>1</v>
      </c>
      <c r="Q1511" s="143">
        <f>ROUND(P1511*100,1)</f>
        <v>100</v>
      </c>
      <c r="R1511" s="21" t="s">
        <v>1436</v>
      </c>
      <c r="S1511" s="8" t="s">
        <v>246</v>
      </c>
      <c r="T1511" s="7" t="s">
        <v>226</v>
      </c>
    </row>
    <row r="1512" spans="1:20" ht="28">
      <c r="A1512" s="113" t="s">
        <v>1361</v>
      </c>
      <c r="B1512" s="114" t="s">
        <v>1459</v>
      </c>
      <c r="C1512" s="5"/>
      <c r="D1512" s="5" t="s">
        <v>1418</v>
      </c>
      <c r="E1512" s="132">
        <f>$O$1533-J1512*($O$1533-$O$1499)</f>
        <v>521</v>
      </c>
      <c r="F1512" s="139">
        <f t="shared" ref="F1512:F1519" si="1119">$O$1533-P1512*($O$1533-$O$1499)</f>
        <v>519.375</v>
      </c>
      <c r="G1512" s="149"/>
      <c r="H1512" s="82" t="str">
        <f>CONCATENATE(K1512," percent up in ",L1512," international stage")</f>
        <v>0 percent up in Cambrian Stage 3 international stage</v>
      </c>
      <c r="I1512" s="142" t="str">
        <f>CONCATENATE(Q1512," percent up in ",R1512," international stage")</f>
        <v>25 percent up in Cambrian Stage 3 international stage</v>
      </c>
      <c r="J1512" s="7">
        <v>0</v>
      </c>
      <c r="K1512" s="129">
        <f>ROUND(J1512*100,1)</f>
        <v>0</v>
      </c>
      <c r="L1512" s="8" t="s">
        <v>1452</v>
      </c>
      <c r="M1512" s="5" t="s">
        <v>82</v>
      </c>
      <c r="N1512" s="5" t="s">
        <v>82</v>
      </c>
      <c r="O1512" s="83"/>
      <c r="P1512" s="20">
        <v>0.25</v>
      </c>
      <c r="Q1512" s="143">
        <f>ROUND(P1512*100,1)</f>
        <v>25</v>
      </c>
      <c r="R1512" s="21" t="s">
        <v>1452</v>
      </c>
      <c r="S1512" s="8" t="s">
        <v>230</v>
      </c>
      <c r="T1512" s="7" t="s">
        <v>226</v>
      </c>
    </row>
    <row r="1513" spans="1:20" ht="28">
      <c r="A1513" s="113"/>
      <c r="B1513" s="115" t="s">
        <v>1942</v>
      </c>
      <c r="C1513" s="5"/>
      <c r="D1513" s="5"/>
      <c r="E1513" s="132">
        <f t="shared" ref="E1513" si="1120">$O$1533-J1513*($O$1533-$O$1499)</f>
        <v>517.36</v>
      </c>
      <c r="F1513" s="139">
        <f t="shared" si="1119"/>
        <v>516.125</v>
      </c>
      <c r="G1513" s="149" t="s">
        <v>2057</v>
      </c>
      <c r="H1513" s="82" t="str">
        <f>CONCATENATE(K1513," percent up in ",L1513," international stage")</f>
        <v>56 percent up in Cambrian Stage 3 international stage</v>
      </c>
      <c r="I1513" s="142" t="str">
        <f>CONCATENATE(Q1513," percent up in ",R1513," international stage")</f>
        <v>75 percent up in Cambrian Stage 3 international stage</v>
      </c>
      <c r="J1513" s="7">
        <v>0.56000000000000005</v>
      </c>
      <c r="K1513" s="129">
        <f t="shared" ref="K1513" si="1121">ROUND(J1513*100,1)</f>
        <v>56</v>
      </c>
      <c r="L1513" s="8" t="s">
        <v>1452</v>
      </c>
      <c r="M1513" s="5" t="s">
        <v>82</v>
      </c>
      <c r="N1513" s="5" t="s">
        <v>82</v>
      </c>
      <c r="O1513" s="83"/>
      <c r="P1513" s="20">
        <v>0.75</v>
      </c>
      <c r="Q1513" s="143">
        <f>ROUND(P1513*100,1)</f>
        <v>75</v>
      </c>
      <c r="R1513" s="21" t="s">
        <v>1452</v>
      </c>
      <c r="S1513" s="8"/>
    </row>
    <row r="1514" spans="1:20" ht="28">
      <c r="A1514" s="113"/>
      <c r="B1514" s="115" t="s">
        <v>1943</v>
      </c>
      <c r="C1514" s="5"/>
      <c r="D1514" s="5"/>
      <c r="E1514" s="132">
        <f t="shared" ref="E1514:E1518" si="1122">$O$1533-J1514*($O$1533-$O$1499)</f>
        <v>518.59500000000003</v>
      </c>
      <c r="F1514" s="139">
        <f t="shared" si="1119"/>
        <v>517.36</v>
      </c>
      <c r="G1514" s="149" t="s">
        <v>2056</v>
      </c>
      <c r="H1514" s="82" t="str">
        <f t="shared" ref="H1514:H1518" si="1123">CONCATENATE(K1514," percent up in ",L1514," international stage")</f>
        <v>37 percent up in Cambrian Stage 3 international stage</v>
      </c>
      <c r="I1514" s="142" t="str">
        <f t="shared" ref="I1514:I1518" si="1124">CONCATENATE(Q1514," percent up in ",R1514," international stage")</f>
        <v>56 percent up in Cambrian Stage 3 international stage</v>
      </c>
      <c r="J1514" s="7">
        <v>0.37</v>
      </c>
      <c r="K1514" s="129">
        <f t="shared" ref="K1514:K1518" si="1125">ROUND(J1514*100,1)</f>
        <v>37</v>
      </c>
      <c r="L1514" s="8" t="s">
        <v>1452</v>
      </c>
      <c r="M1514" s="5" t="s">
        <v>82</v>
      </c>
      <c r="N1514" s="5" t="s">
        <v>82</v>
      </c>
      <c r="O1514" s="83"/>
      <c r="P1514" s="20">
        <v>0.56000000000000005</v>
      </c>
      <c r="Q1514" s="143">
        <f t="shared" ref="Q1514:Q1518" si="1126">ROUND(P1514*100,1)</f>
        <v>56</v>
      </c>
      <c r="R1514" s="21" t="s">
        <v>1452</v>
      </c>
      <c r="S1514" s="8"/>
    </row>
    <row r="1515" spans="1:20" ht="28">
      <c r="A1515" s="113"/>
      <c r="B1515" s="115" t="s">
        <v>1944</v>
      </c>
      <c r="C1515" s="5"/>
      <c r="D1515" s="5"/>
      <c r="E1515" s="132">
        <f t="shared" si="1122"/>
        <v>519.83000000000004</v>
      </c>
      <c r="F1515" s="139">
        <f t="shared" si="1119"/>
        <v>518.59500000000003</v>
      </c>
      <c r="G1515" s="149" t="s">
        <v>2055</v>
      </c>
      <c r="H1515" s="82" t="str">
        <f t="shared" si="1123"/>
        <v>18 percent up in Cambrian Stage 3 international stage</v>
      </c>
      <c r="I1515" s="142" t="str">
        <f t="shared" si="1124"/>
        <v>37 percent up in Cambrian Stage 3 international stage</v>
      </c>
      <c r="J1515" s="7">
        <v>0.18</v>
      </c>
      <c r="K1515" s="129">
        <f t="shared" si="1125"/>
        <v>18</v>
      </c>
      <c r="L1515" s="8" t="s">
        <v>1452</v>
      </c>
      <c r="M1515" s="5" t="s">
        <v>82</v>
      </c>
      <c r="N1515" s="5" t="s">
        <v>82</v>
      </c>
      <c r="O1515" s="83"/>
      <c r="P1515" s="20">
        <v>0.37</v>
      </c>
      <c r="Q1515" s="143">
        <f t="shared" si="1126"/>
        <v>37</v>
      </c>
      <c r="R1515" s="21" t="s">
        <v>1452</v>
      </c>
      <c r="S1515" s="8"/>
    </row>
    <row r="1516" spans="1:20" ht="28">
      <c r="A1516" s="113"/>
      <c r="B1516" s="115" t="s">
        <v>1945</v>
      </c>
      <c r="C1516" s="5"/>
      <c r="D1516" s="5"/>
      <c r="E1516" s="132">
        <f t="shared" si="1122"/>
        <v>521</v>
      </c>
      <c r="F1516" s="139">
        <f t="shared" si="1119"/>
        <v>519.83000000000004</v>
      </c>
      <c r="G1516" s="149" t="s">
        <v>2054</v>
      </c>
      <c r="H1516" s="82" t="str">
        <f t="shared" si="1123"/>
        <v>0 percent up in Cambrian Stage 3 international stage</v>
      </c>
      <c r="I1516" s="142" t="str">
        <f t="shared" si="1124"/>
        <v>18 percent up in Cambrian Stage 3 international stage</v>
      </c>
      <c r="J1516" s="7">
        <v>0</v>
      </c>
      <c r="K1516" s="129">
        <f t="shared" si="1125"/>
        <v>0</v>
      </c>
      <c r="L1516" s="8" t="s">
        <v>1452</v>
      </c>
      <c r="M1516" s="5" t="s">
        <v>82</v>
      </c>
      <c r="N1516" s="5" t="s">
        <v>82</v>
      </c>
      <c r="O1516" s="83"/>
      <c r="P1516" s="20">
        <v>0.18</v>
      </c>
      <c r="Q1516" s="143">
        <f t="shared" si="1126"/>
        <v>18</v>
      </c>
      <c r="R1516" s="21" t="s">
        <v>1452</v>
      </c>
      <c r="S1516" s="8"/>
    </row>
    <row r="1517" spans="1:20" ht="28">
      <c r="A1517" s="113"/>
      <c r="B1517" s="115" t="s">
        <v>1809</v>
      </c>
      <c r="C1517" s="5"/>
      <c r="D1517" s="5"/>
      <c r="E1517" s="132">
        <f t="shared" si="1122"/>
        <v>518.59500000000003</v>
      </c>
      <c r="F1517" s="139">
        <f t="shared" si="1119"/>
        <v>516.125</v>
      </c>
      <c r="G1517" s="149" t="s">
        <v>2053</v>
      </c>
      <c r="H1517" s="82" t="str">
        <f t="shared" si="1123"/>
        <v>37 percent up in Cambrian Stage 3 international stage</v>
      </c>
      <c r="I1517" s="142" t="str">
        <f t="shared" si="1124"/>
        <v>75 percent up in Cambrian Stage 3 international stage</v>
      </c>
      <c r="J1517" s="7">
        <v>0.37</v>
      </c>
      <c r="K1517" s="129">
        <f t="shared" si="1125"/>
        <v>37</v>
      </c>
      <c r="L1517" s="8" t="s">
        <v>1452</v>
      </c>
      <c r="M1517" s="5" t="s">
        <v>82</v>
      </c>
      <c r="N1517" s="5" t="s">
        <v>82</v>
      </c>
      <c r="O1517" s="83"/>
      <c r="P1517" s="20">
        <v>0.75</v>
      </c>
      <c r="Q1517" s="143">
        <f t="shared" si="1126"/>
        <v>75</v>
      </c>
      <c r="R1517" s="21" t="s">
        <v>1452</v>
      </c>
      <c r="S1517" s="151" t="s">
        <v>1811</v>
      </c>
    </row>
    <row r="1518" spans="1:20" ht="42">
      <c r="A1518" s="113"/>
      <c r="B1518" s="115" t="s">
        <v>1810</v>
      </c>
      <c r="C1518" s="5"/>
      <c r="D1518" s="5"/>
      <c r="E1518" s="132">
        <f t="shared" si="1122"/>
        <v>521</v>
      </c>
      <c r="F1518" s="139">
        <f t="shared" si="1119"/>
        <v>518.59500000000003</v>
      </c>
      <c r="G1518" s="149" t="s">
        <v>2052</v>
      </c>
      <c r="H1518" s="82" t="str">
        <f t="shared" si="1123"/>
        <v>0 percent up in Cambrian Stage 3 international stage</v>
      </c>
      <c r="I1518" s="142" t="str">
        <f t="shared" si="1124"/>
        <v>37 percent up in Cambrian Stage 3 international stage</v>
      </c>
      <c r="J1518" s="7">
        <v>0</v>
      </c>
      <c r="K1518" s="129">
        <f t="shared" si="1125"/>
        <v>0</v>
      </c>
      <c r="L1518" s="8" t="s">
        <v>1452</v>
      </c>
      <c r="M1518" s="5" t="s">
        <v>82</v>
      </c>
      <c r="N1518" s="5" t="s">
        <v>82</v>
      </c>
      <c r="O1518" s="83"/>
      <c r="P1518" s="20">
        <v>0.37</v>
      </c>
      <c r="Q1518" s="143">
        <f t="shared" si="1126"/>
        <v>37</v>
      </c>
      <c r="R1518" s="21" t="s">
        <v>1452</v>
      </c>
      <c r="S1518" s="151" t="s">
        <v>1812</v>
      </c>
    </row>
    <row r="1519" spans="1:20" ht="42">
      <c r="A1519" s="113" t="s">
        <v>1361</v>
      </c>
      <c r="B1519" s="115" t="s">
        <v>1469</v>
      </c>
      <c r="C1519" s="5"/>
      <c r="D1519" s="5" t="s">
        <v>961</v>
      </c>
      <c r="E1519" s="132">
        <f t="shared" ref="E1519:E1533" si="1127">$O$1533-J1519*($O$1533-$O$1499)</f>
        <v>521</v>
      </c>
      <c r="F1519" s="139">
        <f t="shared" si="1119"/>
        <v>516.125</v>
      </c>
      <c r="G1519" s="149" t="s">
        <v>2051</v>
      </c>
      <c r="H1519" s="82" t="str">
        <f>CONCATENATE(K1519," percent up in ",L1519," international stage")</f>
        <v>0 percent up in Cambrian Stage 3 international stage</v>
      </c>
      <c r="I1519" s="142" t="str">
        <f>CONCATENATE(Q1519," percent up in ",R1519," international stage")</f>
        <v>75 percent up in Cambrian Stage 3 international stage</v>
      </c>
      <c r="J1519" s="7">
        <v>0</v>
      </c>
      <c r="K1519" s="129">
        <f t="shared" ref="K1519" si="1128">ROUND(J1519*100,1)</f>
        <v>0</v>
      </c>
      <c r="L1519" s="8" t="s">
        <v>1452</v>
      </c>
      <c r="M1519" s="5" t="s">
        <v>82</v>
      </c>
      <c r="N1519" s="5" t="s">
        <v>82</v>
      </c>
      <c r="O1519" s="83"/>
      <c r="P1519" s="20">
        <v>0.75</v>
      </c>
      <c r="Q1519" s="143">
        <f>ROUND(P1519*100,1)</f>
        <v>75</v>
      </c>
      <c r="R1519" s="21" t="s">
        <v>1452</v>
      </c>
      <c r="S1519" s="8" t="s">
        <v>246</v>
      </c>
      <c r="T1519" s="7" t="s">
        <v>226</v>
      </c>
    </row>
    <row r="1520" spans="1:20" ht="28">
      <c r="A1520" s="113"/>
      <c r="B1520" s="174" t="s">
        <v>1996</v>
      </c>
      <c r="C1520" s="5"/>
      <c r="D1520" s="5" t="s">
        <v>248</v>
      </c>
      <c r="E1520" s="132">
        <f t="shared" si="1127"/>
        <v>517.75</v>
      </c>
      <c r="F1520" s="139">
        <f>$O$1499-P1520*($O$1499-$O$1464)</f>
        <v>513.4</v>
      </c>
      <c r="G1520" s="149" t="s">
        <v>1997</v>
      </c>
      <c r="H1520" s="82" t="str">
        <f t="shared" ref="H1520:H1521" si="1129">CONCATENATE(K1520," percent up in ",L1520," international stage")</f>
        <v>50 percent up in Cambrian Stage 3 international stage</v>
      </c>
      <c r="I1520" s="142" t="str">
        <f>CONCATENATE(Q1520," percent up in ",R1520," international stage")</f>
        <v>20 percent up in Cambrian Stage 4 international stage</v>
      </c>
      <c r="J1520" s="7">
        <v>0.5</v>
      </c>
      <c r="K1520" s="129">
        <f>ROUND(J1520*100,1)</f>
        <v>50</v>
      </c>
      <c r="L1520" s="8" t="s">
        <v>1452</v>
      </c>
      <c r="M1520" s="5" t="s">
        <v>82</v>
      </c>
      <c r="N1520" s="5" t="s">
        <v>82</v>
      </c>
      <c r="O1520" s="83"/>
      <c r="P1520" s="20">
        <v>0.2</v>
      </c>
      <c r="Q1520" s="143">
        <f t="shared" ref="Q1520" si="1130">ROUND(P1520*100,1)</f>
        <v>20</v>
      </c>
      <c r="R1520" s="21" t="s">
        <v>1436</v>
      </c>
      <c r="S1520" s="8"/>
    </row>
    <row r="1521" spans="1:20" ht="34">
      <c r="A1521" s="113"/>
      <c r="B1521" s="175" t="s">
        <v>2022</v>
      </c>
      <c r="C1521" s="5"/>
      <c r="D1521" s="5"/>
      <c r="E1521" s="132">
        <f t="shared" si="1127"/>
        <v>515.60500000000002</v>
      </c>
      <c r="F1521" s="139">
        <f>$O$1499-P1521*($O$1499-$O$1464)</f>
        <v>513.4</v>
      </c>
      <c r="G1521" s="149" t="s">
        <v>2025</v>
      </c>
      <c r="H1521" s="82" t="str">
        <f t="shared" si="1129"/>
        <v>83 percent up in Cambrian Stage 3 international stage</v>
      </c>
      <c r="I1521" s="142" t="str">
        <f>CONCATENATE(Q1521," percent up in ",R1521," international stage")</f>
        <v>20 percent up in Cambrian Stage 4 international stage</v>
      </c>
      <c r="J1521" s="7">
        <v>0.83</v>
      </c>
      <c r="K1521" s="129">
        <f t="shared" ref="K1521" si="1131">ROUND(J1521*100,1)</f>
        <v>83</v>
      </c>
      <c r="L1521" s="8" t="s">
        <v>1452</v>
      </c>
      <c r="M1521" s="5"/>
      <c r="O1521" s="83"/>
      <c r="P1521" s="20">
        <v>0.2</v>
      </c>
      <c r="Q1521" s="143">
        <f t="shared" ref="Q1521:Q1522" si="1132">ROUND(P1521*100,1)</f>
        <v>20</v>
      </c>
      <c r="R1521" s="21" t="s">
        <v>1436</v>
      </c>
      <c r="S1521" s="8"/>
    </row>
    <row r="1522" spans="1:20" ht="34">
      <c r="A1522" s="113"/>
      <c r="B1522" s="175" t="s">
        <v>2023</v>
      </c>
      <c r="C1522" s="5"/>
      <c r="D1522" s="5"/>
      <c r="E1522" s="132">
        <f t="shared" si="1127"/>
        <v>517.75</v>
      </c>
      <c r="F1522" s="139">
        <f>$O$1533-P1522*($O$1533-$O$1499)</f>
        <v>515.60500000000002</v>
      </c>
      <c r="G1522" s="149" t="s">
        <v>2024</v>
      </c>
      <c r="H1522" s="82" t="str">
        <f t="shared" ref="H1522:H1523" si="1133">CONCATENATE(K1522," percent up in ",L1522," international stage")</f>
        <v>50 percent up in Cambrian Stage 3 international stage</v>
      </c>
      <c r="I1522" s="142" t="str">
        <f t="shared" ref="I1522" si="1134">CONCATENATE(Q1522," percent up in ",R1522," international stage")</f>
        <v>83 percent up in Cambrian Stage 3 international stage</v>
      </c>
      <c r="J1522" s="7">
        <v>0.5</v>
      </c>
      <c r="K1522" s="129">
        <f t="shared" ref="K1522" si="1135">ROUND(J1522*100,1)</f>
        <v>50</v>
      </c>
      <c r="L1522" s="8" t="s">
        <v>1452</v>
      </c>
      <c r="M1522" s="5"/>
      <c r="O1522" s="83"/>
      <c r="P1522" s="20">
        <v>0.83</v>
      </c>
      <c r="Q1522" s="143">
        <f t="shared" si="1132"/>
        <v>83</v>
      </c>
      <c r="R1522" s="21" t="s">
        <v>1452</v>
      </c>
      <c r="S1522" s="8"/>
    </row>
    <row r="1523" spans="1:20" ht="28">
      <c r="A1523" s="113"/>
      <c r="B1523" s="175" t="s">
        <v>1990</v>
      </c>
      <c r="C1523" s="5"/>
      <c r="D1523" s="5" t="s">
        <v>248</v>
      </c>
      <c r="E1523" s="132">
        <f t="shared" si="1127"/>
        <v>517.75</v>
      </c>
      <c r="F1523" s="139">
        <f>$O$1499-P1523*($O$1499-$O$1464)</f>
        <v>513.4</v>
      </c>
      <c r="G1523" s="149" t="s">
        <v>1991</v>
      </c>
      <c r="H1523" s="82" t="str">
        <f t="shared" si="1133"/>
        <v>50 percent up in Cambrian Stage 3 international stage</v>
      </c>
      <c r="I1523" s="142" t="str">
        <f t="shared" ref="I1523" si="1136">CONCATENATE(Q1523," percent up in ",R1523," international stage")</f>
        <v>20 percent up in Cambrian Stage 4 international stage</v>
      </c>
      <c r="J1523" s="7">
        <v>0.5</v>
      </c>
      <c r="K1523" s="129">
        <f t="shared" ref="K1523" si="1137">ROUND(J1523*100,1)</f>
        <v>50</v>
      </c>
      <c r="L1523" s="8" t="s">
        <v>1452</v>
      </c>
      <c r="M1523" s="5" t="s">
        <v>82</v>
      </c>
      <c r="N1523" s="5" t="s">
        <v>82</v>
      </c>
      <c r="O1523" s="83"/>
      <c r="P1523" s="20">
        <v>0.2</v>
      </c>
      <c r="Q1523" s="143">
        <f t="shared" ref="Q1523" si="1138">ROUND(P1523*100,1)</f>
        <v>20</v>
      </c>
      <c r="R1523" s="21" t="s">
        <v>1436</v>
      </c>
      <c r="S1523" s="8"/>
    </row>
    <row r="1524" spans="1:20" ht="28">
      <c r="A1524" s="113" t="s">
        <v>1361</v>
      </c>
      <c r="B1524" s="176" t="s">
        <v>1461</v>
      </c>
      <c r="C1524" s="5"/>
      <c r="D1524" s="5" t="s">
        <v>248</v>
      </c>
      <c r="E1524" s="132">
        <f t="shared" si="1127"/>
        <v>517.75</v>
      </c>
      <c r="F1524" s="139">
        <f>$O$1499-P1524*($O$1499-$O$1464)</f>
        <v>513.4</v>
      </c>
      <c r="G1524" s="149"/>
      <c r="H1524" s="82" t="str">
        <f>CONCATENATE(K1524," percent up in ",L1524," international stage")</f>
        <v>50 percent up in Cambrian Stage 3 international stage</v>
      </c>
      <c r="I1524" s="142" t="str">
        <f>CONCATENATE(Q1524," percent up in ",R1524," international stage")</f>
        <v>20 percent up in Cambrian Stage 4 international stage</v>
      </c>
      <c r="J1524" s="7">
        <v>0.5</v>
      </c>
      <c r="K1524" s="129">
        <f t="shared" ref="K1524:K1535" si="1139">ROUND(J1524*100,1)</f>
        <v>50</v>
      </c>
      <c r="L1524" s="8" t="s">
        <v>1452</v>
      </c>
      <c r="M1524" s="5" t="s">
        <v>82</v>
      </c>
      <c r="N1524" s="5" t="s">
        <v>82</v>
      </c>
      <c r="O1524" s="83"/>
      <c r="P1524" s="20">
        <v>0.2</v>
      </c>
      <c r="Q1524" s="143">
        <f>ROUND(P1524*100,1)</f>
        <v>20</v>
      </c>
      <c r="R1524" s="21" t="s">
        <v>1436</v>
      </c>
      <c r="S1524" s="8" t="s">
        <v>246</v>
      </c>
      <c r="T1524" s="7" t="s">
        <v>226</v>
      </c>
    </row>
    <row r="1525" spans="1:20" ht="28">
      <c r="A1525" s="113"/>
      <c r="B1525" s="177" t="s">
        <v>1999</v>
      </c>
      <c r="C1525" s="5" t="s">
        <v>2007</v>
      </c>
      <c r="D1525" s="5" t="s">
        <v>248</v>
      </c>
      <c r="E1525" s="132">
        <f>$O$1533-J1525*($O$1533-$O$1499)</f>
        <v>521</v>
      </c>
      <c r="F1525" s="139">
        <f t="shared" ref="F1525:F1530" si="1140">$O$1533-P1525*($O$1533-$O$1499)</f>
        <v>517.75</v>
      </c>
      <c r="G1525" s="149" t="s">
        <v>1997</v>
      </c>
      <c r="H1525" s="82" t="str">
        <f t="shared" ref="H1525:H1528" si="1141">CONCATENATE(K1525," percent up in ",L1525," international stage")</f>
        <v>0 percent up in Cambrian Stage 3 international stage</v>
      </c>
      <c r="I1525" s="142" t="str">
        <f t="shared" ref="I1525:I1528" si="1142">CONCATENATE(Q1525," percent up in ",R1525," international stage")</f>
        <v>50 percent up in Cambrian Stage 3 international stage</v>
      </c>
      <c r="J1525" s="7">
        <v>0</v>
      </c>
      <c r="K1525" s="129">
        <f t="shared" si="1139"/>
        <v>0</v>
      </c>
      <c r="L1525" s="8" t="s">
        <v>1452</v>
      </c>
      <c r="M1525" s="5" t="s">
        <v>82</v>
      </c>
      <c r="N1525" s="5" t="s">
        <v>82</v>
      </c>
      <c r="O1525" s="83"/>
      <c r="P1525" s="20">
        <v>0.5</v>
      </c>
      <c r="Q1525" s="143">
        <f t="shared" ref="Q1525:Q1528" si="1143">ROUND(P1525*100,1)</f>
        <v>50</v>
      </c>
      <c r="R1525" s="21" t="s">
        <v>1452</v>
      </c>
      <c r="S1525" s="8"/>
    </row>
    <row r="1526" spans="1:20" ht="42">
      <c r="A1526" s="113"/>
      <c r="B1526" s="178" t="s">
        <v>2038</v>
      </c>
      <c r="C1526" s="5"/>
      <c r="D1526" s="5"/>
      <c r="E1526" s="132">
        <f t="shared" ref="E1526" si="1144">$O$1533-J1526*($O$1533-$O$1499)</f>
        <v>519.375</v>
      </c>
      <c r="F1526" s="139">
        <f t="shared" si="1140"/>
        <v>517.75</v>
      </c>
      <c r="G1526" s="149" t="s">
        <v>2050</v>
      </c>
      <c r="H1526" s="82" t="str">
        <f t="shared" si="1141"/>
        <v>25 percent up in Cambrian Stage 3 international stage</v>
      </c>
      <c r="I1526" s="142" t="str">
        <f t="shared" si="1142"/>
        <v>50 percent up in Cambrian Stage 3 international stage</v>
      </c>
      <c r="J1526" s="7">
        <v>0.25</v>
      </c>
      <c r="K1526" s="129">
        <f t="shared" ref="K1526" si="1145">ROUND(J1526*100,1)</f>
        <v>25</v>
      </c>
      <c r="L1526" s="8" t="s">
        <v>1452</v>
      </c>
      <c r="M1526" s="5" t="s">
        <v>82</v>
      </c>
      <c r="N1526" s="5" t="s">
        <v>82</v>
      </c>
      <c r="O1526" s="83"/>
      <c r="P1526" s="20">
        <v>0.5</v>
      </c>
      <c r="Q1526" s="143">
        <f t="shared" ref="Q1526" si="1146">ROUND(P1526*100,1)</f>
        <v>50</v>
      </c>
      <c r="R1526" s="21" t="s">
        <v>1452</v>
      </c>
      <c r="S1526" s="8"/>
    </row>
    <row r="1527" spans="1:20" ht="34">
      <c r="A1527" s="113"/>
      <c r="B1527" s="178" t="s">
        <v>2039</v>
      </c>
      <c r="C1527" s="5"/>
      <c r="D1527" s="5"/>
      <c r="E1527" s="132">
        <f t="shared" ref="E1527" si="1147">$O$1533-J1527*($O$1533-$O$1499)</f>
        <v>521</v>
      </c>
      <c r="F1527" s="139">
        <f t="shared" si="1140"/>
        <v>519.375</v>
      </c>
      <c r="G1527" s="149" t="s">
        <v>2049</v>
      </c>
      <c r="H1527" s="82" t="str">
        <f t="shared" si="1141"/>
        <v>0 percent up in Cambrian Stage 3 international stage</v>
      </c>
      <c r="I1527" s="142" t="str">
        <f t="shared" si="1142"/>
        <v>25 percent up in Cambrian Stage 3 international stage</v>
      </c>
      <c r="J1527" s="7">
        <v>0</v>
      </c>
      <c r="K1527" s="129">
        <f t="shared" ref="K1527" si="1148">ROUND(J1527*100,1)</f>
        <v>0</v>
      </c>
      <c r="L1527" s="8" t="s">
        <v>1452</v>
      </c>
      <c r="M1527" s="5" t="s">
        <v>82</v>
      </c>
      <c r="N1527" s="5" t="s">
        <v>82</v>
      </c>
      <c r="O1527" s="83"/>
      <c r="P1527" s="20">
        <v>0.25</v>
      </c>
      <c r="Q1527" s="143">
        <f t="shared" ref="Q1527" si="1149">ROUND(P1527*100,1)</f>
        <v>25</v>
      </c>
      <c r="R1527" s="21" t="s">
        <v>1452</v>
      </c>
      <c r="S1527" s="8"/>
    </row>
    <row r="1528" spans="1:20" ht="28">
      <c r="A1528" s="113"/>
      <c r="B1528" s="178" t="s">
        <v>2040</v>
      </c>
      <c r="C1528" s="5" t="s">
        <v>2007</v>
      </c>
      <c r="D1528" s="5" t="s">
        <v>248</v>
      </c>
      <c r="E1528" s="132">
        <f t="shared" si="1127"/>
        <v>521</v>
      </c>
      <c r="F1528" s="139">
        <f t="shared" si="1140"/>
        <v>517.75</v>
      </c>
      <c r="G1528" s="149" t="s">
        <v>1991</v>
      </c>
      <c r="H1528" s="82" t="str">
        <f t="shared" si="1141"/>
        <v>0 percent up in Cambrian Stage 3 international stage</v>
      </c>
      <c r="I1528" s="142" t="str">
        <f t="shared" si="1142"/>
        <v>50 percent up in Cambrian Stage 3 international stage</v>
      </c>
      <c r="J1528" s="7">
        <v>0</v>
      </c>
      <c r="K1528" s="129">
        <f t="shared" si="1139"/>
        <v>0</v>
      </c>
      <c r="L1528" s="8" t="s">
        <v>1452</v>
      </c>
      <c r="M1528" s="5" t="s">
        <v>82</v>
      </c>
      <c r="N1528" s="5" t="s">
        <v>82</v>
      </c>
      <c r="O1528" s="83"/>
      <c r="P1528" s="20">
        <v>0.5</v>
      </c>
      <c r="Q1528" s="143">
        <f t="shared" si="1143"/>
        <v>50</v>
      </c>
      <c r="R1528" s="21" t="s">
        <v>1452</v>
      </c>
      <c r="S1528" s="8"/>
    </row>
    <row r="1529" spans="1:20" ht="28">
      <c r="A1529" s="113" t="s">
        <v>1361</v>
      </c>
      <c r="B1529" s="176" t="s">
        <v>1471</v>
      </c>
      <c r="C1529" s="5" t="s">
        <v>2007</v>
      </c>
      <c r="D1529" s="5" t="s">
        <v>248</v>
      </c>
      <c r="E1529" s="132">
        <f t="shared" si="1127"/>
        <v>521</v>
      </c>
      <c r="F1529" s="139">
        <f t="shared" si="1140"/>
        <v>517.75</v>
      </c>
      <c r="G1529" s="149" t="s">
        <v>2048</v>
      </c>
      <c r="H1529" s="82" t="str">
        <f>CONCATENATE(K1529," percent up in ",L1529," international stage")</f>
        <v>0 percent up in Cambrian Stage 3 international stage</v>
      </c>
      <c r="I1529" s="142" t="str">
        <f>CONCATENATE(Q1529," percent up in ",R1529," international stage")</f>
        <v>50 percent up in Cambrian Stage 2 international stage</v>
      </c>
      <c r="J1529" s="7">
        <v>0</v>
      </c>
      <c r="K1529" s="129">
        <f t="shared" si="1139"/>
        <v>0</v>
      </c>
      <c r="L1529" s="8" t="s">
        <v>1452</v>
      </c>
      <c r="M1529" s="5" t="s">
        <v>82</v>
      </c>
      <c r="N1529" s="5" t="s">
        <v>82</v>
      </c>
      <c r="O1529" s="83"/>
      <c r="P1529" s="20">
        <v>0.5</v>
      </c>
      <c r="Q1529" s="143">
        <f>ROUND(P1529*100,1)</f>
        <v>50</v>
      </c>
      <c r="R1529" s="21" t="s">
        <v>1462</v>
      </c>
      <c r="S1529" s="8" t="s">
        <v>246</v>
      </c>
      <c r="T1529" s="7" t="s">
        <v>226</v>
      </c>
    </row>
    <row r="1530" spans="1:20" ht="28">
      <c r="A1530" s="113" t="s">
        <v>1361</v>
      </c>
      <c r="B1530" s="114" t="s">
        <v>1466</v>
      </c>
      <c r="C1530" s="5" t="s">
        <v>2007</v>
      </c>
      <c r="D1530" s="5" t="s">
        <v>1371</v>
      </c>
      <c r="E1530" s="132">
        <f t="shared" si="1127"/>
        <v>521</v>
      </c>
      <c r="F1530" s="139">
        <f t="shared" si="1140"/>
        <v>514.5</v>
      </c>
      <c r="G1530" s="149"/>
      <c r="H1530" s="82" t="str">
        <f>CONCATENATE(K1530," percent up in ",L1530," international stage")</f>
        <v>0 percent up in Cambrian Stage 2 international stage</v>
      </c>
      <c r="I1530" s="142" t="str">
        <f>CONCATENATE(Q1530," percent up in ",R1530," international stage")</f>
        <v>100 percent up in Cambrian Stage 3 international stage</v>
      </c>
      <c r="J1530" s="7">
        <v>0</v>
      </c>
      <c r="K1530" s="129">
        <f t="shared" si="1139"/>
        <v>0</v>
      </c>
      <c r="L1530" s="8" t="s">
        <v>1462</v>
      </c>
      <c r="M1530" s="5" t="s">
        <v>82</v>
      </c>
      <c r="N1530" s="5" t="s">
        <v>82</v>
      </c>
      <c r="O1530" s="83"/>
      <c r="P1530" s="20">
        <v>1</v>
      </c>
      <c r="Q1530" s="143">
        <f>ROUND(P1530*100,1)</f>
        <v>100</v>
      </c>
      <c r="R1530" s="21" t="s">
        <v>1452</v>
      </c>
      <c r="S1530" s="8" t="s">
        <v>232</v>
      </c>
      <c r="T1530" s="7" t="s">
        <v>226</v>
      </c>
    </row>
    <row r="1531" spans="1:20" ht="28">
      <c r="A1531" s="113" t="s">
        <v>1361</v>
      </c>
      <c r="B1531" s="114" t="s">
        <v>1470</v>
      </c>
      <c r="C1531" s="5" t="s">
        <v>5</v>
      </c>
      <c r="D1531" s="5" t="s">
        <v>1371</v>
      </c>
      <c r="E1531" s="132">
        <f t="shared" si="1127"/>
        <v>521</v>
      </c>
      <c r="F1531" s="139">
        <f>$O$1499-P1531*($O$1499-$O$1464)</f>
        <v>509</v>
      </c>
      <c r="G1531" s="149" t="s">
        <v>2010</v>
      </c>
      <c r="H1531" s="82" t="str">
        <f>CONCATENATE(K1531," percent up in ",L1531," international stage")</f>
        <v>0 percent up in Cambrian Stage 3 international stage</v>
      </c>
      <c r="I1531" s="142" t="str">
        <f>CONCATENATE(Q1531," percent up in ",R1531," international stage")</f>
        <v>100 percent up in Cambrian Stage 4 international stage</v>
      </c>
      <c r="J1531" s="7">
        <v>0</v>
      </c>
      <c r="K1531" s="129">
        <f t="shared" si="1139"/>
        <v>0</v>
      </c>
      <c r="L1531" s="8" t="s">
        <v>1452</v>
      </c>
      <c r="M1531" s="5" t="s">
        <v>82</v>
      </c>
      <c r="N1531" s="5" t="s">
        <v>82</v>
      </c>
      <c r="O1531" s="83"/>
      <c r="P1531" s="20">
        <v>1</v>
      </c>
      <c r="Q1531" s="143">
        <f>ROUND(P1531*100,1)</f>
        <v>100</v>
      </c>
      <c r="R1531" s="21" t="s">
        <v>1436</v>
      </c>
      <c r="S1531" s="8" t="s">
        <v>246</v>
      </c>
      <c r="T1531" s="7" t="s">
        <v>226</v>
      </c>
    </row>
    <row r="1532" spans="1:20" ht="28">
      <c r="A1532" s="113"/>
      <c r="B1532" s="115" t="s">
        <v>1992</v>
      </c>
      <c r="C1532" s="135"/>
      <c r="D1532" s="135" t="s">
        <v>222</v>
      </c>
      <c r="E1532" s="132">
        <f t="shared" si="1127"/>
        <v>521</v>
      </c>
      <c r="F1532" s="139">
        <f>$O$1533-P1532*($O$1533-$O$1463)</f>
        <v>509</v>
      </c>
      <c r="G1532" s="149" t="s">
        <v>1993</v>
      </c>
      <c r="H1532" s="82" t="str">
        <f t="shared" ref="H1532" si="1150">CONCATENATE(K1532," percent up in ",L1532," international stage")</f>
        <v>0 percent up in Cambrian Stage 3 international stage</v>
      </c>
      <c r="I1532" s="142" t="str">
        <f t="shared" ref="I1532" si="1151">CONCATENATE(Q1532," percent up in ",R1532," international stage")</f>
        <v>100 percent up in Cambrian Stage 4 international stage</v>
      </c>
      <c r="J1532" s="7">
        <v>0</v>
      </c>
      <c r="K1532" s="129">
        <f t="shared" si="1139"/>
        <v>0</v>
      </c>
      <c r="L1532" s="8" t="s">
        <v>1452</v>
      </c>
      <c r="M1532" s="5" t="s">
        <v>82</v>
      </c>
      <c r="N1532" s="5" t="s">
        <v>82</v>
      </c>
      <c r="O1532" s="83"/>
      <c r="P1532" s="20">
        <v>1</v>
      </c>
      <c r="Q1532" s="143">
        <f t="shared" ref="Q1532" si="1152">ROUND(P1532*100,1)</f>
        <v>100</v>
      </c>
      <c r="R1532" s="21" t="s">
        <v>1436</v>
      </c>
      <c r="S1532" s="8" t="s">
        <v>224</v>
      </c>
    </row>
    <row r="1533" spans="1:20" ht="28">
      <c r="A1533" s="113" t="s">
        <v>1361</v>
      </c>
      <c r="B1533" s="115" t="s">
        <v>1452</v>
      </c>
      <c r="C1533" s="135"/>
      <c r="D1533" s="135" t="s">
        <v>222</v>
      </c>
      <c r="E1533" s="132">
        <f t="shared" si="1127"/>
        <v>521</v>
      </c>
      <c r="F1533" s="139">
        <f>$O$1533-P1533*($O$1533-$O$1499)</f>
        <v>514.5</v>
      </c>
      <c r="G1533" s="149"/>
      <c r="H1533" s="82" t="str">
        <f t="shared" ref="H1533:H1546" si="1153">CONCATENATE(K1533," percent up in ",L1533," international stage")</f>
        <v>0 percent up in Cambrian Stage 3 international stage</v>
      </c>
      <c r="I1533" s="142" t="str">
        <f t="shared" ref="I1533:I1546" si="1154">CONCATENATE(Q1533," percent up in ",R1533," international stage")</f>
        <v>100 percent up in Cambrian Stage 3 international stage</v>
      </c>
      <c r="J1533" s="7">
        <v>0</v>
      </c>
      <c r="K1533" s="129">
        <f t="shared" si="1139"/>
        <v>0</v>
      </c>
      <c r="L1533" s="8" t="s">
        <v>1452</v>
      </c>
      <c r="M1533" s="5" t="s">
        <v>224</v>
      </c>
      <c r="N1533" s="5" t="s">
        <v>1460</v>
      </c>
      <c r="O1533" s="83">
        <f>Master_Chronostrat!I160</f>
        <v>521</v>
      </c>
      <c r="P1533" s="20">
        <v>1</v>
      </c>
      <c r="Q1533" s="143">
        <f t="shared" ref="Q1533:Q1544" si="1155">ROUND(P1533*100,1)</f>
        <v>100</v>
      </c>
      <c r="R1533" s="21" t="s">
        <v>1452</v>
      </c>
      <c r="S1533" s="8" t="s">
        <v>224</v>
      </c>
      <c r="T1533" s="7" t="s">
        <v>226</v>
      </c>
    </row>
    <row r="1534" spans="1:20" ht="28">
      <c r="A1534" s="113" t="s">
        <v>1361</v>
      </c>
      <c r="B1534" s="115" t="s">
        <v>1464</v>
      </c>
      <c r="C1534" s="5"/>
      <c r="D1534" s="5" t="s">
        <v>82</v>
      </c>
      <c r="E1534" s="132">
        <f t="shared" ref="E1534:E1543" si="1156">$O$1543-J1534*($O$1543-$O$1533)</f>
        <v>524.42857142857144</v>
      </c>
      <c r="F1534" s="139">
        <f>$O$1499-P1534*($O$1499-$O$1464)</f>
        <v>512.29999999999995</v>
      </c>
      <c r="G1534" s="149"/>
      <c r="H1534" s="82" t="str">
        <f t="shared" si="1153"/>
        <v>57.1 percent up in Cambrian Stage 2 international stage</v>
      </c>
      <c r="I1534" s="142" t="str">
        <f t="shared" si="1154"/>
        <v>40 percent up in Cambrian Stage 4 international stage</v>
      </c>
      <c r="J1534" s="7">
        <v>0.5714285714285714</v>
      </c>
      <c r="K1534" s="129">
        <f t="shared" si="1139"/>
        <v>57.1</v>
      </c>
      <c r="L1534" s="8" t="s">
        <v>1462</v>
      </c>
      <c r="M1534" s="5" t="s">
        <v>82</v>
      </c>
      <c r="N1534" s="5" t="s">
        <v>82</v>
      </c>
      <c r="O1534" s="83"/>
      <c r="P1534" s="20">
        <v>0.4</v>
      </c>
      <c r="Q1534" s="143">
        <f t="shared" si="1155"/>
        <v>40</v>
      </c>
      <c r="R1534" s="21" t="s">
        <v>1436</v>
      </c>
      <c r="S1534" s="8" t="s">
        <v>246</v>
      </c>
      <c r="T1534" s="7" t="s">
        <v>226</v>
      </c>
    </row>
    <row r="1535" spans="1:20" ht="28">
      <c r="A1535" s="113" t="s">
        <v>1361</v>
      </c>
      <c r="B1535" s="115" t="s">
        <v>1465</v>
      </c>
      <c r="C1535" s="5"/>
      <c r="D1535" s="5" t="s">
        <v>82</v>
      </c>
      <c r="E1535" s="132">
        <f t="shared" si="1156"/>
        <v>525</v>
      </c>
      <c r="F1535" s="139">
        <f>$O$1499-P1535*($O$1499-$O$1464)</f>
        <v>511.2</v>
      </c>
      <c r="G1535" s="149"/>
      <c r="H1535" s="82" t="str">
        <f t="shared" si="1153"/>
        <v>50 percent up in Cambrian Stage 2 international stage</v>
      </c>
      <c r="I1535" s="142" t="str">
        <f t="shared" si="1154"/>
        <v>60 percent up in Cambrian Stage 4 international stage</v>
      </c>
      <c r="J1535" s="7">
        <v>0.5</v>
      </c>
      <c r="K1535" s="129">
        <f t="shared" si="1139"/>
        <v>50</v>
      </c>
      <c r="L1535" s="8" t="s">
        <v>1462</v>
      </c>
      <c r="M1535" s="5" t="s">
        <v>82</v>
      </c>
      <c r="N1535" s="5" t="s">
        <v>82</v>
      </c>
      <c r="O1535" s="83"/>
      <c r="P1535" s="20">
        <v>0.6</v>
      </c>
      <c r="Q1535" s="143">
        <f t="shared" si="1155"/>
        <v>60</v>
      </c>
      <c r="R1535" s="21" t="s">
        <v>1436</v>
      </c>
      <c r="S1535" s="8" t="s">
        <v>246</v>
      </c>
      <c r="T1535" s="7" t="s">
        <v>226</v>
      </c>
    </row>
    <row r="1536" spans="1:20" ht="28">
      <c r="A1536" s="113"/>
      <c r="B1536" s="115" t="s">
        <v>1946</v>
      </c>
      <c r="C1536" s="5"/>
      <c r="D1536" s="5"/>
      <c r="E1536" s="132">
        <f t="shared" si="1156"/>
        <v>522.04</v>
      </c>
      <c r="F1536" s="139">
        <f t="shared" ref="F1536:F1546" si="1157">$O$1543-P1536*($O$1543-$O$1533)</f>
        <v>521</v>
      </c>
      <c r="G1536" s="149" t="s">
        <v>2061</v>
      </c>
      <c r="H1536" s="82" t="str">
        <f t="shared" si="1153"/>
        <v>87 percent up in Cambrian Stage 2 international stage</v>
      </c>
      <c r="I1536" s="142" t="str">
        <f t="shared" si="1154"/>
        <v>100 percent up in Cambrian Stage 2 international stage</v>
      </c>
      <c r="J1536" s="7">
        <v>0.87</v>
      </c>
      <c r="K1536" s="129">
        <f t="shared" ref="K1536:K1546" si="1158">ROUND(J1536*100,1)</f>
        <v>87</v>
      </c>
      <c r="L1536" s="8" t="s">
        <v>1462</v>
      </c>
      <c r="M1536" s="5" t="s">
        <v>82</v>
      </c>
      <c r="N1536" s="5" t="s">
        <v>82</v>
      </c>
      <c r="O1536" s="83"/>
      <c r="P1536" s="20">
        <v>1</v>
      </c>
      <c r="Q1536" s="143">
        <f t="shared" si="1155"/>
        <v>100</v>
      </c>
      <c r="R1536" s="21" t="s">
        <v>1462</v>
      </c>
      <c r="S1536" s="8"/>
    </row>
    <row r="1537" spans="1:20" ht="42">
      <c r="A1537" s="113"/>
      <c r="B1537" s="115" t="s">
        <v>1947</v>
      </c>
      <c r="C1537" s="5"/>
      <c r="D1537" s="5"/>
      <c r="E1537" s="132">
        <f t="shared" si="1156"/>
        <v>523</v>
      </c>
      <c r="F1537" s="139">
        <f t="shared" si="1157"/>
        <v>522.04</v>
      </c>
      <c r="G1537" s="149" t="s">
        <v>2062</v>
      </c>
      <c r="H1537" s="82" t="str">
        <f t="shared" si="1153"/>
        <v>75 percent up in Cambrian Stage 2 international stage</v>
      </c>
      <c r="I1537" s="142" t="str">
        <f t="shared" si="1154"/>
        <v>87 percent up in Cambrian Stage 2 international stage</v>
      </c>
      <c r="J1537" s="7">
        <v>0.75</v>
      </c>
      <c r="K1537" s="129">
        <f t="shared" si="1158"/>
        <v>75</v>
      </c>
      <c r="L1537" s="8" t="s">
        <v>1462</v>
      </c>
      <c r="M1537" s="5" t="s">
        <v>82</v>
      </c>
      <c r="N1537" s="5" t="s">
        <v>82</v>
      </c>
      <c r="O1537" s="83"/>
      <c r="P1537" s="20">
        <v>0.87</v>
      </c>
      <c r="Q1537" s="143">
        <f t="shared" si="1155"/>
        <v>87</v>
      </c>
      <c r="R1537" s="21" t="s">
        <v>1462</v>
      </c>
      <c r="S1537" s="8"/>
    </row>
    <row r="1538" spans="1:20" ht="28">
      <c r="A1538" s="113"/>
      <c r="B1538" s="115" t="s">
        <v>1948</v>
      </c>
      <c r="C1538" s="5"/>
      <c r="D1538" s="5"/>
      <c r="E1538" s="132">
        <f t="shared" si="1156"/>
        <v>523.96</v>
      </c>
      <c r="F1538" s="139">
        <f t="shared" si="1157"/>
        <v>523</v>
      </c>
      <c r="G1538" s="149" t="s">
        <v>2063</v>
      </c>
      <c r="H1538" s="82" t="str">
        <f t="shared" si="1153"/>
        <v>63 percent up in Cambrian Stage 2 international stage</v>
      </c>
      <c r="I1538" s="142" t="str">
        <f t="shared" si="1154"/>
        <v>75 percent up in Cambrian Stage 2 international stage</v>
      </c>
      <c r="J1538" s="7">
        <v>0.63</v>
      </c>
      <c r="K1538" s="129">
        <f t="shared" si="1158"/>
        <v>63</v>
      </c>
      <c r="L1538" s="8" t="s">
        <v>1462</v>
      </c>
      <c r="M1538" s="5" t="s">
        <v>82</v>
      </c>
      <c r="N1538" s="5" t="s">
        <v>82</v>
      </c>
      <c r="O1538" s="83"/>
      <c r="P1538" s="20">
        <v>0.75</v>
      </c>
      <c r="Q1538" s="143">
        <f t="shared" si="1155"/>
        <v>75</v>
      </c>
      <c r="R1538" s="21" t="s">
        <v>1462</v>
      </c>
      <c r="S1538" s="8"/>
    </row>
    <row r="1539" spans="1:20" ht="28">
      <c r="A1539" s="113"/>
      <c r="B1539" s="115" t="s">
        <v>1949</v>
      </c>
      <c r="C1539" s="5"/>
      <c r="D1539" s="5"/>
      <c r="E1539" s="132">
        <f t="shared" si="1156"/>
        <v>525</v>
      </c>
      <c r="F1539" s="139">
        <f t="shared" si="1157"/>
        <v>523.96</v>
      </c>
      <c r="G1539" s="149" t="s">
        <v>2064</v>
      </c>
      <c r="H1539" s="82" t="str">
        <f t="shared" si="1153"/>
        <v>50 percent up in Cambrian Stage 2 international stage</v>
      </c>
      <c r="I1539" s="142" t="str">
        <f t="shared" si="1154"/>
        <v>63 percent up in Cambrian Stage 2 international stage</v>
      </c>
      <c r="J1539" s="7">
        <v>0.5</v>
      </c>
      <c r="K1539" s="129">
        <f t="shared" si="1158"/>
        <v>50</v>
      </c>
      <c r="L1539" s="8" t="s">
        <v>1462</v>
      </c>
      <c r="M1539" s="5" t="s">
        <v>82</v>
      </c>
      <c r="N1539" s="5" t="s">
        <v>82</v>
      </c>
      <c r="O1539" s="83"/>
      <c r="P1539" s="20">
        <v>0.63</v>
      </c>
      <c r="Q1539" s="143">
        <f t="shared" si="1155"/>
        <v>63</v>
      </c>
      <c r="R1539" s="21" t="s">
        <v>1462</v>
      </c>
      <c r="S1539" s="8"/>
    </row>
    <row r="1540" spans="1:20" ht="28">
      <c r="A1540" s="113"/>
      <c r="B1540" s="115" t="s">
        <v>1813</v>
      </c>
      <c r="C1540" s="5"/>
      <c r="D1540" s="5"/>
      <c r="E1540" s="132">
        <f t="shared" si="1156"/>
        <v>523</v>
      </c>
      <c r="F1540" s="139">
        <f t="shared" si="1157"/>
        <v>521</v>
      </c>
      <c r="G1540" s="149" t="s">
        <v>2060</v>
      </c>
      <c r="H1540" s="82" t="str">
        <f t="shared" si="1153"/>
        <v>75 percent up in Cambrian Stage 2 international stage</v>
      </c>
      <c r="I1540" s="142" t="str">
        <f t="shared" si="1154"/>
        <v>100 percent up in Cambrian Stage 2 international stage</v>
      </c>
      <c r="J1540" s="7">
        <v>0.75</v>
      </c>
      <c r="K1540" s="129">
        <f t="shared" si="1158"/>
        <v>75</v>
      </c>
      <c r="L1540" s="8" t="s">
        <v>1462</v>
      </c>
      <c r="M1540" s="5" t="s">
        <v>82</v>
      </c>
      <c r="N1540" s="5" t="s">
        <v>82</v>
      </c>
      <c r="O1540" s="83"/>
      <c r="P1540" s="20">
        <v>1</v>
      </c>
      <c r="Q1540" s="143">
        <f t="shared" si="1155"/>
        <v>100</v>
      </c>
      <c r="R1540" s="21" t="s">
        <v>1462</v>
      </c>
      <c r="S1540" s="151" t="s">
        <v>1811</v>
      </c>
    </row>
    <row r="1541" spans="1:20" ht="28">
      <c r="A1541" s="113"/>
      <c r="B1541" s="115" t="s">
        <v>1814</v>
      </c>
      <c r="C1541" s="5"/>
      <c r="D1541" s="5"/>
      <c r="E1541" s="132">
        <f t="shared" si="1156"/>
        <v>525</v>
      </c>
      <c r="F1541" s="139">
        <f t="shared" si="1157"/>
        <v>523</v>
      </c>
      <c r="G1541" s="149" t="s">
        <v>2059</v>
      </c>
      <c r="H1541" s="82" t="str">
        <f t="shared" si="1153"/>
        <v>50 percent up in Cambrian Stage 2 international stage</v>
      </c>
      <c r="I1541" s="142" t="str">
        <f t="shared" si="1154"/>
        <v>75 percent up in Cambrian Stage 2 international stage</v>
      </c>
      <c r="J1541" s="7">
        <v>0.5</v>
      </c>
      <c r="K1541" s="129">
        <f t="shared" si="1158"/>
        <v>50</v>
      </c>
      <c r="L1541" s="8" t="s">
        <v>1462</v>
      </c>
      <c r="M1541" s="5" t="s">
        <v>82</v>
      </c>
      <c r="N1541" s="5" t="s">
        <v>82</v>
      </c>
      <c r="O1541" s="83"/>
      <c r="P1541" s="20">
        <v>0.75</v>
      </c>
      <c r="Q1541" s="143">
        <f t="shared" si="1155"/>
        <v>75</v>
      </c>
      <c r="R1541" s="21" t="s">
        <v>1462</v>
      </c>
      <c r="S1541" s="151" t="s">
        <v>1812</v>
      </c>
    </row>
    <row r="1542" spans="1:20" ht="28">
      <c r="A1542" s="113" t="s">
        <v>1361</v>
      </c>
      <c r="B1542" s="115" t="s">
        <v>1472</v>
      </c>
      <c r="C1542" s="5"/>
      <c r="D1542" s="5" t="s">
        <v>961</v>
      </c>
      <c r="E1542" s="132">
        <f t="shared" si="1156"/>
        <v>525</v>
      </c>
      <c r="F1542" s="139">
        <f t="shared" si="1157"/>
        <v>521</v>
      </c>
      <c r="G1542" s="149" t="s">
        <v>2058</v>
      </c>
      <c r="H1542" s="82" t="str">
        <f t="shared" si="1153"/>
        <v>50 percent up in Cambrian Stage 2 international stage</v>
      </c>
      <c r="I1542" s="142" t="str">
        <f t="shared" si="1154"/>
        <v>100 percent up in Cambrian Stage 2 international stage</v>
      </c>
      <c r="J1542" s="7">
        <v>0.5</v>
      </c>
      <c r="K1542" s="129">
        <f t="shared" si="1158"/>
        <v>50</v>
      </c>
      <c r="L1542" s="8" t="s">
        <v>1462</v>
      </c>
      <c r="M1542" s="5" t="s">
        <v>82</v>
      </c>
      <c r="N1542" s="5" t="s">
        <v>82</v>
      </c>
      <c r="O1542" s="83"/>
      <c r="P1542" s="20">
        <v>1</v>
      </c>
      <c r="Q1542" s="143">
        <f t="shared" si="1155"/>
        <v>100</v>
      </c>
      <c r="R1542" s="21" t="s">
        <v>1462</v>
      </c>
      <c r="S1542" s="8" t="s">
        <v>259</v>
      </c>
      <c r="T1542" s="7">
        <v>0.28571428571428709</v>
      </c>
    </row>
    <row r="1543" spans="1:20" ht="28">
      <c r="A1543" s="113" t="s">
        <v>1361</v>
      </c>
      <c r="B1543" s="115" t="s">
        <v>1462</v>
      </c>
      <c r="C1543" s="135"/>
      <c r="D1543" s="135" t="s">
        <v>222</v>
      </c>
      <c r="E1543" s="132">
        <f t="shared" si="1156"/>
        <v>529</v>
      </c>
      <c r="F1543" s="139">
        <f t="shared" si="1157"/>
        <v>521</v>
      </c>
      <c r="G1543" s="149"/>
      <c r="H1543" s="82" t="str">
        <f t="shared" si="1153"/>
        <v>0 percent up in Cambrian Stage 2 international stage</v>
      </c>
      <c r="I1543" s="142" t="str">
        <f t="shared" si="1154"/>
        <v>100 percent up in Cambrian Stage 2 international stage</v>
      </c>
      <c r="J1543" s="7">
        <v>0</v>
      </c>
      <c r="K1543" s="129">
        <f t="shared" si="1158"/>
        <v>0</v>
      </c>
      <c r="L1543" s="8" t="s">
        <v>1462</v>
      </c>
      <c r="M1543" s="5" t="s">
        <v>224</v>
      </c>
      <c r="N1543" s="5" t="s">
        <v>1467</v>
      </c>
      <c r="O1543" s="83">
        <f>Master_Chronostrat!I161</f>
        <v>529</v>
      </c>
      <c r="P1543" s="20">
        <v>1</v>
      </c>
      <c r="Q1543" s="143">
        <f t="shared" si="1155"/>
        <v>100</v>
      </c>
      <c r="R1543" s="21" t="s">
        <v>1462</v>
      </c>
      <c r="S1543" s="8" t="s">
        <v>224</v>
      </c>
      <c r="T1543" s="7" t="s">
        <v>226</v>
      </c>
    </row>
    <row r="1544" spans="1:20" ht="28">
      <c r="A1544" s="113" t="s">
        <v>1361</v>
      </c>
      <c r="B1544" s="115" t="s">
        <v>1468</v>
      </c>
      <c r="C1544" s="5"/>
      <c r="D1544" s="5" t="s">
        <v>82</v>
      </c>
      <c r="E1544" s="132">
        <f t="shared" ref="E1544:E1551" si="1159">$O$1565-J1544*($O$1565-$O$1543)</f>
        <v>530.04999999999995</v>
      </c>
      <c r="F1544" s="139">
        <f t="shared" si="1157"/>
        <v>525</v>
      </c>
      <c r="G1544" s="149"/>
      <c r="H1544" s="82" t="str">
        <f t="shared" si="1153"/>
        <v>89.3 percent up in Fortunian international stage</v>
      </c>
      <c r="I1544" s="142" t="str">
        <f t="shared" si="1154"/>
        <v>50 percent up in Cambrian Stage 2 international stage</v>
      </c>
      <c r="J1544" s="7">
        <v>0.8928571428571429</v>
      </c>
      <c r="K1544" s="129">
        <f t="shared" si="1158"/>
        <v>89.3</v>
      </c>
      <c r="L1544" s="8" t="s">
        <v>183</v>
      </c>
      <c r="M1544" s="5" t="s">
        <v>82</v>
      </c>
      <c r="N1544" s="5" t="s">
        <v>82</v>
      </c>
      <c r="O1544" s="83"/>
      <c r="P1544" s="20">
        <v>0.5</v>
      </c>
      <c r="Q1544" s="143">
        <f t="shared" si="1155"/>
        <v>50</v>
      </c>
      <c r="R1544" s="21" t="s">
        <v>1462</v>
      </c>
      <c r="S1544" s="8" t="s">
        <v>246</v>
      </c>
      <c r="T1544" s="7" t="s">
        <v>226</v>
      </c>
    </row>
    <row r="1545" spans="1:20" ht="28">
      <c r="A1545" s="113" t="s">
        <v>1361</v>
      </c>
      <c r="B1545" s="174" t="s">
        <v>1479</v>
      </c>
      <c r="C1545" s="5"/>
      <c r="D1545" s="5" t="s">
        <v>248</v>
      </c>
      <c r="E1545" s="132">
        <f t="shared" si="1159"/>
        <v>530.96</v>
      </c>
      <c r="F1545" s="139">
        <f t="shared" si="1157"/>
        <v>521</v>
      </c>
      <c r="G1545" s="149" t="s">
        <v>2009</v>
      </c>
      <c r="H1545" s="82" t="str">
        <f t="shared" si="1153"/>
        <v>80 percent up in Fortunian international stage</v>
      </c>
      <c r="I1545" s="142" t="str">
        <f t="shared" si="1154"/>
        <v>100 percent up in Cambrian Stage 2 international stage</v>
      </c>
      <c r="J1545" s="7">
        <v>0.8</v>
      </c>
      <c r="K1545" s="129">
        <f t="shared" si="1158"/>
        <v>80</v>
      </c>
      <c r="L1545" s="8" t="s">
        <v>183</v>
      </c>
      <c r="M1545" s="5" t="s">
        <v>82</v>
      </c>
      <c r="N1545" s="5" t="s">
        <v>82</v>
      </c>
      <c r="O1545" s="83"/>
      <c r="P1545" s="20">
        <v>1</v>
      </c>
      <c r="Q1545" s="143">
        <f t="shared" ref="Q1545" si="1160">ROUND(P1545*100,1)</f>
        <v>100</v>
      </c>
      <c r="R1545" s="21" t="s">
        <v>1462</v>
      </c>
      <c r="S1545" s="8" t="s">
        <v>230</v>
      </c>
      <c r="T1545" s="7" t="s">
        <v>226</v>
      </c>
    </row>
    <row r="1546" spans="1:20" ht="28">
      <c r="A1546" s="113" t="s">
        <v>1361</v>
      </c>
      <c r="B1546" s="178" t="s">
        <v>1480</v>
      </c>
      <c r="C1546" s="5" t="s">
        <v>2007</v>
      </c>
      <c r="D1546" s="5" t="s">
        <v>1371</v>
      </c>
      <c r="E1546" s="132">
        <f t="shared" si="1159"/>
        <v>530.96</v>
      </c>
      <c r="F1546" s="139">
        <f t="shared" si="1157"/>
        <v>521</v>
      </c>
      <c r="G1546" s="149" t="s">
        <v>2006</v>
      </c>
      <c r="H1546" s="82" t="str">
        <f t="shared" si="1153"/>
        <v>80 percent up in Fortunian international stage</v>
      </c>
      <c r="I1546" s="142" t="str">
        <f t="shared" si="1154"/>
        <v>100 percent up in Cambrian Stage 2 international stage</v>
      </c>
      <c r="J1546" s="7">
        <v>0.8</v>
      </c>
      <c r="K1546" s="129">
        <f t="shared" si="1158"/>
        <v>80</v>
      </c>
      <c r="L1546" s="8" t="s">
        <v>183</v>
      </c>
      <c r="M1546" s="5" t="s">
        <v>82</v>
      </c>
      <c r="N1546" s="5" t="s">
        <v>82</v>
      </c>
      <c r="O1546" s="83"/>
      <c r="P1546" s="20">
        <v>1</v>
      </c>
      <c r="Q1546" s="143">
        <f>ROUND(P1546*100,1)</f>
        <v>100</v>
      </c>
      <c r="R1546" s="21" t="s">
        <v>1462</v>
      </c>
      <c r="S1546" s="8" t="s">
        <v>232</v>
      </c>
      <c r="T1546" s="7" t="s">
        <v>226</v>
      </c>
    </row>
    <row r="1547" spans="1:20" ht="28">
      <c r="A1547" s="113"/>
      <c r="B1547" s="178" t="s">
        <v>1526</v>
      </c>
      <c r="C1547" s="5" t="s">
        <v>2007</v>
      </c>
      <c r="D1547" s="5" t="s">
        <v>1371</v>
      </c>
      <c r="E1547" s="132">
        <f t="shared" si="1159"/>
        <v>538.79999999999995</v>
      </c>
      <c r="F1547" s="139">
        <f>$O$1565-P1547*($O$1565-$O$1543)</f>
        <v>530.96</v>
      </c>
      <c r="G1547" s="149" t="s">
        <v>2005</v>
      </c>
      <c r="H1547" s="82" t="str">
        <f t="shared" ref="H1547" si="1161">CONCATENATE(K1547," percent up in ",L1547," international stage")</f>
        <v>0 percent up in Fortunian international stage</v>
      </c>
      <c r="I1547" s="142" t="str">
        <f t="shared" ref="I1547" si="1162">CONCATENATE(Q1547," percent up in ",R1547," international stage")</f>
        <v>80 percent up in Fortunian international stage</v>
      </c>
      <c r="J1547" s="7">
        <v>0</v>
      </c>
      <c r="K1547" s="129">
        <f t="shared" ref="K1547" si="1163">ROUND(J1547*100,1)</f>
        <v>0</v>
      </c>
      <c r="L1547" s="8" t="s">
        <v>183</v>
      </c>
      <c r="M1547" s="5" t="s">
        <v>82</v>
      </c>
      <c r="N1547" s="5" t="s">
        <v>82</v>
      </c>
      <c r="O1547" s="83"/>
      <c r="P1547" s="20">
        <v>0.8</v>
      </c>
      <c r="Q1547" s="143">
        <f t="shared" ref="Q1547:Q1548" si="1164">ROUND(P1547*100,1)</f>
        <v>80</v>
      </c>
      <c r="R1547" s="21" t="s">
        <v>183</v>
      </c>
      <c r="S1547" s="8"/>
    </row>
    <row r="1548" spans="1:20" ht="28">
      <c r="A1548" s="113" t="s">
        <v>1361</v>
      </c>
      <c r="B1548" s="179" t="s">
        <v>1477</v>
      </c>
      <c r="C1548" s="5" t="s">
        <v>5</v>
      </c>
      <c r="D1548" s="5" t="s">
        <v>1371</v>
      </c>
      <c r="E1548" s="132">
        <f t="shared" si="1159"/>
        <v>538.79999999999995</v>
      </c>
      <c r="F1548" s="139">
        <f>$O$1565-P1548*($O$1565-$O$1543)</f>
        <v>529</v>
      </c>
      <c r="G1548" s="149" t="s">
        <v>2008</v>
      </c>
      <c r="H1548" s="82" t="str">
        <f>CONCATENATE(K1548," percent up in ",L1548," international stage")</f>
        <v>0 percent up in Fortunian international stage</v>
      </c>
      <c r="I1548" s="142" t="str">
        <f>CONCATENATE(Q1548," percent up in ",R1548," international stage")</f>
        <v>100 percent up in Cambrian Stage 2 international stage</v>
      </c>
      <c r="J1548" s="7">
        <v>0</v>
      </c>
      <c r="K1548" s="129">
        <f>ROUND(J1548*100,1)</f>
        <v>0</v>
      </c>
      <c r="L1548" s="8" t="s">
        <v>183</v>
      </c>
      <c r="M1548" s="5" t="s">
        <v>82</v>
      </c>
      <c r="N1548" s="5" t="s">
        <v>82</v>
      </c>
      <c r="O1548" s="83"/>
      <c r="P1548" s="20">
        <v>1</v>
      </c>
      <c r="Q1548" s="143">
        <f t="shared" si="1164"/>
        <v>100</v>
      </c>
      <c r="R1548" s="21" t="s">
        <v>1462</v>
      </c>
      <c r="S1548" s="8" t="s">
        <v>230</v>
      </c>
      <c r="T1548" s="7" t="s">
        <v>226</v>
      </c>
    </row>
    <row r="1549" spans="1:20" ht="28">
      <c r="A1549" s="113" t="s">
        <v>1361</v>
      </c>
      <c r="B1549" s="114" t="s">
        <v>1473</v>
      </c>
      <c r="C1549" s="5"/>
      <c r="D1549" s="5" t="s">
        <v>1418</v>
      </c>
      <c r="E1549" s="132">
        <f t="shared" si="1159"/>
        <v>534.94999999999993</v>
      </c>
      <c r="F1549" s="139">
        <f>$O$1543-P1549*($O$1543-$O$1533)</f>
        <v>521</v>
      </c>
      <c r="G1549" s="149"/>
      <c r="H1549" s="82" t="str">
        <f t="shared" si="1066"/>
        <v>39.3 percent up in Fortunian international stage</v>
      </c>
      <c r="I1549" s="142" t="str">
        <f t="shared" si="1067"/>
        <v>100 percent up in Cambrian Stage 2 international stage</v>
      </c>
      <c r="J1549" s="7">
        <v>0.3928571428571429</v>
      </c>
      <c r="K1549" s="129">
        <f t="shared" si="1068"/>
        <v>39.299999999999997</v>
      </c>
      <c r="L1549" s="8" t="s">
        <v>183</v>
      </c>
      <c r="M1549" s="5" t="s">
        <v>82</v>
      </c>
      <c r="N1549" s="5" t="s">
        <v>82</v>
      </c>
      <c r="O1549" s="83"/>
      <c r="P1549" s="20">
        <v>1</v>
      </c>
      <c r="Q1549" s="143">
        <f t="shared" si="1069"/>
        <v>100</v>
      </c>
      <c r="R1549" s="21" t="s">
        <v>1462</v>
      </c>
      <c r="S1549" s="8" t="s">
        <v>246</v>
      </c>
      <c r="T1549" s="7" t="s">
        <v>226</v>
      </c>
    </row>
    <row r="1550" spans="1:20" ht="28">
      <c r="A1550" s="113" t="s">
        <v>1361</v>
      </c>
      <c r="B1550" s="114" t="s">
        <v>1474</v>
      </c>
      <c r="C1550" s="5"/>
      <c r="D1550" s="5" t="s">
        <v>244</v>
      </c>
      <c r="E1550" s="132">
        <f t="shared" si="1159"/>
        <v>538.79999999999995</v>
      </c>
      <c r="F1550" s="139">
        <f>$O$1533-P1550*($O$1533-$O$1499)</f>
        <v>520.45833333333337</v>
      </c>
      <c r="G1550" s="149"/>
      <c r="H1550" s="82" t="str">
        <f t="shared" si="1066"/>
        <v>0 percent up in Fortunian international stage</v>
      </c>
      <c r="I1550" s="142" t="str">
        <f t="shared" si="1067"/>
        <v>8.3 percent up in Cambrian Stage 3 international stage</v>
      </c>
      <c r="J1550" s="7">
        <v>0</v>
      </c>
      <c r="K1550" s="129">
        <f t="shared" si="1068"/>
        <v>0</v>
      </c>
      <c r="L1550" s="8" t="s">
        <v>183</v>
      </c>
      <c r="M1550" s="5" t="s">
        <v>82</v>
      </c>
      <c r="N1550" s="5" t="s">
        <v>82</v>
      </c>
      <c r="O1550" s="83"/>
      <c r="P1550" s="20">
        <v>8.3333333333333329E-2</v>
      </c>
      <c r="Q1550" s="143">
        <f t="shared" si="1069"/>
        <v>8.3000000000000007</v>
      </c>
      <c r="R1550" s="21" t="s">
        <v>1452</v>
      </c>
      <c r="S1550" s="8" t="s">
        <v>246</v>
      </c>
      <c r="T1550" s="7" t="s">
        <v>226</v>
      </c>
    </row>
    <row r="1551" spans="1:20" ht="28">
      <c r="A1551" s="113" t="s">
        <v>1361</v>
      </c>
      <c r="B1551" s="115" t="s">
        <v>1475</v>
      </c>
      <c r="C1551" s="5"/>
      <c r="D1551" s="5" t="s">
        <v>264</v>
      </c>
      <c r="E1551" s="132">
        <f t="shared" si="1159"/>
        <v>538.79999999999995</v>
      </c>
      <c r="F1551" s="139">
        <f>$O$1499-P1551*($O$1499-$O$1464)</f>
        <v>512.29999999999995</v>
      </c>
      <c r="G1551" s="149"/>
      <c r="H1551" s="82" t="str">
        <f t="shared" si="1066"/>
        <v>0 percent up in Fortunian international stage</v>
      </c>
      <c r="I1551" s="142" t="str">
        <f t="shared" si="1067"/>
        <v>40 percent up in Cambrian Stage 4 international stage</v>
      </c>
      <c r="J1551" s="7">
        <v>0</v>
      </c>
      <c r="K1551" s="129">
        <f t="shared" si="1068"/>
        <v>0</v>
      </c>
      <c r="L1551" s="8" t="s">
        <v>183</v>
      </c>
      <c r="M1551" s="5" t="s">
        <v>82</v>
      </c>
      <c r="N1551" s="5" t="s">
        <v>82</v>
      </c>
      <c r="O1551" s="83"/>
      <c r="P1551" s="20">
        <v>0.4</v>
      </c>
      <c r="Q1551" s="143">
        <f t="shared" si="1069"/>
        <v>40</v>
      </c>
      <c r="R1551" s="21" t="s">
        <v>1436</v>
      </c>
      <c r="S1551" s="8" t="s">
        <v>246</v>
      </c>
      <c r="T1551" s="7" t="s">
        <v>226</v>
      </c>
    </row>
    <row r="1552" spans="1:20" ht="34">
      <c r="A1552" s="113"/>
      <c r="B1552" s="115" t="s">
        <v>1805</v>
      </c>
      <c r="C1552" s="5"/>
      <c r="D1552" s="5"/>
      <c r="E1552" s="132">
        <f>$O$1533-J1552*($O$1533-$O$1499)</f>
        <v>521</v>
      </c>
      <c r="F1552" s="139">
        <f>$O$1499-P1552*($O$1499-$O$1464)</f>
        <v>512.29999999999995</v>
      </c>
      <c r="G1552" s="149" t="s">
        <v>1807</v>
      </c>
      <c r="H1552" s="82" t="str">
        <f t="shared" si="1066"/>
        <v>0 percent up in Cambrian Stage 3 international stage</v>
      </c>
      <c r="I1552" s="142" t="str">
        <f t="shared" si="1067"/>
        <v>40 percent up in Cambrian Stage 4 international stage</v>
      </c>
      <c r="J1552" s="7">
        <v>0</v>
      </c>
      <c r="K1552" s="129">
        <f t="shared" ref="K1552" si="1165">ROUND(J1552*100,1)</f>
        <v>0</v>
      </c>
      <c r="L1552" s="8" t="s">
        <v>1452</v>
      </c>
      <c r="M1552" s="5"/>
      <c r="O1552" s="83"/>
      <c r="P1552" s="20">
        <v>0.4</v>
      </c>
      <c r="Q1552" s="143">
        <f t="shared" ref="Q1552:Q1553" si="1166">ROUND(P1552*100,1)</f>
        <v>40</v>
      </c>
      <c r="R1552" s="21" t="s">
        <v>1436</v>
      </c>
      <c r="S1552" s="8"/>
    </row>
    <row r="1553" spans="1:20" ht="34">
      <c r="A1553" s="113"/>
      <c r="B1553" s="115" t="s">
        <v>1806</v>
      </c>
      <c r="C1553" s="5"/>
      <c r="D1553" s="5"/>
      <c r="E1553" s="132">
        <f t="shared" ref="E1553:E1565" si="1167">$O$1565-J1553*($O$1565-$O$1543)</f>
        <v>538.79999999999995</v>
      </c>
      <c r="F1553" s="139">
        <f>$O$1543-P1553*($O$1543-$O$1533)</f>
        <v>521</v>
      </c>
      <c r="G1553" s="149" t="s">
        <v>1808</v>
      </c>
      <c r="H1553" s="82" t="str">
        <f t="shared" ref="H1553" si="1168">CONCATENATE(K1553," percent up in ",L1553," international stage")</f>
        <v>0 percent up in Fortunian international stage</v>
      </c>
      <c r="I1553" s="142" t="str">
        <f t="shared" ref="I1553" si="1169">CONCATENATE(Q1553," percent up in ",R1553," international stage")</f>
        <v>100 percent up in Cambrian Stage 2 international stage</v>
      </c>
      <c r="J1553" s="7">
        <v>0</v>
      </c>
      <c r="K1553" s="129">
        <f t="shared" ref="K1553" si="1170">ROUND(J1553*100,1)</f>
        <v>0</v>
      </c>
      <c r="L1553" s="8" t="s">
        <v>183</v>
      </c>
      <c r="M1553" s="5"/>
      <c r="O1553" s="83"/>
      <c r="P1553" s="20">
        <v>1</v>
      </c>
      <c r="Q1553" s="143">
        <f t="shared" si="1166"/>
        <v>100</v>
      </c>
      <c r="R1553" s="21" t="s">
        <v>1462</v>
      </c>
      <c r="S1553" s="8"/>
    </row>
    <row r="1554" spans="1:20" ht="28">
      <c r="A1554" s="113" t="s">
        <v>1361</v>
      </c>
      <c r="B1554" s="115" t="s">
        <v>1476</v>
      </c>
      <c r="C1554" s="5"/>
      <c r="D1554" s="5" t="s">
        <v>82</v>
      </c>
      <c r="E1554" s="132">
        <f t="shared" si="1167"/>
        <v>538.79999999999995</v>
      </c>
      <c r="F1554" s="139">
        <f>$O$1499-P1554*($O$1499-$O$1464)</f>
        <v>512.29999999999995</v>
      </c>
      <c r="G1554" s="149"/>
      <c r="H1554" s="82" t="str">
        <f t="shared" si="1066"/>
        <v>0 percent up in Fortunian international stage</v>
      </c>
      <c r="I1554" s="142" t="str">
        <f t="shared" si="1067"/>
        <v>40 percent up in Cambrian Stage 4 international stage</v>
      </c>
      <c r="J1554" s="7">
        <v>0</v>
      </c>
      <c r="K1554" s="129">
        <f t="shared" si="1068"/>
        <v>0</v>
      </c>
      <c r="L1554" s="8" t="s">
        <v>183</v>
      </c>
      <c r="M1554" s="5" t="s">
        <v>82</v>
      </c>
      <c r="N1554" s="5" t="s">
        <v>82</v>
      </c>
      <c r="O1554" s="83"/>
      <c r="P1554" s="20">
        <v>0.4</v>
      </c>
      <c r="Q1554" s="143">
        <f t="shared" si="1069"/>
        <v>40</v>
      </c>
      <c r="R1554" s="21" t="s">
        <v>1436</v>
      </c>
      <c r="S1554" s="8" t="s">
        <v>246</v>
      </c>
      <c r="T1554" s="7" t="s">
        <v>226</v>
      </c>
    </row>
    <row r="1555" spans="1:20" ht="28">
      <c r="A1555" s="113" t="s">
        <v>1361</v>
      </c>
      <c r="B1555" s="115" t="s">
        <v>1478</v>
      </c>
      <c r="C1555" s="5"/>
      <c r="D1555" s="5" t="s">
        <v>82</v>
      </c>
      <c r="E1555" s="132">
        <f t="shared" si="1167"/>
        <v>538.79999999999995</v>
      </c>
      <c r="F1555" s="139">
        <f>$O$1499-P1555*($O$1499-$O$1464)</f>
        <v>512.29999999999995</v>
      </c>
      <c r="G1555" s="149"/>
      <c r="H1555" s="82" t="str">
        <f t="shared" si="1066"/>
        <v>0 percent up in Fortunian international stage</v>
      </c>
      <c r="I1555" s="142" t="str">
        <f t="shared" si="1067"/>
        <v>40 percent up in Cambrian Stage 4 international stage</v>
      </c>
      <c r="J1555" s="7">
        <v>0</v>
      </c>
      <c r="K1555" s="129">
        <f t="shared" si="1068"/>
        <v>0</v>
      </c>
      <c r="L1555" s="8" t="s">
        <v>183</v>
      </c>
      <c r="M1555" s="5" t="s">
        <v>82</v>
      </c>
      <c r="N1555" s="5" t="s">
        <v>82</v>
      </c>
      <c r="O1555" s="83"/>
      <c r="P1555" s="20">
        <v>0.4</v>
      </c>
      <c r="Q1555" s="143">
        <f t="shared" si="1069"/>
        <v>40</v>
      </c>
      <c r="R1555" s="21" t="s">
        <v>1436</v>
      </c>
      <c r="S1555" s="8" t="s">
        <v>246</v>
      </c>
      <c r="T1555" s="7" t="s">
        <v>226</v>
      </c>
    </row>
    <row r="1556" spans="1:20" ht="28">
      <c r="A1556" s="113" t="s">
        <v>1361</v>
      </c>
      <c r="B1556" s="115" t="s">
        <v>1481</v>
      </c>
      <c r="C1556" s="5"/>
      <c r="D1556" s="5" t="s">
        <v>244</v>
      </c>
      <c r="E1556" s="132">
        <f t="shared" si="1167"/>
        <v>538.79999999999995</v>
      </c>
      <c r="F1556" s="139">
        <f>$O$1499-P1556*($O$1499-$O$1464)</f>
        <v>512.29999999999995</v>
      </c>
      <c r="G1556" s="149"/>
      <c r="H1556" s="82" t="str">
        <f t="shared" si="1066"/>
        <v>0 percent up in Fortunian international stage</v>
      </c>
      <c r="I1556" s="142" t="str">
        <f t="shared" si="1067"/>
        <v>40 percent up in Cambrian Stage 4 international stage</v>
      </c>
      <c r="J1556" s="7">
        <v>0</v>
      </c>
      <c r="K1556" s="129">
        <f t="shared" si="1068"/>
        <v>0</v>
      </c>
      <c r="L1556" s="8" t="s">
        <v>183</v>
      </c>
      <c r="M1556" s="5" t="s">
        <v>82</v>
      </c>
      <c r="N1556" s="5" t="s">
        <v>82</v>
      </c>
      <c r="O1556" s="83"/>
      <c r="P1556" s="20">
        <v>0.4</v>
      </c>
      <c r="Q1556" s="143">
        <f t="shared" si="1069"/>
        <v>40</v>
      </c>
      <c r="R1556" s="21" t="s">
        <v>1436</v>
      </c>
      <c r="S1556" s="8" t="s">
        <v>246</v>
      </c>
      <c r="T1556" s="7" t="s">
        <v>226</v>
      </c>
    </row>
    <row r="1557" spans="1:20" ht="28">
      <c r="A1557" s="113" t="s">
        <v>1361</v>
      </c>
      <c r="B1557" s="115" t="s">
        <v>1482</v>
      </c>
      <c r="C1557" s="5"/>
      <c r="D1557" s="5" t="s">
        <v>961</v>
      </c>
      <c r="E1557" s="132">
        <f t="shared" si="1167"/>
        <v>538.79999999999995</v>
      </c>
      <c r="F1557" s="139">
        <f>$O$1543-P1557*($O$1543-$O$1533)</f>
        <v>525</v>
      </c>
      <c r="G1557" s="149" t="s">
        <v>1941</v>
      </c>
      <c r="H1557" s="82" t="str">
        <f t="shared" si="1066"/>
        <v>0 percent up in Fortunian international stage</v>
      </c>
      <c r="I1557" s="142" t="str">
        <f t="shared" si="1067"/>
        <v>50 percent up in Cambrian Stage 2 international stage</v>
      </c>
      <c r="J1557" s="7">
        <v>0</v>
      </c>
      <c r="K1557" s="129">
        <f t="shared" si="1068"/>
        <v>0</v>
      </c>
      <c r="L1557" s="8" t="s">
        <v>183</v>
      </c>
      <c r="M1557" s="5" t="s">
        <v>82</v>
      </c>
      <c r="N1557" s="5" t="s">
        <v>82</v>
      </c>
      <c r="O1557" s="83"/>
      <c r="P1557" s="20">
        <v>0.5</v>
      </c>
      <c r="Q1557" s="143">
        <f>ROUND(P1557*100,1)</f>
        <v>50</v>
      </c>
      <c r="R1557" s="21" t="s">
        <v>1462</v>
      </c>
      <c r="S1557" s="8" t="s">
        <v>230</v>
      </c>
      <c r="T1557" s="7" t="s">
        <v>226</v>
      </c>
    </row>
    <row r="1558" spans="1:20" ht="28">
      <c r="A1558" s="113" t="s">
        <v>1361</v>
      </c>
      <c r="B1558" s="115" t="s">
        <v>1483</v>
      </c>
      <c r="C1558" s="5"/>
      <c r="D1558" s="5" t="s">
        <v>270</v>
      </c>
      <c r="E1558" s="132">
        <f t="shared" si="1167"/>
        <v>538.79999999999995</v>
      </c>
      <c r="F1558" s="139">
        <f>$O$1565-P1558*($O$1565-$O$1543)</f>
        <v>533.19999999999993</v>
      </c>
      <c r="G1558" s="149"/>
      <c r="H1558" s="82" t="str">
        <f t="shared" si="1066"/>
        <v>0 percent up in Fortunian international stage</v>
      </c>
      <c r="I1558" s="142" t="str">
        <f t="shared" si="1067"/>
        <v>57.1 percent up in Fortunian international stage</v>
      </c>
      <c r="J1558" s="7">
        <v>0</v>
      </c>
      <c r="K1558" s="129">
        <f t="shared" si="1068"/>
        <v>0</v>
      </c>
      <c r="L1558" s="8" t="s">
        <v>183</v>
      </c>
      <c r="M1558" s="5" t="s">
        <v>82</v>
      </c>
      <c r="N1558" s="5" t="s">
        <v>82</v>
      </c>
      <c r="O1558" s="83"/>
      <c r="P1558" s="20">
        <v>0.5714285714285714</v>
      </c>
      <c r="Q1558" s="143">
        <f t="shared" si="1069"/>
        <v>57.1</v>
      </c>
      <c r="R1558" s="21" t="s">
        <v>183</v>
      </c>
      <c r="S1558" s="8" t="s">
        <v>230</v>
      </c>
      <c r="T1558" s="7" t="s">
        <v>226</v>
      </c>
    </row>
    <row r="1559" spans="1:20" ht="28">
      <c r="A1559" s="113" t="s">
        <v>1361</v>
      </c>
      <c r="B1559" s="114" t="s">
        <v>1484</v>
      </c>
      <c r="C1559" s="5"/>
      <c r="D1559" s="5" t="s">
        <v>1401</v>
      </c>
      <c r="E1559" s="132">
        <f t="shared" si="1167"/>
        <v>538.79999999999995</v>
      </c>
      <c r="F1559" s="139">
        <f>$O$1533-P1559*($O$1533-$O$1499)</f>
        <v>516.66666666666663</v>
      </c>
      <c r="G1559" s="149"/>
      <c r="H1559" s="82" t="str">
        <f t="shared" si="1066"/>
        <v>0 percent up in Fortunian international stage</v>
      </c>
      <c r="I1559" s="142" t="str">
        <f t="shared" si="1067"/>
        <v>66.7 percent up in Cambrian Stage 3 international stage</v>
      </c>
      <c r="J1559" s="7">
        <v>0</v>
      </c>
      <c r="K1559" s="129">
        <f t="shared" si="1068"/>
        <v>0</v>
      </c>
      <c r="L1559" s="8" t="s">
        <v>183</v>
      </c>
      <c r="M1559" s="5" t="s">
        <v>82</v>
      </c>
      <c r="N1559" s="5" t="s">
        <v>82</v>
      </c>
      <c r="O1559" s="83"/>
      <c r="P1559" s="20">
        <v>0.66666666666666663</v>
      </c>
      <c r="Q1559" s="143">
        <f t="shared" si="1069"/>
        <v>66.7</v>
      </c>
      <c r="R1559" s="21" t="s">
        <v>1452</v>
      </c>
      <c r="S1559" s="8" t="s">
        <v>246</v>
      </c>
      <c r="T1559" s="7" t="s">
        <v>226</v>
      </c>
    </row>
    <row r="1560" spans="1:20" ht="42">
      <c r="A1560" s="113" t="s">
        <v>1361</v>
      </c>
      <c r="B1560" s="122" t="s">
        <v>1485</v>
      </c>
      <c r="C1560" s="5"/>
      <c r="D1560" s="5" t="s">
        <v>82</v>
      </c>
      <c r="E1560" s="132">
        <f t="shared" si="1167"/>
        <v>538.79999999999995</v>
      </c>
      <c r="F1560" s="139">
        <f>$O$733-P1560*($O$733-$O$724)</f>
        <v>251.9</v>
      </c>
      <c r="G1560" s="149"/>
      <c r="H1560" s="82" t="str">
        <f t="shared" si="1066"/>
        <v>0 percent up in Fortunian international stage</v>
      </c>
      <c r="I1560" s="142" t="str">
        <f t="shared" si="1067"/>
        <v>100 percent up in Changhsingian international stage</v>
      </c>
      <c r="J1560" s="7">
        <v>0</v>
      </c>
      <c r="K1560" s="129">
        <f t="shared" si="1068"/>
        <v>0</v>
      </c>
      <c r="L1560" s="8" t="s">
        <v>183</v>
      </c>
      <c r="M1560" s="5" t="s">
        <v>82</v>
      </c>
      <c r="N1560" s="5" t="s">
        <v>82</v>
      </c>
      <c r="O1560" s="83"/>
      <c r="P1560" s="20">
        <v>1</v>
      </c>
      <c r="Q1560" s="143">
        <f t="shared" si="1069"/>
        <v>100</v>
      </c>
      <c r="R1560" s="21" t="s">
        <v>107</v>
      </c>
      <c r="S1560" s="8" t="s">
        <v>232</v>
      </c>
      <c r="T1560" s="7" t="s">
        <v>226</v>
      </c>
    </row>
    <row r="1561" spans="1:20" ht="28">
      <c r="A1561" s="113" t="s">
        <v>1361</v>
      </c>
      <c r="B1561" s="115" t="s">
        <v>183</v>
      </c>
      <c r="C1561" s="135"/>
      <c r="D1561" s="135" t="s">
        <v>222</v>
      </c>
      <c r="E1561" s="132">
        <f t="shared" si="1167"/>
        <v>538.79999999999995</v>
      </c>
      <c r="F1561" s="139">
        <f>$O$1565-P1561*($O$1565-$O$1543)</f>
        <v>529</v>
      </c>
      <c r="G1561" s="149"/>
      <c r="H1561" s="82" t="str">
        <f t="shared" si="1066"/>
        <v>0 percent up in Fortunian international stage</v>
      </c>
      <c r="I1561" s="142" t="str">
        <f t="shared" si="1067"/>
        <v>100 percent up in Fortunian international stage</v>
      </c>
      <c r="J1561" s="7">
        <v>0</v>
      </c>
      <c r="K1561" s="129">
        <f t="shared" si="1068"/>
        <v>0</v>
      </c>
      <c r="L1561" s="8" t="s">
        <v>183</v>
      </c>
      <c r="M1561" s="5" t="s">
        <v>224</v>
      </c>
      <c r="N1561" s="5" t="s">
        <v>1486</v>
      </c>
      <c r="O1561" s="83">
        <f>Master_Chronostrat!I162</f>
        <v>538.79999999999995</v>
      </c>
      <c r="P1561" s="20">
        <v>1</v>
      </c>
      <c r="Q1561" s="143">
        <f t="shared" si="1069"/>
        <v>100</v>
      </c>
      <c r="R1561" s="21" t="s">
        <v>183</v>
      </c>
      <c r="S1561" s="8" t="s">
        <v>224</v>
      </c>
      <c r="T1561" s="7" t="s">
        <v>226</v>
      </c>
    </row>
    <row r="1562" spans="1:20" ht="28">
      <c r="A1562" s="113" t="s">
        <v>1361</v>
      </c>
      <c r="B1562" s="115" t="s">
        <v>182</v>
      </c>
      <c r="C1562" s="135"/>
      <c r="D1562" s="135" t="s">
        <v>222</v>
      </c>
      <c r="E1562" s="132">
        <f t="shared" si="1167"/>
        <v>538.79999999999995</v>
      </c>
      <c r="F1562" s="139">
        <f>$O$1543-P1562*($O$1543-$O$1533)</f>
        <v>521</v>
      </c>
      <c r="G1562" s="149"/>
      <c r="H1562" s="82" t="str">
        <f t="shared" si="1066"/>
        <v>0 percent up in Fortunian international stage</v>
      </c>
      <c r="I1562" s="142" t="str">
        <f t="shared" si="1067"/>
        <v>100 percent up in Cambrian Stage 2 international stage</v>
      </c>
      <c r="J1562" s="7">
        <v>0</v>
      </c>
      <c r="K1562" s="129">
        <f t="shared" si="1068"/>
        <v>0</v>
      </c>
      <c r="L1562" s="8" t="s">
        <v>183</v>
      </c>
      <c r="M1562" s="5" t="s">
        <v>224</v>
      </c>
      <c r="N1562" s="5" t="s">
        <v>1487</v>
      </c>
      <c r="O1562" s="83">
        <f>Master_Chronostrat!I162</f>
        <v>538.79999999999995</v>
      </c>
      <c r="P1562" s="20">
        <v>1</v>
      </c>
      <c r="Q1562" s="143">
        <f t="shared" si="1069"/>
        <v>100</v>
      </c>
      <c r="R1562" s="21" t="s">
        <v>1462</v>
      </c>
      <c r="S1562" s="8" t="s">
        <v>239</v>
      </c>
      <c r="T1562" s="7" t="s">
        <v>226</v>
      </c>
    </row>
    <row r="1563" spans="1:20" ht="28">
      <c r="A1563" s="113" t="s">
        <v>1361</v>
      </c>
      <c r="B1563" s="115" t="s">
        <v>181</v>
      </c>
      <c r="C1563" s="135"/>
      <c r="D1563" s="135" t="s">
        <v>222</v>
      </c>
      <c r="E1563" s="132">
        <f t="shared" si="1167"/>
        <v>538.79999999999995</v>
      </c>
      <c r="F1563" s="139">
        <f>$O$1381-P1563*($O$1381-$O$1371)</f>
        <v>486.85</v>
      </c>
      <c r="G1563" s="149"/>
      <c r="H1563" s="82" t="str">
        <f t="shared" si="1066"/>
        <v>0 percent up in Fortunian international stage</v>
      </c>
      <c r="I1563" s="142" t="str">
        <f t="shared" si="1067"/>
        <v>100 percent up in Cambrian Stage 10 international stage</v>
      </c>
      <c r="J1563" s="7">
        <v>0</v>
      </c>
      <c r="K1563" s="129">
        <f t="shared" si="1068"/>
        <v>0</v>
      </c>
      <c r="L1563" s="8" t="s">
        <v>183</v>
      </c>
      <c r="M1563" s="5" t="s">
        <v>224</v>
      </c>
      <c r="N1563" s="5" t="s">
        <v>1488</v>
      </c>
      <c r="O1563" s="83">
        <f>Master_Chronostrat!I162</f>
        <v>538.79999999999995</v>
      </c>
      <c r="P1563" s="20">
        <v>1</v>
      </c>
      <c r="Q1563" s="143">
        <f t="shared" si="1069"/>
        <v>100</v>
      </c>
      <c r="R1563" s="21" t="s">
        <v>1363</v>
      </c>
      <c r="S1563" s="8" t="s">
        <v>239</v>
      </c>
      <c r="T1563" s="7" t="s">
        <v>226</v>
      </c>
    </row>
    <row r="1564" spans="1:20" ht="42">
      <c r="A1564" s="113" t="s">
        <v>1361</v>
      </c>
      <c r="B1564" s="122" t="s">
        <v>180</v>
      </c>
      <c r="C1564" s="135"/>
      <c r="D1564" s="135" t="s">
        <v>222</v>
      </c>
      <c r="E1564" s="132">
        <f t="shared" si="1167"/>
        <v>538.79999999999995</v>
      </c>
      <c r="F1564" s="139">
        <f>$O$733-P1564*($O$733-$O$724)</f>
        <v>251.9</v>
      </c>
      <c r="G1564" s="149"/>
      <c r="H1564" s="82" t="str">
        <f t="shared" si="1066"/>
        <v>0 percent up in Fortunian international stage</v>
      </c>
      <c r="I1564" s="142" t="str">
        <f t="shared" si="1067"/>
        <v>100 percent up in Changhsingian international stage</v>
      </c>
      <c r="J1564" s="7">
        <v>0</v>
      </c>
      <c r="K1564" s="129">
        <f t="shared" si="1068"/>
        <v>0</v>
      </c>
      <c r="L1564" s="8" t="s">
        <v>183</v>
      </c>
      <c r="M1564" s="5" t="s">
        <v>224</v>
      </c>
      <c r="N1564" s="5" t="s">
        <v>1489</v>
      </c>
      <c r="O1564" s="83">
        <f>Master_Chronostrat!I162</f>
        <v>538.79999999999995</v>
      </c>
      <c r="P1564" s="20">
        <v>1</v>
      </c>
      <c r="Q1564" s="143">
        <f t="shared" si="1069"/>
        <v>100</v>
      </c>
      <c r="R1564" s="21" t="s">
        <v>107</v>
      </c>
      <c r="S1564" s="8" t="s">
        <v>239</v>
      </c>
      <c r="T1564" s="7" t="s">
        <v>226</v>
      </c>
    </row>
    <row r="1565" spans="1:20" ht="28">
      <c r="A1565" s="113" t="s">
        <v>1361</v>
      </c>
      <c r="B1565" s="123" t="s">
        <v>179</v>
      </c>
      <c r="C1565" s="135"/>
      <c r="D1565" s="135" t="s">
        <v>222</v>
      </c>
      <c r="E1565" s="132">
        <f t="shared" si="1167"/>
        <v>538.79999999999995</v>
      </c>
      <c r="F1565" s="139">
        <f>$O$4-P1565*($O$4-$O$3)</f>
        <v>0</v>
      </c>
      <c r="G1565" s="149"/>
      <c r="H1565" s="82" t="str">
        <f t="shared" si="1066"/>
        <v>0 percent up in Fortunian international stage</v>
      </c>
      <c r="I1565" s="142" t="str">
        <f t="shared" si="1067"/>
        <v>100 percent up in Meghalayan international stage</v>
      </c>
      <c r="J1565" s="7">
        <v>0</v>
      </c>
      <c r="K1565" s="129">
        <f t="shared" si="1068"/>
        <v>0</v>
      </c>
      <c r="L1565" s="8" t="s">
        <v>183</v>
      </c>
      <c r="M1565" s="5" t="s">
        <v>224</v>
      </c>
      <c r="N1565" s="5" t="s">
        <v>1490</v>
      </c>
      <c r="O1565" s="83">
        <f>Master_Chronostrat!I162</f>
        <v>538.79999999999995</v>
      </c>
      <c r="P1565" s="20">
        <v>1</v>
      </c>
      <c r="Q1565" s="143">
        <f t="shared" si="1069"/>
        <v>100</v>
      </c>
      <c r="R1565" s="21" t="s">
        <v>13</v>
      </c>
      <c r="S1565" s="8" t="s">
        <v>239</v>
      </c>
      <c r="T1565" s="7" t="s">
        <v>226</v>
      </c>
    </row>
    <row r="1566" spans="1:20" ht="28">
      <c r="A1566" s="10" t="s">
        <v>1491</v>
      </c>
      <c r="B1566" s="14" t="s">
        <v>1492</v>
      </c>
      <c r="C1566" s="5"/>
      <c r="D1566" s="5" t="s">
        <v>82</v>
      </c>
      <c r="E1566" s="132">
        <f t="shared" ref="E1566:E1572" si="1171">$O$1572-J1566*($O$1572-$O$1565)</f>
        <v>569.40909090909088</v>
      </c>
      <c r="F1566" s="139">
        <f t="shared" ref="F1566:F1572" si="1172">$O$1572-P1566*($O$1572-$O$1565)</f>
        <v>538.79999999999995</v>
      </c>
      <c r="G1566" s="149"/>
      <c r="H1566" s="82" t="str">
        <f t="shared" si="1066"/>
        <v>68.2 percent up in Ediacaran international stage</v>
      </c>
      <c r="I1566" s="142" t="str">
        <f t="shared" si="1067"/>
        <v>100 percent up in Ediacaran international stage</v>
      </c>
      <c r="J1566" s="7">
        <v>0.68181818181818188</v>
      </c>
      <c r="K1566" s="129">
        <f t="shared" si="1068"/>
        <v>68.2</v>
      </c>
      <c r="L1566" s="82" t="s">
        <v>184</v>
      </c>
      <c r="M1566" s="5" t="s">
        <v>82</v>
      </c>
      <c r="N1566" s="5" t="s">
        <v>82</v>
      </c>
      <c r="O1566" s="83"/>
      <c r="P1566" s="20">
        <v>1</v>
      </c>
      <c r="Q1566" s="143">
        <f t="shared" si="1069"/>
        <v>100</v>
      </c>
      <c r="R1566" s="21" t="s">
        <v>184</v>
      </c>
      <c r="S1566" s="8" t="s">
        <v>272</v>
      </c>
      <c r="T1566" s="7" t="s">
        <v>226</v>
      </c>
    </row>
    <row r="1567" spans="1:20" ht="28">
      <c r="A1567" s="10" t="s">
        <v>1491</v>
      </c>
      <c r="B1567" s="14" t="s">
        <v>1493</v>
      </c>
      <c r="C1567" s="5"/>
      <c r="D1567" s="5" t="s">
        <v>82</v>
      </c>
      <c r="E1567" s="132">
        <f t="shared" si="1171"/>
        <v>602.2045454545455</v>
      </c>
      <c r="F1567" s="139">
        <f t="shared" si="1172"/>
        <v>538.79999999999995</v>
      </c>
      <c r="G1567" s="149"/>
      <c r="H1567" s="82" t="str">
        <f t="shared" si="1066"/>
        <v>34.1 percent up in Ediacaran international stage</v>
      </c>
      <c r="I1567" s="142" t="str">
        <f t="shared" si="1067"/>
        <v>100 percent up in Ediacaran international stage</v>
      </c>
      <c r="J1567" s="7">
        <v>0.34090909090909094</v>
      </c>
      <c r="K1567" s="129">
        <f t="shared" si="1068"/>
        <v>34.1</v>
      </c>
      <c r="L1567" s="82" t="s">
        <v>184</v>
      </c>
      <c r="M1567" s="5" t="s">
        <v>82</v>
      </c>
      <c r="N1567" s="5" t="s">
        <v>82</v>
      </c>
      <c r="O1567" s="83"/>
      <c r="P1567" s="20">
        <v>1</v>
      </c>
      <c r="Q1567" s="143">
        <f t="shared" si="1069"/>
        <v>100</v>
      </c>
      <c r="R1567" s="21" t="s">
        <v>184</v>
      </c>
      <c r="S1567" s="8" t="s">
        <v>272</v>
      </c>
      <c r="T1567" s="7" t="s">
        <v>226</v>
      </c>
    </row>
    <row r="1568" spans="1:20" ht="28">
      <c r="A1568" s="10" t="s">
        <v>1491</v>
      </c>
      <c r="B1568" s="14" t="s">
        <v>1494</v>
      </c>
      <c r="C1568" s="5"/>
      <c r="D1568" s="5" t="s">
        <v>82</v>
      </c>
      <c r="E1568" s="132">
        <f t="shared" si="1171"/>
        <v>635</v>
      </c>
      <c r="F1568" s="139">
        <f t="shared" si="1172"/>
        <v>538.79999999999995</v>
      </c>
      <c r="G1568" s="149"/>
      <c r="H1568" s="82" t="str">
        <f t="shared" si="1066"/>
        <v>0 percent up in Ediacaran international stage</v>
      </c>
      <c r="I1568" s="142" t="str">
        <f t="shared" si="1067"/>
        <v>100 percent up in Ediacaran international stage</v>
      </c>
      <c r="J1568" s="7">
        <v>0</v>
      </c>
      <c r="K1568" s="129">
        <f t="shared" si="1068"/>
        <v>0</v>
      </c>
      <c r="L1568" s="82" t="s">
        <v>184</v>
      </c>
      <c r="M1568" s="5" t="s">
        <v>82</v>
      </c>
      <c r="N1568" s="5" t="s">
        <v>82</v>
      </c>
      <c r="O1568" s="83"/>
      <c r="P1568" s="20">
        <v>1</v>
      </c>
      <c r="Q1568" s="143">
        <f t="shared" si="1069"/>
        <v>100</v>
      </c>
      <c r="R1568" s="21" t="s">
        <v>184</v>
      </c>
      <c r="S1568" s="8" t="s">
        <v>232</v>
      </c>
      <c r="T1568" s="7" t="s">
        <v>226</v>
      </c>
    </row>
    <row r="1569" spans="1:20" ht="28">
      <c r="A1569" s="10" t="s">
        <v>1491</v>
      </c>
      <c r="B1569" s="14" t="s">
        <v>1495</v>
      </c>
      <c r="C1569" s="5"/>
      <c r="D1569" s="5" t="s">
        <v>82</v>
      </c>
      <c r="E1569" s="132">
        <f t="shared" si="1171"/>
        <v>635</v>
      </c>
      <c r="F1569" s="139">
        <f t="shared" si="1172"/>
        <v>538.79999999999995</v>
      </c>
      <c r="G1569" s="149"/>
      <c r="H1569" s="82" t="str">
        <f t="shared" si="1066"/>
        <v>0 percent up in Ediacaran international stage</v>
      </c>
      <c r="I1569" s="142" t="str">
        <f t="shared" si="1067"/>
        <v>100 percent up in Ediacaran international stage</v>
      </c>
      <c r="J1569" s="7">
        <v>0</v>
      </c>
      <c r="K1569" s="129">
        <f t="shared" si="1068"/>
        <v>0</v>
      </c>
      <c r="L1569" s="82" t="s">
        <v>184</v>
      </c>
      <c r="M1569" s="5" t="s">
        <v>82</v>
      </c>
      <c r="N1569" s="5" t="s">
        <v>82</v>
      </c>
      <c r="O1569" s="83"/>
      <c r="P1569" s="20">
        <v>1</v>
      </c>
      <c r="Q1569" s="143">
        <f t="shared" si="1069"/>
        <v>100</v>
      </c>
      <c r="R1569" s="21" t="s">
        <v>184</v>
      </c>
      <c r="S1569" s="8" t="s">
        <v>232</v>
      </c>
      <c r="T1569" s="7" t="s">
        <v>226</v>
      </c>
    </row>
    <row r="1570" spans="1:20" ht="28">
      <c r="A1570" s="10" t="s">
        <v>1491</v>
      </c>
      <c r="B1570" s="14" t="s">
        <v>1496</v>
      </c>
      <c r="C1570" s="5"/>
      <c r="D1570" s="5" t="s">
        <v>82</v>
      </c>
      <c r="E1570" s="132">
        <f t="shared" si="1171"/>
        <v>635</v>
      </c>
      <c r="F1570" s="139">
        <f t="shared" si="1172"/>
        <v>569.40909090909088</v>
      </c>
      <c r="G1570" s="149"/>
      <c r="H1570" s="82" t="str">
        <f t="shared" si="1066"/>
        <v>0 percent up in Ediacaran international stage</v>
      </c>
      <c r="I1570" s="142" t="str">
        <f t="shared" si="1067"/>
        <v>68.2 percent up in Ediacaran international stage</v>
      </c>
      <c r="J1570" s="7">
        <v>0</v>
      </c>
      <c r="K1570" s="129">
        <f t="shared" si="1068"/>
        <v>0</v>
      </c>
      <c r="L1570" s="82" t="s">
        <v>184</v>
      </c>
      <c r="M1570" s="5" t="s">
        <v>82</v>
      </c>
      <c r="N1570" s="5" t="s">
        <v>82</v>
      </c>
      <c r="O1570" s="83"/>
      <c r="P1570" s="20">
        <v>0.68181818181818177</v>
      </c>
      <c r="Q1570" s="143">
        <f t="shared" si="1069"/>
        <v>68.2</v>
      </c>
      <c r="R1570" s="21" t="s">
        <v>184</v>
      </c>
      <c r="S1570" s="8" t="s">
        <v>230</v>
      </c>
      <c r="T1570" s="7" t="s">
        <v>226</v>
      </c>
    </row>
    <row r="1571" spans="1:20" ht="28">
      <c r="A1571" s="10" t="s">
        <v>1491</v>
      </c>
      <c r="B1571" s="14" t="s">
        <v>1497</v>
      </c>
      <c r="C1571" s="5"/>
      <c r="D1571" s="5" t="s">
        <v>82</v>
      </c>
      <c r="E1571" s="132">
        <f t="shared" si="1171"/>
        <v>635</v>
      </c>
      <c r="F1571" s="139">
        <f t="shared" si="1172"/>
        <v>569.40909090909088</v>
      </c>
      <c r="G1571" s="149"/>
      <c r="H1571" s="82" t="str">
        <f t="shared" si="1066"/>
        <v>0 percent up in Ediacaran international stage</v>
      </c>
      <c r="I1571" s="142" t="str">
        <f t="shared" si="1067"/>
        <v>68.2 percent up in Ediacaran international stage</v>
      </c>
      <c r="J1571" s="7">
        <v>0</v>
      </c>
      <c r="K1571" s="129">
        <f t="shared" si="1068"/>
        <v>0</v>
      </c>
      <c r="L1571" s="82" t="s">
        <v>184</v>
      </c>
      <c r="M1571" s="5" t="s">
        <v>82</v>
      </c>
      <c r="N1571" s="5" t="s">
        <v>82</v>
      </c>
      <c r="O1571" s="83"/>
      <c r="P1571" s="20">
        <v>0.68181818181818177</v>
      </c>
      <c r="Q1571" s="143">
        <f t="shared" si="1069"/>
        <v>68.2</v>
      </c>
      <c r="R1571" s="21" t="s">
        <v>184</v>
      </c>
      <c r="S1571" s="8" t="s">
        <v>230</v>
      </c>
      <c r="T1571" s="7" t="s">
        <v>226</v>
      </c>
    </row>
    <row r="1572" spans="1:20" ht="28">
      <c r="A1572" s="10" t="s">
        <v>1491</v>
      </c>
      <c r="B1572" s="14" t="s">
        <v>184</v>
      </c>
      <c r="C1572" s="135"/>
      <c r="D1572" s="135" t="s">
        <v>222</v>
      </c>
      <c r="E1572" s="132">
        <f t="shared" si="1171"/>
        <v>635</v>
      </c>
      <c r="F1572" s="139">
        <f t="shared" si="1172"/>
        <v>538.79999999999995</v>
      </c>
      <c r="G1572" s="149"/>
      <c r="H1572" s="82" t="str">
        <f t="shared" si="1066"/>
        <v>0 percent up in Ediacaran international stage</v>
      </c>
      <c r="I1572" s="142" t="str">
        <f t="shared" si="1067"/>
        <v>100 percent up in Ediacaran international stage</v>
      </c>
      <c r="J1572" s="7">
        <v>0</v>
      </c>
      <c r="K1572" s="129">
        <f t="shared" si="1068"/>
        <v>0</v>
      </c>
      <c r="L1572" s="82" t="s">
        <v>184</v>
      </c>
      <c r="M1572" s="5" t="s">
        <v>224</v>
      </c>
      <c r="N1572" s="5" t="s">
        <v>1498</v>
      </c>
      <c r="O1572" s="125">
        <f>Master_Chronostrat!I163</f>
        <v>635</v>
      </c>
      <c r="P1572" s="20">
        <v>1</v>
      </c>
      <c r="Q1572" s="143">
        <f t="shared" si="1069"/>
        <v>100</v>
      </c>
      <c r="R1572" s="21" t="s">
        <v>184</v>
      </c>
      <c r="S1572" s="8" t="s">
        <v>224</v>
      </c>
      <c r="T1572" s="7" t="s">
        <v>226</v>
      </c>
    </row>
    <row r="1573" spans="1:20" ht="28">
      <c r="A1573" s="10" t="s">
        <v>1491</v>
      </c>
      <c r="B1573" s="14" t="s">
        <v>1499</v>
      </c>
      <c r="C1573" s="5"/>
      <c r="D1573" s="5" t="s">
        <v>82</v>
      </c>
      <c r="E1573" s="132">
        <f t="shared" ref="E1573:E1583" si="1173">$O$1583-J1573*($O$1583-$O$1572)</f>
        <v>638.86363636363637</v>
      </c>
      <c r="F1573" s="139">
        <f>$O$1583-P1573*($O$1583-$O$1572)</f>
        <v>635</v>
      </c>
      <c r="G1573" s="149"/>
      <c r="H1573" s="82" t="str">
        <f t="shared" si="1066"/>
        <v>95.5 percent up in Cryogenian international stage</v>
      </c>
      <c r="I1573" s="142" t="str">
        <f t="shared" si="1067"/>
        <v>100 percent up in Cryogenian international stage</v>
      </c>
      <c r="J1573" s="7">
        <v>0.95454545454545459</v>
      </c>
      <c r="K1573" s="129">
        <f t="shared" si="1068"/>
        <v>95.5</v>
      </c>
      <c r="L1573" s="8" t="s">
        <v>185</v>
      </c>
      <c r="M1573" s="5" t="s">
        <v>82</v>
      </c>
      <c r="N1573" s="5" t="s">
        <v>82</v>
      </c>
      <c r="O1573" s="83"/>
      <c r="P1573" s="20">
        <v>1</v>
      </c>
      <c r="Q1573" s="143">
        <f t="shared" si="1069"/>
        <v>100</v>
      </c>
      <c r="R1573" s="21" t="s">
        <v>185</v>
      </c>
      <c r="S1573" s="8" t="s">
        <v>272</v>
      </c>
      <c r="T1573" s="7" t="s">
        <v>226</v>
      </c>
    </row>
    <row r="1574" spans="1:20" ht="28">
      <c r="A1574" s="10" t="s">
        <v>1491</v>
      </c>
      <c r="B1574" s="14" t="s">
        <v>1500</v>
      </c>
      <c r="C1574" s="5"/>
      <c r="D1574" s="5" t="s">
        <v>82</v>
      </c>
      <c r="E1574" s="132">
        <f t="shared" si="1173"/>
        <v>642.72727272727275</v>
      </c>
      <c r="F1574" s="139">
        <f>$O$1583-P1574*($O$1583-$O$1572)</f>
        <v>638.86363636363637</v>
      </c>
      <c r="G1574" s="149"/>
      <c r="H1574" s="82" t="str">
        <f t="shared" si="1066"/>
        <v>90.9 percent up in Cryogenian international stage</v>
      </c>
      <c r="I1574" s="142" t="str">
        <f t="shared" si="1067"/>
        <v>95.5 percent up in Cryogenian international stage</v>
      </c>
      <c r="J1574" s="7">
        <v>0.90909090909090906</v>
      </c>
      <c r="K1574" s="129">
        <f t="shared" si="1068"/>
        <v>90.9</v>
      </c>
      <c r="L1574" s="8" t="s">
        <v>185</v>
      </c>
      <c r="M1574" s="5" t="s">
        <v>82</v>
      </c>
      <c r="N1574" s="5" t="s">
        <v>82</v>
      </c>
      <c r="O1574" s="83"/>
      <c r="P1574" s="20">
        <v>0.95454545454545459</v>
      </c>
      <c r="Q1574" s="143">
        <f t="shared" si="1069"/>
        <v>95.5</v>
      </c>
      <c r="R1574" s="21" t="s">
        <v>185</v>
      </c>
      <c r="S1574" s="8" t="s">
        <v>259</v>
      </c>
      <c r="T1574" s="7">
        <v>4.5454545454545574E-2</v>
      </c>
    </row>
    <row r="1575" spans="1:20" ht="28">
      <c r="A1575" s="10" t="s">
        <v>1491</v>
      </c>
      <c r="B1575" s="14" t="s">
        <v>1501</v>
      </c>
      <c r="C1575" s="5"/>
      <c r="D1575" s="5" t="s">
        <v>82</v>
      </c>
      <c r="E1575" s="132">
        <f t="shared" si="1173"/>
        <v>642.72727272727275</v>
      </c>
      <c r="F1575" s="139">
        <f>$O$1583-P1575*($O$1583-$O$1572)</f>
        <v>635</v>
      </c>
      <c r="G1575" s="149"/>
      <c r="H1575" s="82" t="str">
        <f t="shared" si="1066"/>
        <v>90.9 percent up in Cryogenian international stage</v>
      </c>
      <c r="I1575" s="142" t="str">
        <f t="shared" si="1067"/>
        <v>100 percent up in Cryogenian international stage</v>
      </c>
      <c r="J1575" s="7">
        <v>0.90909090909090906</v>
      </c>
      <c r="K1575" s="129">
        <f t="shared" si="1068"/>
        <v>90.9</v>
      </c>
      <c r="L1575" s="8" t="s">
        <v>185</v>
      </c>
      <c r="M1575" s="5" t="s">
        <v>82</v>
      </c>
      <c r="N1575" s="5" t="s">
        <v>82</v>
      </c>
      <c r="O1575" s="83"/>
      <c r="P1575" s="20">
        <v>1</v>
      </c>
      <c r="Q1575" s="143">
        <f t="shared" si="1069"/>
        <v>100</v>
      </c>
      <c r="R1575" s="21" t="s">
        <v>185</v>
      </c>
      <c r="S1575" s="8" t="s">
        <v>272</v>
      </c>
      <c r="T1575" s="7" t="s">
        <v>226</v>
      </c>
    </row>
    <row r="1576" spans="1:20" ht="28">
      <c r="A1576" s="10" t="s">
        <v>1491</v>
      </c>
      <c r="B1576" s="14" t="s">
        <v>1502</v>
      </c>
      <c r="C1576" s="5"/>
      <c r="D1576" s="5" t="s">
        <v>82</v>
      </c>
      <c r="E1576" s="132">
        <f t="shared" si="1173"/>
        <v>642.72727272727275</v>
      </c>
      <c r="F1576" s="139">
        <f>$O$1583-P1576*($O$1583-$O$1572)</f>
        <v>635</v>
      </c>
      <c r="G1576" s="149"/>
      <c r="H1576" s="82" t="str">
        <f t="shared" si="1066"/>
        <v>90.9 percent up in Cryogenian international stage</v>
      </c>
      <c r="I1576" s="142" t="str">
        <f t="shared" si="1067"/>
        <v>100 percent up in Cryogenian international stage</v>
      </c>
      <c r="J1576" s="7">
        <v>0.90909090909090906</v>
      </c>
      <c r="K1576" s="129">
        <f t="shared" si="1068"/>
        <v>90.9</v>
      </c>
      <c r="L1576" s="8" t="s">
        <v>185</v>
      </c>
      <c r="M1576" s="5" t="s">
        <v>82</v>
      </c>
      <c r="N1576" s="5" t="s">
        <v>82</v>
      </c>
      <c r="O1576" s="83"/>
      <c r="P1576" s="20">
        <v>1</v>
      </c>
      <c r="Q1576" s="143">
        <f t="shared" si="1069"/>
        <v>100</v>
      </c>
      <c r="R1576" s="21" t="s">
        <v>185</v>
      </c>
      <c r="S1576" s="8" t="s">
        <v>272</v>
      </c>
      <c r="T1576" s="7" t="s">
        <v>226</v>
      </c>
    </row>
    <row r="1577" spans="1:20" ht="28">
      <c r="A1577" s="10" t="s">
        <v>1491</v>
      </c>
      <c r="B1577" s="14" t="s">
        <v>1503</v>
      </c>
      <c r="C1577" s="5"/>
      <c r="D1577" s="5" t="s">
        <v>82</v>
      </c>
      <c r="E1577" s="132">
        <f t="shared" si="1173"/>
        <v>642.72727272727275</v>
      </c>
      <c r="F1577" s="139">
        <f>$O$1572-P1577*($O$1572-$O$1565)</f>
        <v>538.79999999999995</v>
      </c>
      <c r="G1577" s="149"/>
      <c r="H1577" s="82" t="str">
        <f t="shared" si="1066"/>
        <v>90.9 percent up in Cryogenian international stage</v>
      </c>
      <c r="I1577" s="142" t="str">
        <f t="shared" si="1067"/>
        <v>100 percent up in Ediacaran international stage</v>
      </c>
      <c r="J1577" s="7">
        <v>0.90909090909090906</v>
      </c>
      <c r="K1577" s="129">
        <f t="shared" si="1068"/>
        <v>90.9</v>
      </c>
      <c r="L1577" s="8" t="s">
        <v>185</v>
      </c>
      <c r="M1577" s="5" t="s">
        <v>82</v>
      </c>
      <c r="N1577" s="5" t="s">
        <v>82</v>
      </c>
      <c r="O1577" s="83"/>
      <c r="P1577" s="20">
        <v>1</v>
      </c>
      <c r="Q1577" s="143">
        <f t="shared" si="1069"/>
        <v>100</v>
      </c>
      <c r="R1577" s="21" t="s">
        <v>184</v>
      </c>
      <c r="S1577" s="8" t="s">
        <v>246</v>
      </c>
      <c r="T1577" s="7" t="s">
        <v>226</v>
      </c>
    </row>
    <row r="1578" spans="1:20" ht="28">
      <c r="A1578" s="10" t="s">
        <v>1491</v>
      </c>
      <c r="B1578" s="14" t="s">
        <v>1504</v>
      </c>
      <c r="C1578" s="5"/>
      <c r="D1578" s="5" t="s">
        <v>82</v>
      </c>
      <c r="E1578" s="132">
        <f t="shared" si="1173"/>
        <v>662.0454545454545</v>
      </c>
      <c r="F1578" s="139">
        <f>$O$1572-P1578*($O$1572-$O$1565)</f>
        <v>538.79999999999995</v>
      </c>
      <c r="G1578" s="149"/>
      <c r="H1578" s="82" t="str">
        <f t="shared" ref="H1578:H1640" si="1174">CONCATENATE(K1578," percent up in ",L1578," international stage")</f>
        <v>68.2 percent up in Cryogenian international stage</v>
      </c>
      <c r="I1578" s="142" t="str">
        <f t="shared" ref="I1578:I1640" si="1175">CONCATENATE(Q1578," percent up in ",R1578," international stage")</f>
        <v>100 percent up in Ediacaran international stage</v>
      </c>
      <c r="J1578" s="7">
        <v>0.68181818181818188</v>
      </c>
      <c r="K1578" s="129">
        <f t="shared" ref="K1578:K1640" si="1176">ROUND(J1578*100,1)</f>
        <v>68.2</v>
      </c>
      <c r="L1578" s="8" t="s">
        <v>185</v>
      </c>
      <c r="M1578" s="5" t="s">
        <v>82</v>
      </c>
      <c r="N1578" s="5" t="s">
        <v>82</v>
      </c>
      <c r="O1578" s="83"/>
      <c r="P1578" s="20">
        <v>1</v>
      </c>
      <c r="Q1578" s="143">
        <f t="shared" ref="Q1578:Q1640" si="1177">ROUND(P1578*100,1)</f>
        <v>100</v>
      </c>
      <c r="R1578" s="21" t="s">
        <v>184</v>
      </c>
      <c r="S1578" s="8" t="s">
        <v>246</v>
      </c>
      <c r="T1578" s="7" t="s">
        <v>226</v>
      </c>
    </row>
    <row r="1579" spans="1:20" ht="28">
      <c r="A1579" s="10" t="s">
        <v>1491</v>
      </c>
      <c r="B1579" s="14" t="s">
        <v>1505</v>
      </c>
      <c r="C1579" s="5"/>
      <c r="D1579" s="5" t="s">
        <v>248</v>
      </c>
      <c r="E1579" s="132">
        <f t="shared" si="1173"/>
        <v>700.68181818181813</v>
      </c>
      <c r="F1579" s="139">
        <f>$O$1572-P1579*($O$1572-$O$1565)</f>
        <v>538.79999999999995</v>
      </c>
      <c r="G1579" s="149"/>
      <c r="H1579" s="82" t="str">
        <f t="shared" si="1174"/>
        <v>22.7 percent up in Cryogenian international stage</v>
      </c>
      <c r="I1579" s="142" t="str">
        <f t="shared" si="1175"/>
        <v>100 percent up in Ediacaran international stage</v>
      </c>
      <c r="J1579" s="7">
        <v>0.22727272727272729</v>
      </c>
      <c r="K1579" s="129">
        <f t="shared" si="1176"/>
        <v>22.7</v>
      </c>
      <c r="L1579" s="8" t="s">
        <v>185</v>
      </c>
      <c r="M1579" s="5" t="s">
        <v>82</v>
      </c>
      <c r="N1579" s="5" t="s">
        <v>82</v>
      </c>
      <c r="O1579" s="83"/>
      <c r="P1579" s="20">
        <v>1</v>
      </c>
      <c r="Q1579" s="143">
        <f t="shared" si="1177"/>
        <v>100</v>
      </c>
      <c r="R1579" s="21" t="s">
        <v>184</v>
      </c>
      <c r="S1579" s="8" t="s">
        <v>246</v>
      </c>
      <c r="T1579" s="7" t="s">
        <v>226</v>
      </c>
    </row>
    <row r="1580" spans="1:20" ht="28">
      <c r="A1580" s="10" t="s">
        <v>1491</v>
      </c>
      <c r="B1580" s="14" t="s">
        <v>1506</v>
      </c>
      <c r="C1580" s="5"/>
      <c r="D1580" s="5" t="s">
        <v>82</v>
      </c>
      <c r="E1580" s="132">
        <f t="shared" si="1173"/>
        <v>700.68181818181813</v>
      </c>
      <c r="F1580" s="139">
        <f>$O$1583-P1580*($O$1583-$O$1572)</f>
        <v>642.72727272727275</v>
      </c>
      <c r="G1580" s="149"/>
      <c r="H1580" s="82" t="str">
        <f t="shared" si="1174"/>
        <v>22.7 percent up in Cryogenian international stage</v>
      </c>
      <c r="I1580" s="142" t="str">
        <f t="shared" si="1175"/>
        <v>90.9 percent up in Cryogenian international stage</v>
      </c>
      <c r="J1580" s="7">
        <v>0.22727272727272729</v>
      </c>
      <c r="K1580" s="129">
        <f t="shared" si="1176"/>
        <v>22.7</v>
      </c>
      <c r="L1580" s="8" t="s">
        <v>185</v>
      </c>
      <c r="M1580" s="5" t="s">
        <v>82</v>
      </c>
      <c r="N1580" s="5" t="s">
        <v>82</v>
      </c>
      <c r="O1580" s="83"/>
      <c r="P1580" s="20">
        <v>0.90909090909090906</v>
      </c>
      <c r="Q1580" s="143">
        <f t="shared" si="1177"/>
        <v>90.9</v>
      </c>
      <c r="R1580" s="21" t="s">
        <v>185</v>
      </c>
      <c r="S1580" s="8" t="s">
        <v>259</v>
      </c>
      <c r="T1580" s="7">
        <v>0.68181818181818099</v>
      </c>
    </row>
    <row r="1581" spans="1:20" ht="28">
      <c r="A1581" s="10" t="s">
        <v>1491</v>
      </c>
      <c r="B1581" s="16" t="s">
        <v>1507</v>
      </c>
      <c r="C1581" s="5"/>
      <c r="D1581" s="5" t="s">
        <v>1217</v>
      </c>
      <c r="E1581" s="132">
        <f t="shared" si="1173"/>
        <v>720</v>
      </c>
      <c r="F1581" s="139">
        <f>$O$1583-P1581*($O$1583-$O$1572)</f>
        <v>640.93023255813955</v>
      </c>
      <c r="G1581" s="149"/>
      <c r="H1581" s="82" t="str">
        <f t="shared" si="1174"/>
        <v>0 percent up in Cryogenian international stage</v>
      </c>
      <c r="I1581" s="142" t="str">
        <f t="shared" si="1175"/>
        <v>93 percent up in Cryogenian international stage</v>
      </c>
      <c r="J1581" s="7">
        <v>0</v>
      </c>
      <c r="K1581" s="129">
        <f t="shared" si="1176"/>
        <v>0</v>
      </c>
      <c r="L1581" s="8" t="s">
        <v>185</v>
      </c>
      <c r="M1581" s="5" t="s">
        <v>82</v>
      </c>
      <c r="N1581" s="5" t="s">
        <v>82</v>
      </c>
      <c r="O1581" s="83"/>
      <c r="P1581" s="20">
        <v>0.93023255813953476</v>
      </c>
      <c r="Q1581" s="143">
        <f t="shared" si="1177"/>
        <v>93</v>
      </c>
      <c r="R1581" s="21" t="s">
        <v>185</v>
      </c>
      <c r="S1581" s="8" t="s">
        <v>230</v>
      </c>
      <c r="T1581" s="7" t="s">
        <v>226</v>
      </c>
    </row>
    <row r="1582" spans="1:20" ht="28">
      <c r="A1582" s="10" t="s">
        <v>1491</v>
      </c>
      <c r="B1582" s="14" t="s">
        <v>1508</v>
      </c>
      <c r="C1582" s="5"/>
      <c r="D1582" s="5" t="s">
        <v>244</v>
      </c>
      <c r="E1582" s="132">
        <f t="shared" si="1173"/>
        <v>720</v>
      </c>
      <c r="F1582" s="139">
        <f>$O$1572-P1582*($O$1572-$O$1565)</f>
        <v>538.79999999999995</v>
      </c>
      <c r="G1582" s="149"/>
      <c r="H1582" s="82" t="str">
        <f t="shared" si="1174"/>
        <v>0 percent up in Cryogenian international stage</v>
      </c>
      <c r="I1582" s="142" t="str">
        <f t="shared" si="1175"/>
        <v>100 percent up in Ediacaran international stage</v>
      </c>
      <c r="J1582" s="7">
        <v>0</v>
      </c>
      <c r="K1582" s="129">
        <f t="shared" si="1176"/>
        <v>0</v>
      </c>
      <c r="L1582" s="8" t="s">
        <v>185</v>
      </c>
      <c r="M1582" s="5" t="s">
        <v>82</v>
      </c>
      <c r="N1582" s="5" t="s">
        <v>82</v>
      </c>
      <c r="O1582" s="83"/>
      <c r="P1582" s="20">
        <v>1</v>
      </c>
      <c r="Q1582" s="143">
        <f t="shared" si="1177"/>
        <v>100</v>
      </c>
      <c r="R1582" s="21" t="s">
        <v>184</v>
      </c>
      <c r="S1582" s="8" t="s">
        <v>232</v>
      </c>
      <c r="T1582" s="7" t="s">
        <v>226</v>
      </c>
    </row>
    <row r="1583" spans="1:20" ht="28">
      <c r="A1583" s="10" t="s">
        <v>1491</v>
      </c>
      <c r="B1583" s="14" t="s">
        <v>185</v>
      </c>
      <c r="C1583" s="135"/>
      <c r="D1583" s="135" t="s">
        <v>222</v>
      </c>
      <c r="E1583" s="132">
        <f t="shared" si="1173"/>
        <v>720</v>
      </c>
      <c r="F1583" s="139">
        <f>$O$1583-P1583*($O$1583-$O$1572)</f>
        <v>635</v>
      </c>
      <c r="G1583" s="149"/>
      <c r="H1583" s="82" t="str">
        <f t="shared" si="1174"/>
        <v>0 percent up in Cryogenian international stage</v>
      </c>
      <c r="I1583" s="142" t="str">
        <f t="shared" si="1175"/>
        <v>100 percent up in Cryogenian international stage</v>
      </c>
      <c r="J1583" s="7">
        <v>0</v>
      </c>
      <c r="K1583" s="129">
        <f t="shared" si="1176"/>
        <v>0</v>
      </c>
      <c r="L1583" s="8" t="s">
        <v>185</v>
      </c>
      <c r="M1583" s="5" t="s">
        <v>224</v>
      </c>
      <c r="N1583" s="5" t="s">
        <v>1509</v>
      </c>
      <c r="O1583" s="125">
        <f>Master_Chronostrat!I164</f>
        <v>720</v>
      </c>
      <c r="P1583" s="20">
        <v>1</v>
      </c>
      <c r="Q1583" s="143">
        <f t="shared" si="1177"/>
        <v>100</v>
      </c>
      <c r="R1583" s="21" t="s">
        <v>185</v>
      </c>
      <c r="S1583" s="8" t="s">
        <v>224</v>
      </c>
      <c r="T1583" s="7" t="s">
        <v>226</v>
      </c>
    </row>
    <row r="1584" spans="1:20" ht="28">
      <c r="A1584" s="10" t="s">
        <v>1491</v>
      </c>
      <c r="B1584" s="14" t="s">
        <v>1510</v>
      </c>
      <c r="C1584" s="5"/>
      <c r="D1584" s="5" t="s">
        <v>1511</v>
      </c>
      <c r="E1584" s="132">
        <f>$O$1586-J1584*($O$1586-$O$1583)</f>
        <v>813.33333333333326</v>
      </c>
      <c r="F1584" s="139">
        <f>$O$1572-P1584*($O$1572-$O$1565)</f>
        <v>538.79999999999995</v>
      </c>
      <c r="G1584" s="149"/>
      <c r="H1584" s="82" t="str">
        <f t="shared" si="1174"/>
        <v>66.7 percent up in Tonian international stage</v>
      </c>
      <c r="I1584" s="142" t="str">
        <f t="shared" si="1175"/>
        <v>100 percent up in Ediacaran international stage</v>
      </c>
      <c r="J1584" s="7">
        <v>0.66666666666666674</v>
      </c>
      <c r="K1584" s="129">
        <f t="shared" si="1176"/>
        <v>66.7</v>
      </c>
      <c r="L1584" s="8" t="s">
        <v>187</v>
      </c>
      <c r="M1584" s="5" t="s">
        <v>82</v>
      </c>
      <c r="N1584" s="5" t="s">
        <v>82</v>
      </c>
      <c r="O1584" s="83"/>
      <c r="P1584" s="20">
        <v>1</v>
      </c>
      <c r="Q1584" s="143">
        <f t="shared" si="1177"/>
        <v>100</v>
      </c>
      <c r="R1584" s="21" t="s">
        <v>184</v>
      </c>
      <c r="S1584" s="8" t="s">
        <v>246</v>
      </c>
      <c r="T1584" s="7" t="s">
        <v>226</v>
      </c>
    </row>
    <row r="1585" spans="1:20" ht="28">
      <c r="A1585" s="10" t="s">
        <v>1491</v>
      </c>
      <c r="B1585" s="14" t="s">
        <v>187</v>
      </c>
      <c r="C1585" s="135"/>
      <c r="D1585" s="135" t="s">
        <v>222</v>
      </c>
      <c r="E1585" s="132">
        <f>$O$1586-J1585*($O$1586-$O$1583)</f>
        <v>1000</v>
      </c>
      <c r="F1585" s="139">
        <f>$O$1586-P1585*($O$1586-$O$1583)</f>
        <v>720</v>
      </c>
      <c r="G1585" s="149"/>
      <c r="H1585" s="82" t="str">
        <f t="shared" si="1174"/>
        <v>0 percent up in Tonian international stage</v>
      </c>
      <c r="I1585" s="142" t="str">
        <f t="shared" si="1175"/>
        <v>100 percent up in Tonian international stage</v>
      </c>
      <c r="J1585" s="7">
        <v>0</v>
      </c>
      <c r="K1585" s="129">
        <f t="shared" si="1176"/>
        <v>0</v>
      </c>
      <c r="L1585" s="8" t="s">
        <v>187</v>
      </c>
      <c r="M1585" s="5" t="s">
        <v>224</v>
      </c>
      <c r="N1585" s="5" t="s">
        <v>1512</v>
      </c>
      <c r="O1585" s="125">
        <f>Master_Chronostrat!I165</f>
        <v>1000</v>
      </c>
      <c r="P1585" s="20">
        <v>1</v>
      </c>
      <c r="Q1585" s="143">
        <f t="shared" si="1177"/>
        <v>100</v>
      </c>
      <c r="R1585" s="21" t="s">
        <v>187</v>
      </c>
      <c r="S1585" s="8" t="s">
        <v>224</v>
      </c>
      <c r="T1585" s="7" t="s">
        <v>226</v>
      </c>
    </row>
    <row r="1586" spans="1:20" ht="28">
      <c r="A1586" s="11" t="s">
        <v>1491</v>
      </c>
      <c r="B1586" s="15" t="s">
        <v>186</v>
      </c>
      <c r="C1586" s="135"/>
      <c r="D1586" s="135" t="s">
        <v>222</v>
      </c>
      <c r="E1586" s="132">
        <f>$O$1586-J1586*($O$1586-$O$1583)</f>
        <v>1000</v>
      </c>
      <c r="F1586" s="139">
        <f>$O$1572-P1586*($O$1572-$O$1565)</f>
        <v>538.79999999999995</v>
      </c>
      <c r="G1586" s="149"/>
      <c r="H1586" s="82" t="str">
        <f t="shared" si="1174"/>
        <v>0 percent up in Tonian international stage</v>
      </c>
      <c r="I1586" s="142" t="str">
        <f t="shared" si="1175"/>
        <v>100 percent up in Ediacaran international stage</v>
      </c>
      <c r="J1586" s="7">
        <v>0</v>
      </c>
      <c r="K1586" s="129">
        <f t="shared" si="1176"/>
        <v>0</v>
      </c>
      <c r="L1586" s="8" t="s">
        <v>187</v>
      </c>
      <c r="M1586" s="5" t="s">
        <v>224</v>
      </c>
      <c r="N1586" s="5" t="s">
        <v>1513</v>
      </c>
      <c r="O1586" s="125">
        <f>Master_Chronostrat!I165</f>
        <v>1000</v>
      </c>
      <c r="P1586" s="20">
        <v>1</v>
      </c>
      <c r="Q1586" s="143">
        <f t="shared" si="1177"/>
        <v>100</v>
      </c>
      <c r="R1586" s="21" t="s">
        <v>184</v>
      </c>
      <c r="S1586" s="8" t="s">
        <v>239</v>
      </c>
      <c r="T1586" s="7" t="s">
        <v>226</v>
      </c>
    </row>
    <row r="1587" spans="1:20" ht="28">
      <c r="A1587" s="10" t="s">
        <v>1491</v>
      </c>
      <c r="B1587" s="14" t="s">
        <v>1514</v>
      </c>
      <c r="C1587" s="5"/>
      <c r="D1587" s="5" t="s">
        <v>82</v>
      </c>
      <c r="E1587" s="132">
        <f>$O$1589-J1587*($O$1589-$O$1586)</f>
        <v>1100</v>
      </c>
      <c r="F1587" s="139">
        <f>$O$1583-P1587*($O$1583-$O$1572)</f>
        <v>700.68181818181813</v>
      </c>
      <c r="G1587" s="149"/>
      <c r="H1587" s="82" t="str">
        <f t="shared" si="1174"/>
        <v>50 percent up in Stenian international stage</v>
      </c>
      <c r="I1587" s="142" t="str">
        <f t="shared" si="1175"/>
        <v>22.7 percent up in Cryogenian international stage</v>
      </c>
      <c r="J1587" s="7">
        <v>0.5</v>
      </c>
      <c r="K1587" s="129">
        <f t="shared" si="1176"/>
        <v>50</v>
      </c>
      <c r="L1587" s="8" t="s">
        <v>188</v>
      </c>
      <c r="M1587" s="5" t="s">
        <v>82</v>
      </c>
      <c r="N1587" s="5" t="s">
        <v>82</v>
      </c>
      <c r="O1587" s="83"/>
      <c r="P1587" s="20">
        <v>0.22727272727272727</v>
      </c>
      <c r="Q1587" s="143">
        <f t="shared" si="1177"/>
        <v>22.7</v>
      </c>
      <c r="R1587" s="21" t="s">
        <v>185</v>
      </c>
      <c r="S1587" s="8" t="s">
        <v>246</v>
      </c>
      <c r="T1587" s="7" t="s">
        <v>226</v>
      </c>
    </row>
    <row r="1588" spans="1:20" ht="28">
      <c r="A1588" s="10" t="s">
        <v>1491</v>
      </c>
      <c r="B1588" s="16" t="s">
        <v>1515</v>
      </c>
      <c r="C1588" s="5"/>
      <c r="D1588" s="5" t="s">
        <v>1217</v>
      </c>
      <c r="E1588" s="132">
        <f>$O$1589-J1588*($O$1589-$O$1586)</f>
        <v>1100</v>
      </c>
      <c r="F1588" s="139">
        <f>$O$1586-P1588*($O$1586-$O$1583)</f>
        <v>720</v>
      </c>
      <c r="G1588" s="149"/>
      <c r="H1588" s="82" t="str">
        <f t="shared" si="1174"/>
        <v>50 percent up in Stenian international stage</v>
      </c>
      <c r="I1588" s="142" t="str">
        <f t="shared" si="1175"/>
        <v>100 percent up in Tonian international stage</v>
      </c>
      <c r="J1588" s="7">
        <v>0.5</v>
      </c>
      <c r="K1588" s="129">
        <f t="shared" si="1176"/>
        <v>50</v>
      </c>
      <c r="L1588" s="8" t="s">
        <v>188</v>
      </c>
      <c r="M1588" s="5" t="s">
        <v>82</v>
      </c>
      <c r="N1588" s="5" t="s">
        <v>82</v>
      </c>
      <c r="O1588" s="83"/>
      <c r="P1588" s="20">
        <v>1</v>
      </c>
      <c r="Q1588" s="143">
        <f t="shared" si="1177"/>
        <v>100</v>
      </c>
      <c r="R1588" s="21" t="s">
        <v>187</v>
      </c>
      <c r="S1588" s="8" t="s">
        <v>246</v>
      </c>
      <c r="T1588" s="7" t="s">
        <v>226</v>
      </c>
    </row>
    <row r="1589" spans="1:20" ht="28">
      <c r="A1589" s="10" t="s">
        <v>1491</v>
      </c>
      <c r="B1589" s="14" t="s">
        <v>188</v>
      </c>
      <c r="C1589" s="135"/>
      <c r="D1589" s="135" t="s">
        <v>222</v>
      </c>
      <c r="E1589" s="132">
        <f>$O$1589-J1589*($O$1589-$O$1586)</f>
        <v>1200</v>
      </c>
      <c r="F1589" s="139">
        <f>$O$1589-P1589*($O$1589-$O$1586)</f>
        <v>1000</v>
      </c>
      <c r="G1589" s="149"/>
      <c r="H1589" s="82" t="str">
        <f t="shared" si="1174"/>
        <v>0 percent up in Stenian international stage</v>
      </c>
      <c r="I1589" s="142" t="str">
        <f t="shared" si="1175"/>
        <v>100 percent up in Stenian international stage</v>
      </c>
      <c r="J1589" s="7">
        <v>0</v>
      </c>
      <c r="K1589" s="129">
        <f t="shared" si="1176"/>
        <v>0</v>
      </c>
      <c r="L1589" s="8" t="s">
        <v>188</v>
      </c>
      <c r="M1589" s="5" t="s">
        <v>224</v>
      </c>
      <c r="N1589" s="5" t="s">
        <v>1516</v>
      </c>
      <c r="O1589" s="125">
        <f>Master_Chronostrat!I166</f>
        <v>1200</v>
      </c>
      <c r="P1589" s="20">
        <v>1</v>
      </c>
      <c r="Q1589" s="143">
        <f t="shared" si="1177"/>
        <v>100</v>
      </c>
      <c r="R1589" s="21" t="s">
        <v>188</v>
      </c>
      <c r="S1589" s="8" t="s">
        <v>224</v>
      </c>
      <c r="T1589" s="7" t="s">
        <v>226</v>
      </c>
    </row>
    <row r="1590" spans="1:20" ht="28">
      <c r="A1590" s="10" t="s">
        <v>1491</v>
      </c>
      <c r="B1590" s="14" t="s">
        <v>1517</v>
      </c>
      <c r="C1590" s="5"/>
      <c r="D1590" s="5" t="s">
        <v>368</v>
      </c>
      <c r="E1590" s="132">
        <f t="shared" ref="E1590:E1595" si="1178">$O$1595-J1590*($O$1595-$O$1589)</f>
        <v>1300</v>
      </c>
      <c r="F1590" s="139">
        <f>$O$1572-P1590*($O$1572-$O$1565)</f>
        <v>538.79999999999995</v>
      </c>
      <c r="G1590" s="149"/>
      <c r="H1590" s="82" t="str">
        <f t="shared" si="1174"/>
        <v>50 percent up in Ectasian international stage</v>
      </c>
      <c r="I1590" s="142" t="str">
        <f t="shared" si="1175"/>
        <v>100 percent up in Ediacaran international stage</v>
      </c>
      <c r="J1590" s="7">
        <v>0.5</v>
      </c>
      <c r="K1590" s="129">
        <f t="shared" si="1176"/>
        <v>50</v>
      </c>
      <c r="L1590" s="8" t="s">
        <v>189</v>
      </c>
      <c r="M1590" s="5" t="s">
        <v>82</v>
      </c>
      <c r="N1590" s="5" t="s">
        <v>82</v>
      </c>
      <c r="O1590" s="83"/>
      <c r="P1590" s="20">
        <v>1</v>
      </c>
      <c r="Q1590" s="143">
        <f t="shared" si="1177"/>
        <v>100</v>
      </c>
      <c r="R1590" s="21" t="s">
        <v>184</v>
      </c>
      <c r="S1590" s="8" t="s">
        <v>246</v>
      </c>
      <c r="T1590" s="7" t="s">
        <v>226</v>
      </c>
    </row>
    <row r="1591" spans="1:20" ht="28">
      <c r="A1591" s="10" t="s">
        <v>1491</v>
      </c>
      <c r="B1591" s="14" t="s">
        <v>1518</v>
      </c>
      <c r="C1591" s="5"/>
      <c r="D1591" s="5" t="s">
        <v>82</v>
      </c>
      <c r="E1591" s="132">
        <f t="shared" si="1178"/>
        <v>1375</v>
      </c>
      <c r="F1591" s="139">
        <f>$O$1589-P1591*($O$1589-$O$1586)</f>
        <v>1100</v>
      </c>
      <c r="G1591" s="149"/>
      <c r="H1591" s="82" t="str">
        <f t="shared" si="1174"/>
        <v>12.5 percent up in Ectasian international stage</v>
      </c>
      <c r="I1591" s="142" t="str">
        <f t="shared" si="1175"/>
        <v>50 percent up in Stenian international stage</v>
      </c>
      <c r="J1591" s="7">
        <v>0.125</v>
      </c>
      <c r="K1591" s="129">
        <f t="shared" si="1176"/>
        <v>12.5</v>
      </c>
      <c r="L1591" s="8" t="s">
        <v>189</v>
      </c>
      <c r="M1591" s="5" t="s">
        <v>82</v>
      </c>
      <c r="N1591" s="5" t="s">
        <v>82</v>
      </c>
      <c r="O1591" s="83"/>
      <c r="P1591" s="20">
        <v>0.5</v>
      </c>
      <c r="Q1591" s="143">
        <f t="shared" si="1177"/>
        <v>50</v>
      </c>
      <c r="R1591" s="21" t="s">
        <v>188</v>
      </c>
      <c r="S1591" s="8" t="s">
        <v>246</v>
      </c>
      <c r="T1591" s="7" t="s">
        <v>226</v>
      </c>
    </row>
    <row r="1592" spans="1:20" ht="28">
      <c r="A1592" s="10" t="s">
        <v>1491</v>
      </c>
      <c r="B1592" s="14" t="s">
        <v>1519</v>
      </c>
      <c r="C1592" s="5"/>
      <c r="D1592" s="5" t="s">
        <v>82</v>
      </c>
      <c r="E1592" s="132">
        <f t="shared" si="1178"/>
        <v>1400</v>
      </c>
      <c r="F1592" s="139">
        <f>$O$1572-P1592*($O$1572-$O$1565)</f>
        <v>538.79999999999995</v>
      </c>
      <c r="G1592" s="149"/>
      <c r="H1592" s="82" t="str">
        <f t="shared" si="1174"/>
        <v>0 percent up in Ectasian international stage</v>
      </c>
      <c r="I1592" s="142" t="str">
        <f t="shared" si="1175"/>
        <v>100 percent up in Ediacaran international stage</v>
      </c>
      <c r="J1592" s="7">
        <v>0</v>
      </c>
      <c r="K1592" s="129">
        <f t="shared" si="1176"/>
        <v>0</v>
      </c>
      <c r="L1592" s="8" t="s">
        <v>189</v>
      </c>
      <c r="M1592" s="5" t="s">
        <v>82</v>
      </c>
      <c r="N1592" s="5" t="s">
        <v>82</v>
      </c>
      <c r="O1592" s="83"/>
      <c r="P1592" s="20">
        <v>1</v>
      </c>
      <c r="Q1592" s="143">
        <f t="shared" si="1177"/>
        <v>100</v>
      </c>
      <c r="R1592" s="21" t="s">
        <v>184</v>
      </c>
      <c r="S1592" s="8" t="s">
        <v>232</v>
      </c>
      <c r="T1592" s="7" t="s">
        <v>226</v>
      </c>
    </row>
    <row r="1593" spans="1:20" ht="28">
      <c r="A1593" s="10" t="s">
        <v>1491</v>
      </c>
      <c r="B1593" s="14" t="s">
        <v>1520</v>
      </c>
      <c r="C1593" s="5"/>
      <c r="D1593" s="5" t="s">
        <v>82</v>
      </c>
      <c r="E1593" s="132">
        <f t="shared" si="1178"/>
        <v>1400</v>
      </c>
      <c r="F1593" s="139">
        <f>$O$1595-P1593*($O$1595-$O$1589)</f>
        <v>1375</v>
      </c>
      <c r="G1593" s="149"/>
      <c r="H1593" s="82" t="str">
        <f t="shared" si="1174"/>
        <v>0 percent up in Ectasian international stage</v>
      </c>
      <c r="I1593" s="142" t="str">
        <f t="shared" si="1175"/>
        <v>12.5 percent up in Ectasian international stage</v>
      </c>
      <c r="J1593" s="7">
        <v>0</v>
      </c>
      <c r="K1593" s="129">
        <f t="shared" si="1176"/>
        <v>0</v>
      </c>
      <c r="L1593" s="8" t="s">
        <v>189</v>
      </c>
      <c r="M1593" s="5" t="s">
        <v>82</v>
      </c>
      <c r="N1593" s="5" t="s">
        <v>82</v>
      </c>
      <c r="O1593" s="83"/>
      <c r="P1593" s="20">
        <v>0.125</v>
      </c>
      <c r="Q1593" s="143">
        <f t="shared" si="1177"/>
        <v>12.5</v>
      </c>
      <c r="R1593" s="21" t="s">
        <v>189</v>
      </c>
      <c r="S1593" s="8" t="s">
        <v>230</v>
      </c>
      <c r="T1593" s="7" t="s">
        <v>226</v>
      </c>
    </row>
    <row r="1594" spans="1:20" ht="28">
      <c r="A1594" s="10" t="s">
        <v>1491</v>
      </c>
      <c r="B1594" s="14" t="s">
        <v>1521</v>
      </c>
      <c r="C1594" s="5"/>
      <c r="D1594" s="5" t="s">
        <v>82</v>
      </c>
      <c r="E1594" s="132">
        <f t="shared" si="1178"/>
        <v>1400</v>
      </c>
      <c r="F1594" s="139">
        <f>$O$1583-P1594*($O$1583-$O$1572)</f>
        <v>700.68181818181813</v>
      </c>
      <c r="G1594" s="149"/>
      <c r="H1594" s="82" t="str">
        <f t="shared" si="1174"/>
        <v>0 percent up in Ectasian international stage</v>
      </c>
      <c r="I1594" s="142" t="str">
        <f t="shared" si="1175"/>
        <v>22.7 percent up in Cryogenian international stage</v>
      </c>
      <c r="J1594" s="7">
        <v>0</v>
      </c>
      <c r="K1594" s="129">
        <f t="shared" si="1176"/>
        <v>0</v>
      </c>
      <c r="L1594" s="8" t="s">
        <v>189</v>
      </c>
      <c r="M1594" s="5" t="s">
        <v>82</v>
      </c>
      <c r="N1594" s="5" t="s">
        <v>82</v>
      </c>
      <c r="O1594" s="83"/>
      <c r="P1594" s="20">
        <v>0.22727272727272727</v>
      </c>
      <c r="Q1594" s="143">
        <f t="shared" si="1177"/>
        <v>22.7</v>
      </c>
      <c r="R1594" s="21" t="s">
        <v>185</v>
      </c>
      <c r="S1594" s="8" t="s">
        <v>246</v>
      </c>
      <c r="T1594" s="7" t="s">
        <v>226</v>
      </c>
    </row>
    <row r="1595" spans="1:20" ht="28">
      <c r="A1595" s="10" t="s">
        <v>1491</v>
      </c>
      <c r="B1595" s="14" t="s">
        <v>189</v>
      </c>
      <c r="C1595" s="135"/>
      <c r="D1595" s="135" t="s">
        <v>222</v>
      </c>
      <c r="E1595" s="132">
        <f t="shared" si="1178"/>
        <v>1400</v>
      </c>
      <c r="F1595" s="139">
        <f>$O$1595-P1595*($O$1595-$O$1589)</f>
        <v>1200</v>
      </c>
      <c r="G1595" s="149"/>
      <c r="H1595" s="82" t="str">
        <f t="shared" si="1174"/>
        <v>0 percent up in Ectasian international stage</v>
      </c>
      <c r="I1595" s="142" t="str">
        <f t="shared" si="1175"/>
        <v>100 percent up in Ectasian international stage</v>
      </c>
      <c r="J1595" s="7">
        <v>0</v>
      </c>
      <c r="K1595" s="129">
        <f t="shared" si="1176"/>
        <v>0</v>
      </c>
      <c r="L1595" s="8" t="s">
        <v>189</v>
      </c>
      <c r="M1595" s="5" t="s">
        <v>224</v>
      </c>
      <c r="N1595" s="5" t="s">
        <v>1522</v>
      </c>
      <c r="O1595" s="125">
        <f>Master_Chronostrat!I167</f>
        <v>1400</v>
      </c>
      <c r="P1595" s="20">
        <v>1</v>
      </c>
      <c r="Q1595" s="143">
        <f t="shared" si="1177"/>
        <v>100</v>
      </c>
      <c r="R1595" s="21" t="s">
        <v>189</v>
      </c>
      <c r="S1595" s="8" t="s">
        <v>224</v>
      </c>
      <c r="T1595" s="7" t="s">
        <v>226</v>
      </c>
    </row>
    <row r="1596" spans="1:20" ht="28">
      <c r="A1596" s="10" t="s">
        <v>1491</v>
      </c>
      <c r="B1596" s="14" t="s">
        <v>1523</v>
      </c>
      <c r="C1596" s="5"/>
      <c r="D1596" s="5" t="s">
        <v>244</v>
      </c>
      <c r="E1596" s="132">
        <f>$O$1598-J1596*($O$1598-$O$1595)</f>
        <v>1600</v>
      </c>
      <c r="F1596" s="139">
        <f>$O$1586-P1596*($O$1586-$O$1583)</f>
        <v>720</v>
      </c>
      <c r="G1596" s="149"/>
      <c r="H1596" s="82" t="str">
        <f t="shared" si="1174"/>
        <v>0 percent up in Calymmian international stage</v>
      </c>
      <c r="I1596" s="142" t="str">
        <f t="shared" si="1175"/>
        <v>100 percent up in Tonian international stage</v>
      </c>
      <c r="J1596" s="7">
        <v>0</v>
      </c>
      <c r="K1596" s="129">
        <f t="shared" si="1176"/>
        <v>0</v>
      </c>
      <c r="L1596" s="8" t="s">
        <v>191</v>
      </c>
      <c r="M1596" s="5" t="s">
        <v>82</v>
      </c>
      <c r="N1596" s="5" t="s">
        <v>82</v>
      </c>
      <c r="O1596" s="83"/>
      <c r="P1596" s="20">
        <v>1</v>
      </c>
      <c r="Q1596" s="143">
        <f t="shared" si="1177"/>
        <v>100</v>
      </c>
      <c r="R1596" s="21" t="s">
        <v>187</v>
      </c>
      <c r="S1596" s="8" t="s">
        <v>232</v>
      </c>
      <c r="T1596" s="7" t="s">
        <v>226</v>
      </c>
    </row>
    <row r="1597" spans="1:20" ht="28">
      <c r="A1597" s="10" t="s">
        <v>1491</v>
      </c>
      <c r="B1597" s="14" t="s">
        <v>191</v>
      </c>
      <c r="C1597" s="135"/>
      <c r="D1597" s="135" t="s">
        <v>222</v>
      </c>
      <c r="E1597" s="132">
        <f>$O$1598-J1597*($O$1598-$O$1595)</f>
        <v>1600</v>
      </c>
      <c r="F1597" s="139">
        <f>$O$1598-P1597*($O$1598-$O$1595)</f>
        <v>1400</v>
      </c>
      <c r="G1597" s="149"/>
      <c r="H1597" s="82" t="str">
        <f t="shared" si="1174"/>
        <v>0 percent up in Calymmian international stage</v>
      </c>
      <c r="I1597" s="142" t="str">
        <f t="shared" si="1175"/>
        <v>100 percent up in Calymmian international stage</v>
      </c>
      <c r="J1597" s="7">
        <v>0</v>
      </c>
      <c r="K1597" s="129">
        <f t="shared" si="1176"/>
        <v>0</v>
      </c>
      <c r="L1597" s="8" t="s">
        <v>191</v>
      </c>
      <c r="M1597" s="5" t="s">
        <v>224</v>
      </c>
      <c r="N1597" s="5" t="s">
        <v>1524</v>
      </c>
      <c r="O1597" s="125">
        <f>Master_Chronostrat!I168</f>
        <v>1600</v>
      </c>
      <c r="P1597" s="20">
        <v>1</v>
      </c>
      <c r="Q1597" s="143">
        <f t="shared" si="1177"/>
        <v>100</v>
      </c>
      <c r="R1597" s="21" t="s">
        <v>191</v>
      </c>
      <c r="S1597" s="8" t="s">
        <v>224</v>
      </c>
      <c r="T1597" s="7" t="s">
        <v>226</v>
      </c>
    </row>
    <row r="1598" spans="1:20" ht="28">
      <c r="A1598" s="11" t="s">
        <v>1491</v>
      </c>
      <c r="B1598" s="15" t="s">
        <v>190</v>
      </c>
      <c r="C1598" s="135"/>
      <c r="D1598" s="135" t="s">
        <v>222</v>
      </c>
      <c r="E1598" s="132">
        <f>$O$1598-J1598*($O$1598-$O$1595)</f>
        <v>1600</v>
      </c>
      <c r="F1598" s="139">
        <f>$O$1589-P1598*($O$1589-$O$1586)</f>
        <v>1000</v>
      </c>
      <c r="G1598" s="149"/>
      <c r="H1598" s="82" t="str">
        <f t="shared" si="1174"/>
        <v>0 percent up in Calymmian international stage</v>
      </c>
      <c r="I1598" s="142" t="str">
        <f t="shared" si="1175"/>
        <v>100 percent up in Stenian international stage</v>
      </c>
      <c r="J1598" s="7">
        <v>0</v>
      </c>
      <c r="K1598" s="129">
        <f t="shared" si="1176"/>
        <v>0</v>
      </c>
      <c r="L1598" s="8" t="s">
        <v>191</v>
      </c>
      <c r="M1598" s="5" t="s">
        <v>224</v>
      </c>
      <c r="N1598" s="5" t="s">
        <v>1525</v>
      </c>
      <c r="O1598" s="125">
        <f>Master_Chronostrat!I168</f>
        <v>1600</v>
      </c>
      <c r="P1598" s="20">
        <v>1</v>
      </c>
      <c r="Q1598" s="143">
        <f t="shared" si="1177"/>
        <v>100</v>
      </c>
      <c r="R1598" s="21" t="s">
        <v>188</v>
      </c>
      <c r="S1598" s="8" t="s">
        <v>239</v>
      </c>
      <c r="T1598" s="7" t="s">
        <v>226</v>
      </c>
    </row>
    <row r="1599" spans="1:20" ht="28">
      <c r="A1599" s="10" t="s">
        <v>1491</v>
      </c>
      <c r="B1599" s="14" t="s">
        <v>1526</v>
      </c>
      <c r="C1599" s="5"/>
      <c r="D1599" s="5" t="s">
        <v>248</v>
      </c>
      <c r="E1599" s="132">
        <f>$O$1601-J1599*($O$1601-$O$1598)</f>
        <v>1750</v>
      </c>
      <c r="F1599" s="139">
        <f>$O$1583-P1599*($O$1583-$O$1572)</f>
        <v>700.68181818181813</v>
      </c>
      <c r="G1599" s="149"/>
      <c r="H1599" s="82" t="str">
        <f t="shared" si="1174"/>
        <v>25 percent up in Statherian international stage</v>
      </c>
      <c r="I1599" s="142" t="str">
        <f t="shared" si="1175"/>
        <v>22.7 percent up in Cryogenian international stage</v>
      </c>
      <c r="J1599" s="7">
        <v>0.25</v>
      </c>
      <c r="K1599" s="129">
        <f t="shared" si="1176"/>
        <v>25</v>
      </c>
      <c r="L1599" s="8" t="s">
        <v>192</v>
      </c>
      <c r="M1599" s="5" t="s">
        <v>82</v>
      </c>
      <c r="N1599" s="5" t="s">
        <v>82</v>
      </c>
      <c r="O1599" s="83"/>
      <c r="P1599" s="20">
        <v>0.22727272727272727</v>
      </c>
      <c r="Q1599" s="143">
        <f t="shared" si="1177"/>
        <v>22.7</v>
      </c>
      <c r="R1599" s="21" t="s">
        <v>185</v>
      </c>
      <c r="S1599" s="8" t="s">
        <v>246</v>
      </c>
      <c r="T1599" s="7" t="s">
        <v>226</v>
      </c>
    </row>
    <row r="1600" spans="1:20" ht="28">
      <c r="A1600" s="10" t="s">
        <v>1491</v>
      </c>
      <c r="B1600" s="14" t="s">
        <v>1527</v>
      </c>
      <c r="C1600" s="5"/>
      <c r="D1600" s="5" t="s">
        <v>368</v>
      </c>
      <c r="E1600" s="132">
        <f>$O$1601-J1600*($O$1601-$O$1598)</f>
        <v>1800</v>
      </c>
      <c r="F1600" s="139">
        <f>$O$1595-P1600*($O$1595-$O$1589)</f>
        <v>1300</v>
      </c>
      <c r="G1600" s="149"/>
      <c r="H1600" s="82" t="str">
        <f t="shared" si="1174"/>
        <v>0 percent up in Statherian international stage</v>
      </c>
      <c r="I1600" s="142" t="str">
        <f t="shared" si="1175"/>
        <v>50 percent up in Ectasian international stage</v>
      </c>
      <c r="J1600" s="7">
        <v>0</v>
      </c>
      <c r="K1600" s="129">
        <f t="shared" si="1176"/>
        <v>0</v>
      </c>
      <c r="L1600" s="8" t="s">
        <v>192</v>
      </c>
      <c r="M1600" s="5" t="s">
        <v>82</v>
      </c>
      <c r="N1600" s="5" t="s">
        <v>82</v>
      </c>
      <c r="O1600" s="83"/>
      <c r="P1600" s="20">
        <v>0.5</v>
      </c>
      <c r="Q1600" s="143">
        <f t="shared" si="1177"/>
        <v>50</v>
      </c>
      <c r="R1600" s="21" t="s">
        <v>189</v>
      </c>
      <c r="S1600" s="8" t="s">
        <v>246</v>
      </c>
      <c r="T1600" s="7" t="s">
        <v>226</v>
      </c>
    </row>
    <row r="1601" spans="1:20" ht="28">
      <c r="A1601" s="10" t="s">
        <v>1491</v>
      </c>
      <c r="B1601" s="14" t="s">
        <v>192</v>
      </c>
      <c r="C1601" s="135"/>
      <c r="D1601" s="135" t="s">
        <v>222</v>
      </c>
      <c r="E1601" s="132">
        <f>$O$1601-J1601*($O$1601-$O$1598)</f>
        <v>1800</v>
      </c>
      <c r="F1601" s="139">
        <f>$O$1601-P1601*($O$1601-$O$1598)</f>
        <v>1600</v>
      </c>
      <c r="G1601" s="149"/>
      <c r="H1601" s="82" t="str">
        <f t="shared" si="1174"/>
        <v>0 percent up in Statherian international stage</v>
      </c>
      <c r="I1601" s="142" t="str">
        <f t="shared" si="1175"/>
        <v>100 percent up in Statherian international stage</v>
      </c>
      <c r="J1601" s="7">
        <v>0</v>
      </c>
      <c r="K1601" s="129">
        <f t="shared" si="1176"/>
        <v>0</v>
      </c>
      <c r="L1601" s="8" t="s">
        <v>192</v>
      </c>
      <c r="M1601" s="5" t="s">
        <v>224</v>
      </c>
      <c r="N1601" s="5" t="s">
        <v>1528</v>
      </c>
      <c r="O1601" s="125">
        <f>Master_Chronostrat!I169</f>
        <v>1800</v>
      </c>
      <c r="P1601" s="20">
        <v>1</v>
      </c>
      <c r="Q1601" s="143">
        <f t="shared" si="1177"/>
        <v>100</v>
      </c>
      <c r="R1601" s="21" t="s">
        <v>192</v>
      </c>
      <c r="S1601" s="8" t="s">
        <v>224</v>
      </c>
      <c r="T1601" s="7" t="s">
        <v>226</v>
      </c>
    </row>
    <row r="1602" spans="1:20" ht="28">
      <c r="A1602" s="10" t="s">
        <v>1491</v>
      </c>
      <c r="B1602" s="14" t="s">
        <v>1529</v>
      </c>
      <c r="C1602" s="5"/>
      <c r="D1602" s="5" t="s">
        <v>82</v>
      </c>
      <c r="E1602" s="132">
        <f>$O$1604-J1602*($O$1604-$O$1601)</f>
        <v>2000</v>
      </c>
      <c r="F1602" s="139">
        <f>$O$1598-P1602*($O$1598-$O$1595)</f>
        <v>1400</v>
      </c>
      <c r="G1602" s="149"/>
      <c r="H1602" s="82" t="str">
        <f t="shared" si="1174"/>
        <v>20 percent up in Orosirian international stage</v>
      </c>
      <c r="I1602" s="142" t="str">
        <f t="shared" si="1175"/>
        <v>100 percent up in Calymmian international stage</v>
      </c>
      <c r="J1602" s="7">
        <v>0.19999999999999996</v>
      </c>
      <c r="K1602" s="129">
        <f t="shared" si="1176"/>
        <v>20</v>
      </c>
      <c r="L1602" s="8" t="s">
        <v>193</v>
      </c>
      <c r="M1602" s="5" t="s">
        <v>82</v>
      </c>
      <c r="N1602" s="5" t="s">
        <v>82</v>
      </c>
      <c r="O1602" s="83"/>
      <c r="P1602" s="20">
        <v>1</v>
      </c>
      <c r="Q1602" s="143">
        <f t="shared" si="1177"/>
        <v>100</v>
      </c>
      <c r="R1602" s="21" t="s">
        <v>191</v>
      </c>
      <c r="S1602" s="8" t="s">
        <v>246</v>
      </c>
      <c r="T1602" s="7" t="s">
        <v>226</v>
      </c>
    </row>
    <row r="1603" spans="1:20" ht="28">
      <c r="A1603" s="10" t="s">
        <v>1491</v>
      </c>
      <c r="B1603" s="14" t="s">
        <v>1530</v>
      </c>
      <c r="C1603" s="5"/>
      <c r="D1603" s="5" t="s">
        <v>1511</v>
      </c>
      <c r="E1603" s="132">
        <f>$O$1604-J1603*($O$1604-$O$1601)</f>
        <v>2050</v>
      </c>
      <c r="F1603" s="139">
        <f>$O$1586-P1603*($O$1586-$O$1583)</f>
        <v>813.33333333333337</v>
      </c>
      <c r="G1603" s="149"/>
      <c r="H1603" s="82" t="str">
        <f t="shared" si="1174"/>
        <v>0 percent up in Orosirian international stage</v>
      </c>
      <c r="I1603" s="142" t="str">
        <f t="shared" si="1175"/>
        <v>66.7 percent up in Tonian international stage</v>
      </c>
      <c r="J1603" s="7">
        <v>0</v>
      </c>
      <c r="K1603" s="129">
        <f t="shared" si="1176"/>
        <v>0</v>
      </c>
      <c r="L1603" s="8" t="s">
        <v>193</v>
      </c>
      <c r="M1603" s="5" t="s">
        <v>82</v>
      </c>
      <c r="N1603" s="5" t="s">
        <v>82</v>
      </c>
      <c r="O1603" s="83"/>
      <c r="P1603" s="20">
        <v>0.66666666666666663</v>
      </c>
      <c r="Q1603" s="143">
        <f t="shared" si="1177"/>
        <v>66.7</v>
      </c>
      <c r="R1603" s="21" t="s">
        <v>187</v>
      </c>
      <c r="S1603" s="8" t="s">
        <v>246</v>
      </c>
      <c r="T1603" s="7" t="s">
        <v>226</v>
      </c>
    </row>
    <row r="1604" spans="1:20" ht="28">
      <c r="A1604" s="10" t="s">
        <v>1491</v>
      </c>
      <c r="B1604" s="14" t="s">
        <v>193</v>
      </c>
      <c r="C1604" s="135"/>
      <c r="D1604" s="135" t="s">
        <v>222</v>
      </c>
      <c r="E1604" s="132">
        <f>$O$1604-J1604*($O$1604-$O$1601)</f>
        <v>2050</v>
      </c>
      <c r="F1604" s="139">
        <f>$O$1604-P1604*($O$1604-$O$1601)</f>
        <v>1800</v>
      </c>
      <c r="G1604" s="149"/>
      <c r="H1604" s="82" t="str">
        <f t="shared" si="1174"/>
        <v>0 percent up in Orosirian international stage</v>
      </c>
      <c r="I1604" s="142" t="str">
        <f t="shared" si="1175"/>
        <v>100 percent up in Orosirian international stage</v>
      </c>
      <c r="J1604" s="7">
        <v>0</v>
      </c>
      <c r="K1604" s="129">
        <f t="shared" si="1176"/>
        <v>0</v>
      </c>
      <c r="L1604" s="8" t="s">
        <v>193</v>
      </c>
      <c r="M1604" s="5" t="s">
        <v>224</v>
      </c>
      <c r="N1604" s="5" t="s">
        <v>1531</v>
      </c>
      <c r="O1604" s="125">
        <f>Master_Chronostrat!I170</f>
        <v>2050</v>
      </c>
      <c r="P1604" s="20">
        <v>1</v>
      </c>
      <c r="Q1604" s="143">
        <f t="shared" si="1177"/>
        <v>100</v>
      </c>
      <c r="R1604" s="21" t="s">
        <v>193</v>
      </c>
      <c r="S1604" s="8" t="s">
        <v>224</v>
      </c>
      <c r="T1604" s="7" t="s">
        <v>226</v>
      </c>
    </row>
    <row r="1605" spans="1:20" ht="28">
      <c r="A1605" s="10" t="s">
        <v>1491</v>
      </c>
      <c r="B1605" s="14" t="s">
        <v>1532</v>
      </c>
      <c r="C1605" s="5"/>
      <c r="D1605" s="5" t="s">
        <v>82</v>
      </c>
      <c r="E1605" s="132">
        <f>$O$1606-J1605*($O$1606-$O$1604)</f>
        <v>2225</v>
      </c>
      <c r="F1605" s="139">
        <f>$O$1598-P1605*($O$1598-$O$1595)</f>
        <v>1400</v>
      </c>
      <c r="G1605" s="149"/>
      <c r="H1605" s="82" t="str">
        <f t="shared" si="1174"/>
        <v>30 percent up in Rhyacian international stage</v>
      </c>
      <c r="I1605" s="142" t="str">
        <f t="shared" si="1175"/>
        <v>100 percent up in Calymmian international stage</v>
      </c>
      <c r="J1605" s="7">
        <v>0.30000000000000004</v>
      </c>
      <c r="K1605" s="129">
        <f t="shared" si="1176"/>
        <v>30</v>
      </c>
      <c r="L1605" s="8" t="s">
        <v>194</v>
      </c>
      <c r="M1605" s="5" t="s">
        <v>82</v>
      </c>
      <c r="N1605" s="5" t="s">
        <v>82</v>
      </c>
      <c r="O1605" s="83"/>
      <c r="P1605" s="20">
        <v>1</v>
      </c>
      <c r="Q1605" s="143">
        <f t="shared" si="1177"/>
        <v>100</v>
      </c>
      <c r="R1605" s="21" t="s">
        <v>191</v>
      </c>
      <c r="S1605" s="8" t="s">
        <v>246</v>
      </c>
      <c r="T1605" s="7" t="s">
        <v>226</v>
      </c>
    </row>
    <row r="1606" spans="1:20" ht="28">
      <c r="A1606" s="10" t="s">
        <v>1491</v>
      </c>
      <c r="B1606" s="14" t="s">
        <v>194</v>
      </c>
      <c r="C1606" s="135"/>
      <c r="D1606" s="135" t="s">
        <v>222</v>
      </c>
      <c r="E1606" s="132">
        <f>$O$1606-J1606*($O$1606-$O$1604)</f>
        <v>2300</v>
      </c>
      <c r="F1606" s="139">
        <f>$O$1606-P1606*($O$1606-$O$1604)</f>
        <v>2050</v>
      </c>
      <c r="G1606" s="149"/>
      <c r="H1606" s="82" t="str">
        <f t="shared" si="1174"/>
        <v>0 percent up in Rhyacian international stage</v>
      </c>
      <c r="I1606" s="142" t="str">
        <f t="shared" si="1175"/>
        <v>100 percent up in Rhyacian international stage</v>
      </c>
      <c r="J1606" s="7">
        <v>0</v>
      </c>
      <c r="K1606" s="129">
        <f t="shared" si="1176"/>
        <v>0</v>
      </c>
      <c r="L1606" s="8" t="s">
        <v>194</v>
      </c>
      <c r="M1606" s="5" t="s">
        <v>224</v>
      </c>
      <c r="N1606" s="5" t="s">
        <v>1533</v>
      </c>
      <c r="O1606" s="125">
        <f>Master_Chronostrat!I171</f>
        <v>2300</v>
      </c>
      <c r="P1606" s="20">
        <v>1</v>
      </c>
      <c r="Q1606" s="143">
        <f t="shared" si="1177"/>
        <v>100</v>
      </c>
      <c r="R1606" s="21" t="s">
        <v>194</v>
      </c>
      <c r="S1606" s="8" t="s">
        <v>224</v>
      </c>
      <c r="T1606" s="7" t="s">
        <v>226</v>
      </c>
    </row>
    <row r="1607" spans="1:20" ht="28">
      <c r="A1607" s="10" t="s">
        <v>1491</v>
      </c>
      <c r="B1607" s="14" t="s">
        <v>1534</v>
      </c>
      <c r="C1607" s="5"/>
      <c r="D1607" s="5" t="s">
        <v>248</v>
      </c>
      <c r="E1607" s="132">
        <f t="shared" ref="E1607:E1617" si="1179">$O$1617-J1607*($O$1617-$O$1606)</f>
        <v>2350</v>
      </c>
      <c r="F1607" s="139">
        <f>$O$1601-P1607*($O$1601-$O$1598)</f>
        <v>1750</v>
      </c>
      <c r="G1607" s="149"/>
      <c r="H1607" s="82" t="str">
        <f t="shared" si="1174"/>
        <v>75 percent up in Siderian international stage</v>
      </c>
      <c r="I1607" s="142" t="str">
        <f t="shared" si="1175"/>
        <v>25 percent up in Statherian international stage</v>
      </c>
      <c r="J1607" s="7">
        <v>0.75</v>
      </c>
      <c r="K1607" s="129">
        <f t="shared" si="1176"/>
        <v>75</v>
      </c>
      <c r="L1607" s="8" t="s">
        <v>197</v>
      </c>
      <c r="M1607" s="5" t="s">
        <v>82</v>
      </c>
      <c r="N1607" s="5" t="s">
        <v>82</v>
      </c>
      <c r="O1607" s="83"/>
      <c r="P1607" s="20">
        <v>0.25</v>
      </c>
      <c r="Q1607" s="143">
        <f t="shared" si="1177"/>
        <v>25</v>
      </c>
      <c r="R1607" s="21" t="s">
        <v>192</v>
      </c>
      <c r="S1607" s="8" t="s">
        <v>246</v>
      </c>
      <c r="T1607" s="7" t="s">
        <v>226</v>
      </c>
    </row>
    <row r="1608" spans="1:20" ht="28">
      <c r="A1608" s="10" t="s">
        <v>1491</v>
      </c>
      <c r="B1608" s="14" t="s">
        <v>1535</v>
      </c>
      <c r="C1608" s="5"/>
      <c r="D1608" s="5" t="s">
        <v>82</v>
      </c>
      <c r="E1608" s="132">
        <f t="shared" si="1179"/>
        <v>2500</v>
      </c>
      <c r="F1608" s="139">
        <f>$O$1572-P1608*($O$1572-$O$1565)</f>
        <v>538.79999999999995</v>
      </c>
      <c r="G1608" s="149"/>
      <c r="H1608" s="82" t="str">
        <f t="shared" si="1174"/>
        <v>0 percent up in Siderian international stage</v>
      </c>
      <c r="I1608" s="142" t="str">
        <f t="shared" si="1175"/>
        <v>100 percent up in Ediacaran international stage</v>
      </c>
      <c r="J1608" s="7">
        <v>0</v>
      </c>
      <c r="K1608" s="129">
        <f t="shared" si="1176"/>
        <v>0</v>
      </c>
      <c r="L1608" s="8" t="s">
        <v>197</v>
      </c>
      <c r="M1608" s="5" t="s">
        <v>82</v>
      </c>
      <c r="N1608" s="5" t="s">
        <v>82</v>
      </c>
      <c r="O1608" s="83"/>
      <c r="P1608" s="20">
        <v>1</v>
      </c>
      <c r="Q1608" s="143">
        <f t="shared" si="1177"/>
        <v>100</v>
      </c>
      <c r="R1608" s="21" t="s">
        <v>184</v>
      </c>
      <c r="S1608" s="8" t="s">
        <v>232</v>
      </c>
      <c r="T1608" s="7" t="s">
        <v>226</v>
      </c>
    </row>
    <row r="1609" spans="1:20" ht="28">
      <c r="A1609" s="10" t="s">
        <v>1491</v>
      </c>
      <c r="B1609" s="14" t="s">
        <v>1536</v>
      </c>
      <c r="C1609" s="5"/>
      <c r="D1609" s="5" t="s">
        <v>244</v>
      </c>
      <c r="E1609" s="132">
        <f t="shared" si="1179"/>
        <v>2500</v>
      </c>
      <c r="F1609" s="139">
        <f>$O$1601-P1609*($O$1601-$O$1598)</f>
        <v>1600</v>
      </c>
      <c r="G1609" s="149"/>
      <c r="H1609" s="82" t="str">
        <f t="shared" si="1174"/>
        <v>0 percent up in Siderian international stage</v>
      </c>
      <c r="I1609" s="142" t="str">
        <f t="shared" si="1175"/>
        <v>100 percent up in Statherian international stage</v>
      </c>
      <c r="J1609" s="7">
        <v>0</v>
      </c>
      <c r="K1609" s="129">
        <f t="shared" si="1176"/>
        <v>0</v>
      </c>
      <c r="L1609" s="8" t="s">
        <v>197</v>
      </c>
      <c r="M1609" s="5" t="s">
        <v>82</v>
      </c>
      <c r="N1609" s="5" t="s">
        <v>82</v>
      </c>
      <c r="O1609" s="83"/>
      <c r="P1609" s="20">
        <v>1</v>
      </c>
      <c r="Q1609" s="143">
        <f t="shared" si="1177"/>
        <v>100</v>
      </c>
      <c r="R1609" s="21" t="s">
        <v>192</v>
      </c>
      <c r="S1609" s="8" t="s">
        <v>232</v>
      </c>
      <c r="T1609" s="7" t="s">
        <v>226</v>
      </c>
    </row>
    <row r="1610" spans="1:20" ht="28">
      <c r="A1610" s="10" t="s">
        <v>1491</v>
      </c>
      <c r="B1610" s="14" t="s">
        <v>1537</v>
      </c>
      <c r="C1610" s="5"/>
      <c r="D1610" s="5" t="s">
        <v>82</v>
      </c>
      <c r="E1610" s="132">
        <f t="shared" si="1179"/>
        <v>2500</v>
      </c>
      <c r="F1610" s="139">
        <f>$O$1601-P1610*($O$1601-$O$1598)</f>
        <v>1600</v>
      </c>
      <c r="G1610" s="149"/>
      <c r="H1610" s="82" t="str">
        <f t="shared" si="1174"/>
        <v>0 percent up in Siderian international stage</v>
      </c>
      <c r="I1610" s="142" t="str">
        <f t="shared" si="1175"/>
        <v>100 percent up in Statherian international stage</v>
      </c>
      <c r="J1610" s="7">
        <v>0</v>
      </c>
      <c r="K1610" s="129">
        <f t="shared" si="1176"/>
        <v>0</v>
      </c>
      <c r="L1610" s="8" t="s">
        <v>197</v>
      </c>
      <c r="M1610" s="5" t="s">
        <v>82</v>
      </c>
      <c r="N1610" s="5" t="s">
        <v>82</v>
      </c>
      <c r="O1610" s="83"/>
      <c r="P1610" s="20">
        <v>1</v>
      </c>
      <c r="Q1610" s="143">
        <f t="shared" si="1177"/>
        <v>100</v>
      </c>
      <c r="R1610" s="21" t="s">
        <v>192</v>
      </c>
      <c r="S1610" s="8" t="s">
        <v>232</v>
      </c>
      <c r="T1610" s="7" t="s">
        <v>226</v>
      </c>
    </row>
    <row r="1611" spans="1:20" ht="28">
      <c r="A1611" s="10" t="s">
        <v>1491</v>
      </c>
      <c r="B1611" s="14" t="s">
        <v>1538</v>
      </c>
      <c r="C1611" s="5"/>
      <c r="D1611" s="5" t="s">
        <v>82</v>
      </c>
      <c r="E1611" s="132">
        <f t="shared" si="1179"/>
        <v>2500</v>
      </c>
      <c r="F1611" s="139">
        <f>$O$1598-P1611*($O$1598-$O$1595)</f>
        <v>1400</v>
      </c>
      <c r="G1611" s="149"/>
      <c r="H1611" s="82" t="str">
        <f t="shared" si="1174"/>
        <v>0 percent up in Siderian international stage</v>
      </c>
      <c r="I1611" s="142" t="str">
        <f t="shared" si="1175"/>
        <v>100 percent up in Calymmian international stage</v>
      </c>
      <c r="J1611" s="7">
        <v>0</v>
      </c>
      <c r="K1611" s="129">
        <f t="shared" si="1176"/>
        <v>0</v>
      </c>
      <c r="L1611" s="8" t="s">
        <v>197</v>
      </c>
      <c r="M1611" s="5" t="s">
        <v>82</v>
      </c>
      <c r="N1611" s="5" t="s">
        <v>82</v>
      </c>
      <c r="O1611" s="83"/>
      <c r="P1611" s="20">
        <v>1</v>
      </c>
      <c r="Q1611" s="143">
        <f t="shared" si="1177"/>
        <v>100</v>
      </c>
      <c r="R1611" s="21" t="s">
        <v>191</v>
      </c>
      <c r="S1611" s="8" t="s">
        <v>232</v>
      </c>
      <c r="T1611" s="7" t="s">
        <v>226</v>
      </c>
    </row>
    <row r="1612" spans="1:20" ht="28">
      <c r="A1612" s="10" t="s">
        <v>1491</v>
      </c>
      <c r="B1612" s="14" t="s">
        <v>1539</v>
      </c>
      <c r="C1612" s="5"/>
      <c r="D1612" s="5" t="s">
        <v>82</v>
      </c>
      <c r="E1612" s="132">
        <f t="shared" si="1179"/>
        <v>2500</v>
      </c>
      <c r="F1612" s="139">
        <f>$O$1601-P1612*($O$1601-$O$1598)</f>
        <v>1600</v>
      </c>
      <c r="G1612" s="149"/>
      <c r="H1612" s="82" t="str">
        <f t="shared" si="1174"/>
        <v>0 percent up in Siderian international stage</v>
      </c>
      <c r="I1612" s="142" t="str">
        <f t="shared" si="1175"/>
        <v>100 percent up in Statherian international stage</v>
      </c>
      <c r="J1612" s="7">
        <v>0</v>
      </c>
      <c r="K1612" s="129">
        <f t="shared" si="1176"/>
        <v>0</v>
      </c>
      <c r="L1612" s="8" t="s">
        <v>197</v>
      </c>
      <c r="M1612" s="5" t="s">
        <v>82</v>
      </c>
      <c r="N1612" s="5" t="s">
        <v>82</v>
      </c>
      <c r="O1612" s="83"/>
      <c r="P1612" s="20">
        <v>1</v>
      </c>
      <c r="Q1612" s="143">
        <f t="shared" si="1177"/>
        <v>100</v>
      </c>
      <c r="R1612" s="21" t="s">
        <v>192</v>
      </c>
      <c r="S1612" s="8" t="s">
        <v>232</v>
      </c>
      <c r="T1612" s="7" t="s">
        <v>226</v>
      </c>
    </row>
    <row r="1613" spans="1:20" ht="28">
      <c r="A1613" s="10" t="s">
        <v>1491</v>
      </c>
      <c r="B1613" s="14" t="s">
        <v>1540</v>
      </c>
      <c r="C1613" s="5"/>
      <c r="D1613" s="5" t="s">
        <v>368</v>
      </c>
      <c r="E1613" s="132">
        <f t="shared" si="1179"/>
        <v>2500</v>
      </c>
      <c r="F1613" s="139">
        <f>$O$1604-P1613*($O$1604-$O$1601)</f>
        <v>1800</v>
      </c>
      <c r="G1613" s="149"/>
      <c r="H1613" s="82" t="str">
        <f t="shared" si="1174"/>
        <v>0 percent up in Siderian international stage</v>
      </c>
      <c r="I1613" s="142" t="str">
        <f t="shared" si="1175"/>
        <v>100 percent up in Orosirian international stage</v>
      </c>
      <c r="J1613" s="7">
        <v>0</v>
      </c>
      <c r="K1613" s="129">
        <f t="shared" si="1176"/>
        <v>0</v>
      </c>
      <c r="L1613" s="8" t="s">
        <v>197</v>
      </c>
      <c r="M1613" s="5" t="s">
        <v>82</v>
      </c>
      <c r="N1613" s="5" t="s">
        <v>82</v>
      </c>
      <c r="O1613" s="83"/>
      <c r="P1613" s="20">
        <v>1</v>
      </c>
      <c r="Q1613" s="143">
        <f t="shared" si="1177"/>
        <v>100</v>
      </c>
      <c r="R1613" s="21" t="s">
        <v>193</v>
      </c>
      <c r="S1613" s="8" t="s">
        <v>232</v>
      </c>
      <c r="T1613" s="7" t="s">
        <v>226</v>
      </c>
    </row>
    <row r="1614" spans="1:20" ht="28">
      <c r="A1614" s="10" t="s">
        <v>1491</v>
      </c>
      <c r="B1614" s="14" t="s">
        <v>1541</v>
      </c>
      <c r="C1614" s="5"/>
      <c r="D1614" s="5" t="s">
        <v>1511</v>
      </c>
      <c r="E1614" s="132">
        <f t="shared" si="1179"/>
        <v>2500</v>
      </c>
      <c r="F1614" s="139">
        <f>$O$1606-P1614*($O$1606-$O$1604)</f>
        <v>2050</v>
      </c>
      <c r="G1614" s="149"/>
      <c r="H1614" s="82" t="str">
        <f t="shared" si="1174"/>
        <v>0 percent up in Siderian international stage</v>
      </c>
      <c r="I1614" s="142" t="str">
        <f t="shared" si="1175"/>
        <v>100 percent up in Rhyacian international stage</v>
      </c>
      <c r="J1614" s="7">
        <v>0</v>
      </c>
      <c r="K1614" s="129">
        <f t="shared" si="1176"/>
        <v>0</v>
      </c>
      <c r="L1614" s="8" t="s">
        <v>197</v>
      </c>
      <c r="M1614" s="5" t="s">
        <v>82</v>
      </c>
      <c r="N1614" s="5" t="s">
        <v>82</v>
      </c>
      <c r="O1614" s="83"/>
      <c r="P1614" s="20">
        <v>1</v>
      </c>
      <c r="Q1614" s="143">
        <f t="shared" si="1177"/>
        <v>100</v>
      </c>
      <c r="R1614" s="21" t="s">
        <v>194</v>
      </c>
      <c r="S1614" s="8" t="s">
        <v>232</v>
      </c>
      <c r="T1614" s="7" t="s">
        <v>226</v>
      </c>
    </row>
    <row r="1615" spans="1:20" ht="28">
      <c r="A1615" s="10" t="s">
        <v>1491</v>
      </c>
      <c r="B1615" s="14" t="s">
        <v>197</v>
      </c>
      <c r="C1615" s="135"/>
      <c r="D1615" s="135" t="s">
        <v>222</v>
      </c>
      <c r="E1615" s="132">
        <f t="shared" si="1179"/>
        <v>2500</v>
      </c>
      <c r="F1615" s="139">
        <f>$O$1617-P1615*($O$1617-$O$1606)</f>
        <v>2300</v>
      </c>
      <c r="G1615" s="149"/>
      <c r="H1615" s="82" t="str">
        <f t="shared" si="1174"/>
        <v>0 percent up in Siderian international stage</v>
      </c>
      <c r="I1615" s="142" t="str">
        <f t="shared" si="1175"/>
        <v>100 percent up in Siderian international stage</v>
      </c>
      <c r="J1615" s="7">
        <v>0</v>
      </c>
      <c r="K1615" s="129">
        <f t="shared" si="1176"/>
        <v>0</v>
      </c>
      <c r="L1615" s="8" t="s">
        <v>197</v>
      </c>
      <c r="M1615" s="5" t="s">
        <v>224</v>
      </c>
      <c r="N1615" s="5" t="s">
        <v>1542</v>
      </c>
      <c r="O1615" s="125">
        <f>Master_Chronostrat!I172</f>
        <v>2500</v>
      </c>
      <c r="P1615" s="20">
        <v>1</v>
      </c>
      <c r="Q1615" s="143">
        <f t="shared" si="1177"/>
        <v>100</v>
      </c>
      <c r="R1615" s="21" t="s">
        <v>197</v>
      </c>
      <c r="S1615" s="8" t="s">
        <v>224</v>
      </c>
      <c r="T1615" s="7" t="s">
        <v>226</v>
      </c>
    </row>
    <row r="1616" spans="1:20" ht="28">
      <c r="A1616" s="11" t="s">
        <v>1491</v>
      </c>
      <c r="B1616" s="15" t="s">
        <v>196</v>
      </c>
      <c r="C1616" s="135"/>
      <c r="D1616" s="135" t="s">
        <v>222</v>
      </c>
      <c r="E1616" s="132">
        <f t="shared" si="1179"/>
        <v>2500</v>
      </c>
      <c r="F1616" s="139">
        <f>$O$1601-P1616*($O$1601-$O$1598)</f>
        <v>1600</v>
      </c>
      <c r="G1616" s="149"/>
      <c r="H1616" s="82" t="str">
        <f t="shared" si="1174"/>
        <v>0 percent up in Siderian international stage</v>
      </c>
      <c r="I1616" s="142" t="str">
        <f t="shared" si="1175"/>
        <v>100 percent up in Statherian international stage</v>
      </c>
      <c r="J1616" s="7">
        <v>0</v>
      </c>
      <c r="K1616" s="129">
        <f t="shared" si="1176"/>
        <v>0</v>
      </c>
      <c r="L1616" s="8" t="s">
        <v>197</v>
      </c>
      <c r="M1616" s="5" t="s">
        <v>224</v>
      </c>
      <c r="N1616" s="5" t="s">
        <v>1543</v>
      </c>
      <c r="O1616" s="125">
        <f>Master_Chronostrat!I172</f>
        <v>2500</v>
      </c>
      <c r="P1616" s="20">
        <v>1</v>
      </c>
      <c r="Q1616" s="143">
        <f t="shared" si="1177"/>
        <v>100</v>
      </c>
      <c r="R1616" s="21" t="s">
        <v>192</v>
      </c>
      <c r="S1616" s="8" t="s">
        <v>239</v>
      </c>
      <c r="T1616" s="7" t="s">
        <v>226</v>
      </c>
    </row>
    <row r="1617" spans="1:20" ht="28">
      <c r="A1617" s="11" t="s">
        <v>1491</v>
      </c>
      <c r="B1617" s="15" t="s">
        <v>195</v>
      </c>
      <c r="C1617" s="135"/>
      <c r="D1617" s="135" t="s">
        <v>222</v>
      </c>
      <c r="E1617" s="132">
        <f t="shared" si="1179"/>
        <v>2500</v>
      </c>
      <c r="F1617" s="139">
        <f>$O$1572-P1617*($O$1572-$O$1565)</f>
        <v>538.79999999999995</v>
      </c>
      <c r="G1617" s="149"/>
      <c r="H1617" s="82" t="str">
        <f t="shared" si="1174"/>
        <v>0 percent up in Siderian international stage</v>
      </c>
      <c r="I1617" s="142" t="str">
        <f t="shared" si="1175"/>
        <v>100 percent up in Ediacaran international stage</v>
      </c>
      <c r="J1617" s="7">
        <v>0</v>
      </c>
      <c r="K1617" s="129">
        <f t="shared" si="1176"/>
        <v>0</v>
      </c>
      <c r="L1617" s="8" t="s">
        <v>197</v>
      </c>
      <c r="M1617" s="5" t="s">
        <v>224</v>
      </c>
      <c r="N1617" s="5" t="s">
        <v>1544</v>
      </c>
      <c r="O1617" s="125">
        <f>Master_Chronostrat!I172</f>
        <v>2500</v>
      </c>
      <c r="P1617" s="20">
        <v>1</v>
      </c>
      <c r="Q1617" s="143">
        <f t="shared" si="1177"/>
        <v>100</v>
      </c>
      <c r="R1617" s="21" t="s">
        <v>184</v>
      </c>
      <c r="S1617" s="8" t="s">
        <v>239</v>
      </c>
      <c r="T1617" s="7" t="s">
        <v>226</v>
      </c>
    </row>
    <row r="1618" spans="1:20" ht="28">
      <c r="A1618" s="10" t="s">
        <v>1491</v>
      </c>
      <c r="B1618" s="14" t="s">
        <v>1545</v>
      </c>
      <c r="C1618" s="5"/>
      <c r="D1618" s="5" t="s">
        <v>248</v>
      </c>
      <c r="E1618" s="132">
        <f>$O$1619-J1618*($O$1619-$O$1617)</f>
        <v>2600</v>
      </c>
      <c r="F1618" s="139">
        <f>$O$1617-P1618*($O$1617-$O$1606)</f>
        <v>2350</v>
      </c>
      <c r="G1618" s="149"/>
      <c r="H1618" s="82" t="str">
        <f t="shared" si="1174"/>
        <v>66.7 percent up in Neoarchean international stage</v>
      </c>
      <c r="I1618" s="142" t="str">
        <f t="shared" si="1175"/>
        <v>75 percent up in Siderian international stage</v>
      </c>
      <c r="J1618" s="7">
        <v>0.66666666666666674</v>
      </c>
      <c r="K1618" s="129">
        <f t="shared" si="1176"/>
        <v>66.7</v>
      </c>
      <c r="L1618" s="8" t="s">
        <v>198</v>
      </c>
      <c r="M1618" s="5" t="s">
        <v>82</v>
      </c>
      <c r="N1618" s="5" t="s">
        <v>82</v>
      </c>
      <c r="O1618" s="83"/>
      <c r="P1618" s="20">
        <v>0.75</v>
      </c>
      <c r="Q1618" s="143">
        <f t="shared" si="1177"/>
        <v>75</v>
      </c>
      <c r="R1618" s="21" t="s">
        <v>197</v>
      </c>
      <c r="S1618" s="8" t="s">
        <v>246</v>
      </c>
      <c r="T1618" s="7" t="s">
        <v>226</v>
      </c>
    </row>
    <row r="1619" spans="1:20" ht="28">
      <c r="A1619" s="10" t="s">
        <v>1546</v>
      </c>
      <c r="B1619" s="14" t="s">
        <v>198</v>
      </c>
      <c r="C1619" s="135"/>
      <c r="D1619" s="135" t="s">
        <v>222</v>
      </c>
      <c r="E1619" s="132">
        <f>$O$1619-J1619*($O$1619-$O$1617)</f>
        <v>2800</v>
      </c>
      <c r="F1619" s="139">
        <f>$O$1619-P1619*($O$1619-$O$1617)</f>
        <v>2500</v>
      </c>
      <c r="G1619" s="149"/>
      <c r="H1619" s="82" t="str">
        <f t="shared" si="1174"/>
        <v>0 percent up in Neoarchean international stage</v>
      </c>
      <c r="I1619" s="142" t="str">
        <f t="shared" si="1175"/>
        <v>100 percent up in Neoarchean international stage</v>
      </c>
      <c r="J1619" s="7">
        <v>0</v>
      </c>
      <c r="K1619" s="129">
        <f t="shared" si="1176"/>
        <v>0</v>
      </c>
      <c r="L1619" s="8" t="s">
        <v>198</v>
      </c>
      <c r="M1619" s="5" t="s">
        <v>224</v>
      </c>
      <c r="N1619" s="5" t="s">
        <v>1547</v>
      </c>
      <c r="O1619" s="125">
        <f>Master_Chronostrat!I173</f>
        <v>2800</v>
      </c>
      <c r="P1619" s="20">
        <v>1</v>
      </c>
      <c r="Q1619" s="143">
        <f t="shared" si="1177"/>
        <v>100</v>
      </c>
      <c r="R1619" s="21" t="s">
        <v>198</v>
      </c>
      <c r="S1619" s="8" t="s">
        <v>224</v>
      </c>
      <c r="T1619" s="7" t="s">
        <v>226</v>
      </c>
    </row>
    <row r="1620" spans="1:20" ht="28">
      <c r="A1620" s="10" t="s">
        <v>1546</v>
      </c>
      <c r="B1620" s="14" t="s">
        <v>1548</v>
      </c>
      <c r="C1620" s="5"/>
      <c r="D1620" s="5" t="s">
        <v>82</v>
      </c>
      <c r="E1620" s="132">
        <f>$O$1623-J1620*($O$1623-$O$1619)</f>
        <v>3000</v>
      </c>
      <c r="F1620" s="139">
        <f>$O$1619-P1620*($O$1619-$O$1617)</f>
        <v>2500</v>
      </c>
      <c r="G1620" s="149"/>
      <c r="H1620" s="82" t="str">
        <f t="shared" si="1174"/>
        <v>50 percent up in Mesoarchean international stage</v>
      </c>
      <c r="I1620" s="142" t="str">
        <f t="shared" si="1175"/>
        <v>100 percent up in Neoarchean international stage</v>
      </c>
      <c r="J1620" s="7">
        <v>0.5</v>
      </c>
      <c r="K1620" s="129">
        <f t="shared" si="1176"/>
        <v>50</v>
      </c>
      <c r="L1620" s="8" t="s">
        <v>199</v>
      </c>
      <c r="M1620" s="5" t="s">
        <v>82</v>
      </c>
      <c r="N1620" s="5" t="s">
        <v>82</v>
      </c>
      <c r="O1620" s="83"/>
      <c r="P1620" s="20">
        <v>1</v>
      </c>
      <c r="Q1620" s="143">
        <f t="shared" si="1177"/>
        <v>100</v>
      </c>
      <c r="R1620" s="21" t="s">
        <v>198</v>
      </c>
      <c r="S1620" s="8" t="s">
        <v>246</v>
      </c>
      <c r="T1620" s="7" t="s">
        <v>226</v>
      </c>
    </row>
    <row r="1621" spans="1:20" ht="28">
      <c r="A1621" s="10" t="s">
        <v>1546</v>
      </c>
      <c r="B1621" s="14" t="s">
        <v>1549</v>
      </c>
      <c r="C1621" s="5"/>
      <c r="D1621" s="5" t="s">
        <v>1511</v>
      </c>
      <c r="E1621" s="132">
        <f>$O$1623-J1621*($O$1623-$O$1619)</f>
        <v>3000</v>
      </c>
      <c r="F1621" s="139">
        <f>$O$1619-P1621*($O$1619-$O$1617)</f>
        <v>2500</v>
      </c>
      <c r="G1621" s="149"/>
      <c r="H1621" s="82" t="str">
        <f t="shared" si="1174"/>
        <v>50 percent up in Mesoarchean international stage</v>
      </c>
      <c r="I1621" s="142" t="str">
        <f t="shared" si="1175"/>
        <v>100 percent up in Neoarchean international stage</v>
      </c>
      <c r="J1621" s="7">
        <v>0.5</v>
      </c>
      <c r="K1621" s="129">
        <f t="shared" si="1176"/>
        <v>50</v>
      </c>
      <c r="L1621" s="8" t="s">
        <v>199</v>
      </c>
      <c r="M1621" s="5" t="s">
        <v>82</v>
      </c>
      <c r="N1621" s="5" t="s">
        <v>82</v>
      </c>
      <c r="O1621" s="83"/>
      <c r="P1621" s="20">
        <v>1</v>
      </c>
      <c r="Q1621" s="143">
        <f t="shared" si="1177"/>
        <v>100</v>
      </c>
      <c r="R1621" s="21" t="s">
        <v>198</v>
      </c>
      <c r="S1621" s="8" t="s">
        <v>246</v>
      </c>
      <c r="T1621" s="7" t="s">
        <v>226</v>
      </c>
    </row>
    <row r="1622" spans="1:20" ht="28">
      <c r="A1622" s="10" t="s">
        <v>1546</v>
      </c>
      <c r="B1622" s="14" t="s">
        <v>1550</v>
      </c>
      <c r="C1622" s="5"/>
      <c r="D1622" s="5" t="s">
        <v>248</v>
      </c>
      <c r="E1622" s="132">
        <f>$O$1623-J1622*($O$1623-$O$1619)</f>
        <v>3100</v>
      </c>
      <c r="F1622" s="139">
        <f>$O$1619-P1622*($O$1619-$O$1617)</f>
        <v>2600</v>
      </c>
      <c r="G1622" s="149"/>
      <c r="H1622" s="82" t="str">
        <f t="shared" si="1174"/>
        <v>25 percent up in Mesoarchean international stage</v>
      </c>
      <c r="I1622" s="142" t="str">
        <f t="shared" si="1175"/>
        <v>66.7 percent up in Neoarchean international stage</v>
      </c>
      <c r="J1622" s="7">
        <v>0.25</v>
      </c>
      <c r="K1622" s="129">
        <f t="shared" si="1176"/>
        <v>25</v>
      </c>
      <c r="L1622" s="8" t="s">
        <v>199</v>
      </c>
      <c r="M1622" s="5" t="s">
        <v>82</v>
      </c>
      <c r="N1622" s="5" t="s">
        <v>82</v>
      </c>
      <c r="O1622" s="83"/>
      <c r="P1622" s="20">
        <v>0.66666666666666663</v>
      </c>
      <c r="Q1622" s="143">
        <f t="shared" si="1177"/>
        <v>66.7</v>
      </c>
      <c r="R1622" s="21" t="s">
        <v>198</v>
      </c>
      <c r="S1622" s="8" t="s">
        <v>246</v>
      </c>
      <c r="T1622" s="7" t="s">
        <v>226</v>
      </c>
    </row>
    <row r="1623" spans="1:20" ht="28">
      <c r="A1623" s="10" t="s">
        <v>1546</v>
      </c>
      <c r="B1623" s="14" t="s">
        <v>199</v>
      </c>
      <c r="C1623" s="135"/>
      <c r="D1623" s="135" t="s">
        <v>222</v>
      </c>
      <c r="E1623" s="132">
        <f>$O$1623-J1623*($O$1623-$O$1619)</f>
        <v>3200</v>
      </c>
      <c r="F1623" s="139">
        <f>$O$1623-P1623*($O$1623-$O$1619)</f>
        <v>2800</v>
      </c>
      <c r="G1623" s="149"/>
      <c r="H1623" s="82" t="str">
        <f t="shared" si="1174"/>
        <v>0 percent up in Mesoarchean international stage</v>
      </c>
      <c r="I1623" s="142" t="str">
        <f t="shared" si="1175"/>
        <v>100 percent up in Mesoarchean international stage</v>
      </c>
      <c r="J1623" s="7">
        <v>0</v>
      </c>
      <c r="K1623" s="129">
        <f t="shared" si="1176"/>
        <v>0</v>
      </c>
      <c r="L1623" s="8" t="s">
        <v>199</v>
      </c>
      <c r="M1623" s="5" t="s">
        <v>224</v>
      </c>
      <c r="N1623" s="5" t="s">
        <v>1551</v>
      </c>
      <c r="O1623" s="125">
        <f>Master_Chronostrat!I174</f>
        <v>3200</v>
      </c>
      <c r="P1623" s="20">
        <v>1</v>
      </c>
      <c r="Q1623" s="143">
        <f t="shared" si="1177"/>
        <v>100</v>
      </c>
      <c r="R1623" s="21" t="s">
        <v>199</v>
      </c>
      <c r="S1623" s="8" t="s">
        <v>224</v>
      </c>
      <c r="T1623" s="7" t="s">
        <v>226</v>
      </c>
    </row>
    <row r="1624" spans="1:20" ht="28">
      <c r="A1624" s="10" t="s">
        <v>1546</v>
      </c>
      <c r="B1624" s="14" t="s">
        <v>200</v>
      </c>
      <c r="C1624" s="135"/>
      <c r="D1624" s="135" t="s">
        <v>222</v>
      </c>
      <c r="E1624" s="132">
        <f>$O$1624-J1624*($O$1624-$O$1623)</f>
        <v>3600</v>
      </c>
      <c r="F1624" s="139">
        <f>$O$1624-P1624*($O$1624-$O$1623)</f>
        <v>3200</v>
      </c>
      <c r="G1624" s="149"/>
      <c r="H1624" s="82" t="str">
        <f t="shared" si="1174"/>
        <v>0 percent up in Paleoarchean international stage</v>
      </c>
      <c r="I1624" s="142" t="str">
        <f t="shared" si="1175"/>
        <v>100 percent up in Paleoarchean international stage</v>
      </c>
      <c r="J1624" s="7">
        <v>0</v>
      </c>
      <c r="K1624" s="129">
        <f t="shared" si="1176"/>
        <v>0</v>
      </c>
      <c r="L1624" s="8" t="s">
        <v>200</v>
      </c>
      <c r="M1624" s="5" t="s">
        <v>224</v>
      </c>
      <c r="N1624" s="5" t="s">
        <v>1552</v>
      </c>
      <c r="O1624" s="125">
        <f>Master_Chronostrat!I175</f>
        <v>3600</v>
      </c>
      <c r="P1624" s="20">
        <v>1</v>
      </c>
      <c r="Q1624" s="143">
        <f t="shared" si="1177"/>
        <v>100</v>
      </c>
      <c r="R1624" s="21" t="s">
        <v>200</v>
      </c>
      <c r="S1624" s="8" t="s">
        <v>224</v>
      </c>
      <c r="T1624" s="7" t="s">
        <v>226</v>
      </c>
    </row>
    <row r="1625" spans="1:20" ht="28">
      <c r="A1625" s="10" t="s">
        <v>1546</v>
      </c>
      <c r="B1625" s="14" t="s">
        <v>1553</v>
      </c>
      <c r="C1625" s="5"/>
      <c r="D1625" s="5" t="s">
        <v>82</v>
      </c>
      <c r="E1625" s="132">
        <f>$O$1629-J1625*($O$1629-$O$1624)</f>
        <v>4000</v>
      </c>
      <c r="F1625" s="139">
        <f>$O$1619-P1625*($O$1619-$O$1617)</f>
        <v>2500</v>
      </c>
      <c r="G1625" s="149"/>
      <c r="H1625" s="82" t="str">
        <f t="shared" si="1174"/>
        <v>0 percent up in Eoarchean international stage</v>
      </c>
      <c r="I1625" s="142" t="str">
        <f t="shared" si="1175"/>
        <v>100 percent up in Neoarchean international stage</v>
      </c>
      <c r="J1625" s="7">
        <v>0</v>
      </c>
      <c r="K1625" s="129">
        <f t="shared" si="1176"/>
        <v>0</v>
      </c>
      <c r="L1625" s="8" t="s">
        <v>202</v>
      </c>
      <c r="M1625" s="5" t="s">
        <v>82</v>
      </c>
      <c r="N1625" s="5" t="s">
        <v>82</v>
      </c>
      <c r="O1625" s="83"/>
      <c r="P1625" s="20">
        <v>1</v>
      </c>
      <c r="Q1625" s="143">
        <f t="shared" si="1177"/>
        <v>100</v>
      </c>
      <c r="R1625" s="21" t="s">
        <v>198</v>
      </c>
      <c r="S1625" s="8" t="s">
        <v>232</v>
      </c>
      <c r="T1625" s="7" t="s">
        <v>226</v>
      </c>
    </row>
    <row r="1626" spans="1:20" ht="28">
      <c r="A1626" s="10" t="s">
        <v>1546</v>
      </c>
      <c r="B1626" s="14" t="s">
        <v>1554</v>
      </c>
      <c r="C1626" s="5"/>
      <c r="D1626" s="5" t="s">
        <v>82</v>
      </c>
      <c r="E1626" s="132">
        <f>$O$1629-J1626*($O$1629-$O$1624)</f>
        <v>4000</v>
      </c>
      <c r="F1626" s="139">
        <f>$O$1624-P1626*($O$1624-$O$1623)</f>
        <v>3500</v>
      </c>
      <c r="G1626" s="149"/>
      <c r="H1626" s="82" t="str">
        <f t="shared" si="1174"/>
        <v>0 percent up in Eoarchean international stage</v>
      </c>
      <c r="I1626" s="142" t="str">
        <f t="shared" si="1175"/>
        <v>25 percent up in Paleoarchean international stage</v>
      </c>
      <c r="J1626" s="7">
        <v>0</v>
      </c>
      <c r="K1626" s="129">
        <f t="shared" si="1176"/>
        <v>0</v>
      </c>
      <c r="L1626" s="8" t="s">
        <v>202</v>
      </c>
      <c r="M1626" s="5" t="s">
        <v>82</v>
      </c>
      <c r="N1626" s="5" t="s">
        <v>82</v>
      </c>
      <c r="O1626" s="83"/>
      <c r="P1626" s="20">
        <v>0.25</v>
      </c>
      <c r="Q1626" s="143">
        <f t="shared" si="1177"/>
        <v>25</v>
      </c>
      <c r="R1626" s="21" t="s">
        <v>200</v>
      </c>
      <c r="S1626" s="8" t="s">
        <v>246</v>
      </c>
      <c r="T1626" s="7" t="s">
        <v>226</v>
      </c>
    </row>
    <row r="1627" spans="1:20" ht="28">
      <c r="A1627" s="10" t="s">
        <v>1546</v>
      </c>
      <c r="B1627" s="14" t="s">
        <v>1555</v>
      </c>
      <c r="C1627" s="5"/>
      <c r="D1627" s="5" t="s">
        <v>248</v>
      </c>
      <c r="E1627" s="132">
        <f>$O$1629-J1627*($O$1629-$O$1624)</f>
        <v>4000</v>
      </c>
      <c r="F1627" s="139">
        <f>$O$1624-P1627*($O$1624-$O$1623)</f>
        <v>3400</v>
      </c>
      <c r="G1627" s="149"/>
      <c r="H1627" s="82" t="str">
        <f t="shared" si="1174"/>
        <v>0 percent up in Eoarchean international stage</v>
      </c>
      <c r="I1627" s="142" t="str">
        <f t="shared" si="1175"/>
        <v>50 percent up in Paleoarchean international stage</v>
      </c>
      <c r="J1627" s="7">
        <v>0</v>
      </c>
      <c r="K1627" s="129">
        <f t="shared" si="1176"/>
        <v>0</v>
      </c>
      <c r="L1627" s="8" t="s">
        <v>202</v>
      </c>
      <c r="M1627" s="5" t="s">
        <v>82</v>
      </c>
      <c r="N1627" s="5" t="s">
        <v>82</v>
      </c>
      <c r="O1627" s="83"/>
      <c r="P1627" s="20">
        <v>0.5</v>
      </c>
      <c r="Q1627" s="143">
        <f t="shared" si="1177"/>
        <v>50</v>
      </c>
      <c r="R1627" s="21" t="s">
        <v>200</v>
      </c>
      <c r="S1627" s="8" t="s">
        <v>246</v>
      </c>
      <c r="T1627" s="7" t="s">
        <v>226</v>
      </c>
    </row>
    <row r="1628" spans="1:20" ht="28">
      <c r="A1628" s="10" t="s">
        <v>1546</v>
      </c>
      <c r="B1628" s="14" t="s">
        <v>202</v>
      </c>
      <c r="C1628" s="135"/>
      <c r="D1628" s="135" t="s">
        <v>222</v>
      </c>
      <c r="E1628" s="132">
        <f>$O$1629-J1628*($O$1629-$O$1624)</f>
        <v>4000</v>
      </c>
      <c r="F1628" s="139">
        <f>$O$1629-P1628*($O$1629-$O$1624)</f>
        <v>3600</v>
      </c>
      <c r="G1628" s="149"/>
      <c r="H1628" s="82" t="str">
        <f t="shared" si="1174"/>
        <v>0 percent up in Eoarchean international stage</v>
      </c>
      <c r="I1628" s="142" t="str">
        <f t="shared" si="1175"/>
        <v>100 percent up in Eoarchean international stage</v>
      </c>
      <c r="J1628" s="7">
        <v>0</v>
      </c>
      <c r="K1628" s="129">
        <f t="shared" si="1176"/>
        <v>0</v>
      </c>
      <c r="L1628" s="8" t="s">
        <v>202</v>
      </c>
      <c r="M1628" s="5" t="s">
        <v>224</v>
      </c>
      <c r="N1628" s="5" t="s">
        <v>1556</v>
      </c>
      <c r="O1628" s="125">
        <f>Master_Chronostrat!I176</f>
        <v>4000</v>
      </c>
      <c r="P1628" s="20">
        <v>1</v>
      </c>
      <c r="Q1628" s="143">
        <f t="shared" si="1177"/>
        <v>100</v>
      </c>
      <c r="R1628" s="21" t="s">
        <v>202</v>
      </c>
      <c r="S1628" s="8" t="s">
        <v>224</v>
      </c>
      <c r="T1628" s="7" t="s">
        <v>226</v>
      </c>
    </row>
    <row r="1629" spans="1:20" ht="28">
      <c r="A1629" s="11" t="s">
        <v>1546</v>
      </c>
      <c r="B1629" s="15" t="s">
        <v>201</v>
      </c>
      <c r="C1629" s="135"/>
      <c r="D1629" s="135" t="s">
        <v>222</v>
      </c>
      <c r="E1629" s="132">
        <f>$O$1629-J1629*($O$1629-$O$1624)</f>
        <v>4000</v>
      </c>
      <c r="F1629" s="139">
        <f>$O$1619-P1629*($O$1619-$O$1617)</f>
        <v>2500</v>
      </c>
      <c r="G1629" s="149"/>
      <c r="H1629" s="82" t="str">
        <f t="shared" si="1174"/>
        <v>0 percent up in Eoarchean international stage</v>
      </c>
      <c r="I1629" s="142" t="str">
        <f t="shared" si="1175"/>
        <v>100 percent up in Neoarchean international stage</v>
      </c>
      <c r="J1629" s="7">
        <v>0</v>
      </c>
      <c r="K1629" s="129">
        <f t="shared" si="1176"/>
        <v>0</v>
      </c>
      <c r="L1629" s="8" t="s">
        <v>202</v>
      </c>
      <c r="M1629" s="5" t="s">
        <v>224</v>
      </c>
      <c r="N1629" s="5" t="s">
        <v>1557</v>
      </c>
      <c r="O1629" s="125">
        <f>Master_Chronostrat!I176</f>
        <v>4000</v>
      </c>
      <c r="P1629" s="20">
        <v>1</v>
      </c>
      <c r="Q1629" s="143">
        <f t="shared" si="1177"/>
        <v>100</v>
      </c>
      <c r="R1629" s="21" t="s">
        <v>198</v>
      </c>
      <c r="S1629" s="8" t="s">
        <v>239</v>
      </c>
      <c r="T1629" s="7" t="s">
        <v>226</v>
      </c>
    </row>
    <row r="1630" spans="1:20" ht="28">
      <c r="A1630" s="10" t="s">
        <v>1491</v>
      </c>
      <c r="B1630" s="14" t="s">
        <v>1558</v>
      </c>
      <c r="C1630" s="5"/>
      <c r="D1630" s="5" t="s">
        <v>82</v>
      </c>
      <c r="E1630" s="132">
        <f t="shared" ref="E1630:E1640" si="1180">$O$1640-J1630*($O$1640-$O$1629)</f>
        <v>4073.9079995307429</v>
      </c>
      <c r="F1630" s="139">
        <f>$O$1624-P1630*($O$1624-$O$1623)</f>
        <v>3200</v>
      </c>
      <c r="G1630" s="149"/>
      <c r="H1630" s="82" t="str">
        <f t="shared" si="1174"/>
        <v>87 percent up in Hadean international stage</v>
      </c>
      <c r="I1630" s="142" t="str">
        <f t="shared" si="1175"/>
        <v>100 percent up in Paleoarchean international stage</v>
      </c>
      <c r="J1630" s="7">
        <v>0.86965079447840765</v>
      </c>
      <c r="K1630" s="129">
        <f t="shared" si="1176"/>
        <v>87</v>
      </c>
      <c r="L1630" s="8" t="s">
        <v>203</v>
      </c>
      <c r="M1630" s="5" t="s">
        <v>82</v>
      </c>
      <c r="N1630" s="5" t="s">
        <v>82</v>
      </c>
      <c r="O1630" s="83"/>
      <c r="P1630" s="20">
        <v>1</v>
      </c>
      <c r="Q1630" s="143">
        <f t="shared" si="1177"/>
        <v>100</v>
      </c>
      <c r="R1630" s="21" t="s">
        <v>200</v>
      </c>
      <c r="S1630" s="8" t="s">
        <v>246</v>
      </c>
      <c r="T1630" s="7" t="s">
        <v>226</v>
      </c>
    </row>
    <row r="1631" spans="1:20" ht="28">
      <c r="A1631" s="10" t="s">
        <v>1546</v>
      </c>
      <c r="B1631" s="14" t="s">
        <v>1559</v>
      </c>
      <c r="C1631" s="5"/>
      <c r="D1631" s="5" t="s">
        <v>82</v>
      </c>
      <c r="E1631" s="132">
        <f t="shared" si="1180"/>
        <v>4129.3389991787999</v>
      </c>
      <c r="F1631" s="139">
        <f>$O$1640-P1631*($O$1640-$O$1629)</f>
        <v>4073.9079995307429</v>
      </c>
      <c r="G1631" s="149"/>
      <c r="H1631" s="82" t="str">
        <f t="shared" si="1174"/>
        <v>77.2 percent up in Hadean international stage</v>
      </c>
      <c r="I1631" s="142" t="str">
        <f t="shared" si="1175"/>
        <v>87 percent up in Hadean international stage</v>
      </c>
      <c r="J1631" s="7">
        <v>0.77188889033721342</v>
      </c>
      <c r="K1631" s="129">
        <f t="shared" si="1176"/>
        <v>77.2</v>
      </c>
      <c r="L1631" s="8" t="s">
        <v>203</v>
      </c>
      <c r="M1631" s="5" t="s">
        <v>82</v>
      </c>
      <c r="N1631" s="5" t="s">
        <v>82</v>
      </c>
      <c r="O1631" s="83"/>
      <c r="P1631" s="20">
        <v>0.86965079447840765</v>
      </c>
      <c r="Q1631" s="143">
        <f t="shared" si="1177"/>
        <v>87</v>
      </c>
      <c r="R1631" s="21" t="s">
        <v>203</v>
      </c>
      <c r="S1631" s="8" t="s">
        <v>259</v>
      </c>
      <c r="T1631" s="7">
        <v>9.7761904141194317E-2</v>
      </c>
    </row>
    <row r="1632" spans="1:20" ht="28">
      <c r="A1632" s="10" t="s">
        <v>1546</v>
      </c>
      <c r="B1632" s="14" t="s">
        <v>1560</v>
      </c>
      <c r="C1632" s="5"/>
      <c r="D1632" s="5" t="s">
        <v>1511</v>
      </c>
      <c r="E1632" s="132">
        <f t="shared" si="1180"/>
        <v>4147.8159990614859</v>
      </c>
      <c r="F1632" s="139">
        <f>$O$1623-P1632*($O$1623-$O$1619)</f>
        <v>3000</v>
      </c>
      <c r="G1632" s="149"/>
      <c r="H1632" s="82" t="str">
        <f t="shared" si="1174"/>
        <v>73.9 percent up in Hadean international stage</v>
      </c>
      <c r="I1632" s="142" t="str">
        <f t="shared" si="1175"/>
        <v>50 percent up in Mesoarchean international stage</v>
      </c>
      <c r="J1632" s="7">
        <v>0.7393015889568153</v>
      </c>
      <c r="K1632" s="129">
        <f t="shared" si="1176"/>
        <v>73.900000000000006</v>
      </c>
      <c r="L1632" s="8" t="s">
        <v>203</v>
      </c>
      <c r="M1632" s="5" t="s">
        <v>82</v>
      </c>
      <c r="N1632" s="5" t="s">
        <v>82</v>
      </c>
      <c r="O1632" s="83"/>
      <c r="P1632" s="20">
        <v>0.5</v>
      </c>
      <c r="Q1632" s="143">
        <f t="shared" si="1177"/>
        <v>50</v>
      </c>
      <c r="R1632" s="21" t="s">
        <v>199</v>
      </c>
      <c r="S1632" s="8" t="s">
        <v>246</v>
      </c>
      <c r="T1632" s="7" t="s">
        <v>226</v>
      </c>
    </row>
    <row r="1633" spans="1:20" ht="28">
      <c r="A1633" s="10" t="s">
        <v>1546</v>
      </c>
      <c r="B1633" s="14" t="s">
        <v>1561</v>
      </c>
      <c r="C1633" s="5"/>
      <c r="D1633" s="5" t="s">
        <v>82</v>
      </c>
      <c r="E1633" s="132">
        <f t="shared" si="1180"/>
        <v>4258.6779983575998</v>
      </c>
      <c r="F1633" s="139">
        <f>$O$1640-P1633*($O$1640-$O$1629)</f>
        <v>4129.3389991787999</v>
      </c>
      <c r="G1633" s="149"/>
      <c r="H1633" s="82" t="str">
        <f t="shared" si="1174"/>
        <v>54.4 percent up in Hadean international stage</v>
      </c>
      <c r="I1633" s="142" t="str">
        <f t="shared" si="1175"/>
        <v>77.2 percent up in Hadean international stage</v>
      </c>
      <c r="J1633" s="7">
        <v>0.54377778067442684</v>
      </c>
      <c r="K1633" s="129">
        <f t="shared" si="1176"/>
        <v>54.4</v>
      </c>
      <c r="L1633" s="8" t="s">
        <v>203</v>
      </c>
      <c r="M1633" s="5" t="s">
        <v>82</v>
      </c>
      <c r="N1633" s="5" t="s">
        <v>82</v>
      </c>
      <c r="O1633" s="83"/>
      <c r="P1633" s="20">
        <v>0.77188889033721342</v>
      </c>
      <c r="Q1633" s="143">
        <f t="shared" si="1177"/>
        <v>77.2</v>
      </c>
      <c r="R1633" s="21" t="s">
        <v>203</v>
      </c>
      <c r="S1633" s="8" t="s">
        <v>259</v>
      </c>
      <c r="T1633" s="7">
        <v>0.22811110966278647</v>
      </c>
    </row>
    <row r="1634" spans="1:20" ht="28">
      <c r="A1634" s="10" t="s">
        <v>1546</v>
      </c>
      <c r="B1634" s="14" t="s">
        <v>1562</v>
      </c>
      <c r="C1634" s="5"/>
      <c r="D1634" s="5" t="s">
        <v>82</v>
      </c>
      <c r="E1634" s="132">
        <f t="shared" si="1180"/>
        <v>4567</v>
      </c>
      <c r="F1634" s="139">
        <f>$O$1640-P1634*($O$1640-$O$1629)</f>
        <v>4000</v>
      </c>
      <c r="G1634" s="149"/>
      <c r="H1634" s="82" t="str">
        <f t="shared" si="1174"/>
        <v>0 percent up in Hadean international stage</v>
      </c>
      <c r="I1634" s="142" t="str">
        <f t="shared" si="1175"/>
        <v>100 percent up in Hadean international stage</v>
      </c>
      <c r="J1634" s="7">
        <v>0</v>
      </c>
      <c r="K1634" s="129">
        <f t="shared" si="1176"/>
        <v>0</v>
      </c>
      <c r="L1634" s="8" t="s">
        <v>203</v>
      </c>
      <c r="M1634" s="5" t="s">
        <v>82</v>
      </c>
      <c r="N1634" s="5" t="s">
        <v>82</v>
      </c>
      <c r="O1634" s="83"/>
      <c r="P1634" s="20">
        <v>1</v>
      </c>
      <c r="Q1634" s="143">
        <f t="shared" si="1177"/>
        <v>100</v>
      </c>
      <c r="R1634" s="21" t="s">
        <v>203</v>
      </c>
      <c r="S1634" s="8" t="s">
        <v>232</v>
      </c>
      <c r="T1634" s="7" t="s">
        <v>226</v>
      </c>
    </row>
    <row r="1635" spans="1:20" ht="28">
      <c r="A1635" s="10" t="s">
        <v>1546</v>
      </c>
      <c r="B1635" s="14" t="s">
        <v>1563</v>
      </c>
      <c r="C1635" s="5"/>
      <c r="D1635" s="5" t="s">
        <v>82</v>
      </c>
      <c r="E1635" s="132">
        <f t="shared" si="1180"/>
        <v>4567</v>
      </c>
      <c r="F1635" s="139">
        <f>$O$1640-P1635*($O$1640-$O$1629)</f>
        <v>4258.6779983575998</v>
      </c>
      <c r="G1635" s="149"/>
      <c r="H1635" s="82" t="str">
        <f t="shared" si="1174"/>
        <v>0 percent up in Hadean international stage</v>
      </c>
      <c r="I1635" s="142" t="str">
        <f t="shared" si="1175"/>
        <v>54.4 percent up in Hadean international stage</v>
      </c>
      <c r="J1635" s="7">
        <v>0</v>
      </c>
      <c r="K1635" s="129">
        <f t="shared" si="1176"/>
        <v>0</v>
      </c>
      <c r="L1635" s="8" t="s">
        <v>203</v>
      </c>
      <c r="M1635" s="5" t="s">
        <v>82</v>
      </c>
      <c r="N1635" s="5" t="s">
        <v>82</v>
      </c>
      <c r="O1635" s="83"/>
      <c r="P1635" s="20">
        <v>0.54377778067442684</v>
      </c>
      <c r="Q1635" s="143">
        <f t="shared" si="1177"/>
        <v>54.4</v>
      </c>
      <c r="R1635" s="21" t="s">
        <v>203</v>
      </c>
      <c r="S1635" s="8" t="s">
        <v>230</v>
      </c>
      <c r="T1635" s="7" t="s">
        <v>226</v>
      </c>
    </row>
    <row r="1636" spans="1:20" ht="28">
      <c r="A1636" s="10" t="s">
        <v>1546</v>
      </c>
      <c r="B1636" s="14" t="s">
        <v>1564</v>
      </c>
      <c r="C1636" s="5"/>
      <c r="D1636" s="5" t="s">
        <v>82</v>
      </c>
      <c r="E1636" s="132">
        <f t="shared" si="1180"/>
        <v>4567</v>
      </c>
      <c r="F1636" s="139">
        <f>$O$1572-P1636*($O$1572-$O$1565)</f>
        <v>538.79999999999995</v>
      </c>
      <c r="G1636" s="149"/>
      <c r="H1636" s="82" t="str">
        <f t="shared" si="1174"/>
        <v>0 percent up in Hadean international stage</v>
      </c>
      <c r="I1636" s="142" t="str">
        <f t="shared" si="1175"/>
        <v>100 percent up in Ediacaran international stage</v>
      </c>
      <c r="J1636" s="7">
        <v>0</v>
      </c>
      <c r="K1636" s="129">
        <f t="shared" si="1176"/>
        <v>0</v>
      </c>
      <c r="L1636" s="8" t="s">
        <v>203</v>
      </c>
      <c r="M1636" s="5" t="s">
        <v>82</v>
      </c>
      <c r="N1636" s="5" t="s">
        <v>82</v>
      </c>
      <c r="O1636" s="83"/>
      <c r="P1636" s="20">
        <v>1</v>
      </c>
      <c r="Q1636" s="143">
        <f t="shared" si="1177"/>
        <v>100</v>
      </c>
      <c r="R1636" s="21" t="s">
        <v>184</v>
      </c>
      <c r="S1636" s="8" t="s">
        <v>232</v>
      </c>
      <c r="T1636" s="7" t="s">
        <v>226</v>
      </c>
    </row>
    <row r="1637" spans="1:20" ht="28">
      <c r="A1637" s="10" t="s">
        <v>1546</v>
      </c>
      <c r="B1637" s="14" t="s">
        <v>1565</v>
      </c>
      <c r="C1637" s="5"/>
      <c r="D1637" s="5" t="s">
        <v>82</v>
      </c>
      <c r="E1637" s="132">
        <f t="shared" si="1180"/>
        <v>4567</v>
      </c>
      <c r="F1637" s="139">
        <f>$O$1572-P1637*($O$1572-$O$1565)</f>
        <v>538.79999999999995</v>
      </c>
      <c r="G1637" s="149"/>
      <c r="H1637" s="82" t="str">
        <f t="shared" si="1174"/>
        <v>0 percent up in Hadean international stage</v>
      </c>
      <c r="I1637" s="142" t="str">
        <f t="shared" si="1175"/>
        <v>100 percent up in Ediacaran international stage</v>
      </c>
      <c r="J1637" s="7">
        <v>0</v>
      </c>
      <c r="K1637" s="129">
        <f t="shared" si="1176"/>
        <v>0</v>
      </c>
      <c r="L1637" s="8" t="s">
        <v>203</v>
      </c>
      <c r="M1637" s="5" t="s">
        <v>82</v>
      </c>
      <c r="N1637" s="5" t="s">
        <v>82</v>
      </c>
      <c r="O1637" s="83"/>
      <c r="P1637" s="20">
        <v>1</v>
      </c>
      <c r="Q1637" s="143">
        <f t="shared" si="1177"/>
        <v>100</v>
      </c>
      <c r="R1637" s="21" t="s">
        <v>184</v>
      </c>
      <c r="S1637" s="8" t="s">
        <v>232</v>
      </c>
      <c r="T1637" s="7" t="s">
        <v>226</v>
      </c>
    </row>
    <row r="1638" spans="1:20" ht="28">
      <c r="A1638" s="10" t="s">
        <v>1546</v>
      </c>
      <c r="B1638" s="14" t="s">
        <v>1566</v>
      </c>
      <c r="C1638" s="5"/>
      <c r="D1638" s="5" t="s">
        <v>82</v>
      </c>
      <c r="E1638" s="132">
        <f t="shared" si="1180"/>
        <v>4567</v>
      </c>
      <c r="F1638" s="139">
        <f>$O$1640-P1638*($O$1640-$O$1629)</f>
        <v>4000</v>
      </c>
      <c r="G1638" s="149"/>
      <c r="H1638" s="82" t="str">
        <f t="shared" si="1174"/>
        <v>0 percent up in Hadean international stage</v>
      </c>
      <c r="I1638" s="142" t="str">
        <f t="shared" si="1175"/>
        <v>100 percent up in Hadean international stage</v>
      </c>
      <c r="J1638" s="7">
        <v>0</v>
      </c>
      <c r="K1638" s="129">
        <f t="shared" si="1176"/>
        <v>0</v>
      </c>
      <c r="L1638" s="8" t="s">
        <v>203</v>
      </c>
      <c r="M1638" s="5" t="s">
        <v>82</v>
      </c>
      <c r="N1638" s="5" t="s">
        <v>82</v>
      </c>
      <c r="O1638" s="83"/>
      <c r="P1638" s="20">
        <v>1</v>
      </c>
      <c r="Q1638" s="143">
        <f t="shared" si="1177"/>
        <v>100</v>
      </c>
      <c r="R1638" s="21" t="s">
        <v>203</v>
      </c>
      <c r="S1638" s="8" t="s">
        <v>232</v>
      </c>
      <c r="T1638" s="7" t="s">
        <v>226</v>
      </c>
    </row>
    <row r="1639" spans="1:20" ht="28">
      <c r="A1639" s="11" t="s">
        <v>1546</v>
      </c>
      <c r="B1639" s="15" t="s">
        <v>1567</v>
      </c>
      <c r="C1639" s="135"/>
      <c r="D1639" s="135" t="s">
        <v>222</v>
      </c>
      <c r="E1639" s="132">
        <f t="shared" si="1180"/>
        <v>4567</v>
      </c>
      <c r="F1639" s="139">
        <f>$O$1572-P1639*($O$1572-$O$1565)</f>
        <v>538.79999999999995</v>
      </c>
      <c r="G1639" s="149"/>
      <c r="H1639" s="82" t="str">
        <f t="shared" si="1174"/>
        <v>0 percent up in Hadean international stage</v>
      </c>
      <c r="I1639" s="142" t="str">
        <f t="shared" si="1175"/>
        <v>100 percent up in Ediacaran international stage</v>
      </c>
      <c r="J1639" s="7">
        <v>0</v>
      </c>
      <c r="K1639" s="129">
        <f t="shared" si="1176"/>
        <v>0</v>
      </c>
      <c r="L1639" s="8" t="s">
        <v>203</v>
      </c>
      <c r="M1639" s="5" t="s">
        <v>224</v>
      </c>
      <c r="N1639" s="5" t="s">
        <v>1568</v>
      </c>
      <c r="O1639" s="83"/>
      <c r="P1639" s="20">
        <v>1</v>
      </c>
      <c r="Q1639" s="143">
        <f t="shared" si="1177"/>
        <v>100</v>
      </c>
      <c r="R1639" s="21" t="s">
        <v>184</v>
      </c>
      <c r="S1639" s="8" t="s">
        <v>239</v>
      </c>
      <c r="T1639" s="7" t="s">
        <v>226</v>
      </c>
    </row>
    <row r="1640" spans="1:20" ht="28">
      <c r="A1640" s="10" t="s">
        <v>1546</v>
      </c>
      <c r="B1640" s="14" t="s">
        <v>203</v>
      </c>
      <c r="C1640" s="135"/>
      <c r="D1640" s="135" t="s">
        <v>222</v>
      </c>
      <c r="E1640" s="132">
        <f t="shared" si="1180"/>
        <v>4567</v>
      </c>
      <c r="F1640" s="139">
        <f>$O$1640-P1640*($O$1640-$O$1629)</f>
        <v>4000</v>
      </c>
      <c r="G1640" s="149"/>
      <c r="H1640" s="82" t="str">
        <f t="shared" si="1174"/>
        <v>0 percent up in Hadean international stage</v>
      </c>
      <c r="I1640" s="142" t="str">
        <f t="shared" si="1175"/>
        <v>100 percent up in Hadean international stage</v>
      </c>
      <c r="J1640" s="7">
        <v>0</v>
      </c>
      <c r="K1640" s="129">
        <f t="shared" si="1176"/>
        <v>0</v>
      </c>
      <c r="L1640" s="8" t="s">
        <v>203</v>
      </c>
      <c r="M1640" s="5" t="s">
        <v>224</v>
      </c>
      <c r="N1640" s="5" t="s">
        <v>1569</v>
      </c>
      <c r="O1640" s="125">
        <f>Master_Chronostrat!I177</f>
        <v>4567</v>
      </c>
      <c r="P1640" s="20">
        <v>1</v>
      </c>
      <c r="Q1640" s="143">
        <f t="shared" si="1177"/>
        <v>100</v>
      </c>
      <c r="R1640" s="21" t="s">
        <v>203</v>
      </c>
      <c r="S1640" s="8" t="s">
        <v>224</v>
      </c>
      <c r="T1640" s="7" t="s">
        <v>226</v>
      </c>
    </row>
    <row r="1641" spans="1:20">
      <c r="C1641" s="5"/>
      <c r="D1641" s="5"/>
      <c r="E1641" s="132"/>
      <c r="F1641" s="139"/>
      <c r="G1641" s="149"/>
      <c r="L1641" s="8"/>
      <c r="M1641" s="5"/>
      <c r="O1641" s="83"/>
      <c r="S1641" s="8"/>
    </row>
    <row r="1642" spans="1:20">
      <c r="M1642" s="5"/>
    </row>
    <row r="1643" spans="1:20">
      <c r="M1643" s="5"/>
    </row>
    <row r="1644" spans="1:20">
      <c r="M1644" s="5"/>
    </row>
    <row r="1645" spans="1:20">
      <c r="M1645" s="5"/>
    </row>
    <row r="1646" spans="1:20">
      <c r="M1646" s="5"/>
    </row>
    <row r="1647" spans="1:20">
      <c r="M1647" s="5"/>
    </row>
    <row r="1648" spans="1:20">
      <c r="M1648" s="5"/>
    </row>
    <row r="1649" spans="2:20">
      <c r="M1649" s="5"/>
    </row>
    <row r="1650" spans="2:20">
      <c r="M1650" s="5"/>
    </row>
    <row r="1651" spans="2:20">
      <c r="M1651" s="5"/>
    </row>
    <row r="1652" spans="2:20">
      <c r="M1652" s="5"/>
    </row>
    <row r="1653" spans="2:20">
      <c r="M1653" s="5"/>
    </row>
    <row r="1654" spans="2:20">
      <c r="M1654" s="5"/>
    </row>
    <row r="1655" spans="2:20">
      <c r="M1655" s="5"/>
    </row>
    <row r="1656" spans="2:20" ht="13">
      <c r="B1656" s="8"/>
      <c r="C1656" s="8"/>
      <c r="D1656" s="8"/>
      <c r="E1656" s="132"/>
      <c r="F1656" s="139"/>
      <c r="G1656" s="149"/>
      <c r="J1656" s="8"/>
      <c r="L1656" s="8"/>
      <c r="M1656" s="5"/>
      <c r="N1656" s="8"/>
      <c r="O1656" s="8"/>
      <c r="P1656" s="8"/>
      <c r="R1656" s="8"/>
      <c r="S1656" s="8"/>
      <c r="T1656" s="8"/>
    </row>
    <row r="1657" spans="2:20" ht="13">
      <c r="B1657" s="8"/>
      <c r="C1657" s="8"/>
      <c r="D1657" s="8"/>
      <c r="E1657" s="132"/>
      <c r="F1657" s="139"/>
      <c r="G1657" s="149"/>
      <c r="J1657" s="8"/>
      <c r="L1657" s="8"/>
      <c r="M1657" s="5"/>
      <c r="N1657" s="8"/>
      <c r="O1657" s="8"/>
      <c r="P1657" s="8"/>
      <c r="R1657" s="8"/>
      <c r="S1657" s="8"/>
      <c r="T1657" s="8"/>
    </row>
    <row r="1658" spans="2:20" ht="13">
      <c r="B1658" s="8"/>
      <c r="C1658" s="8"/>
      <c r="D1658" s="8"/>
      <c r="E1658" s="132"/>
      <c r="F1658" s="139"/>
      <c r="G1658" s="149"/>
      <c r="J1658" s="8"/>
      <c r="L1658" s="8"/>
      <c r="M1658" s="5"/>
      <c r="N1658" s="8"/>
      <c r="O1658" s="8"/>
      <c r="P1658" s="8"/>
      <c r="R1658" s="8"/>
      <c r="S1658" s="8"/>
      <c r="T1658" s="8"/>
    </row>
    <row r="1659" spans="2:20" ht="13">
      <c r="B1659" s="8"/>
      <c r="C1659" s="8"/>
      <c r="D1659" s="8"/>
      <c r="E1659" s="132"/>
      <c r="F1659" s="139"/>
      <c r="G1659" s="149"/>
      <c r="J1659" s="8"/>
      <c r="L1659" s="8"/>
      <c r="M1659" s="5"/>
      <c r="N1659" s="8"/>
      <c r="O1659" s="8"/>
      <c r="P1659" s="8"/>
      <c r="R1659" s="8"/>
      <c r="S1659" s="8"/>
      <c r="T1659" s="8"/>
    </row>
    <row r="1660" spans="2:20" ht="13">
      <c r="B1660" s="8"/>
      <c r="C1660" s="8"/>
      <c r="D1660" s="8"/>
      <c r="E1660" s="132"/>
      <c r="F1660" s="139"/>
      <c r="G1660" s="149"/>
      <c r="J1660" s="8"/>
      <c r="L1660" s="8"/>
      <c r="M1660" s="5"/>
      <c r="N1660" s="8"/>
      <c r="O1660" s="8"/>
      <c r="P1660" s="8"/>
      <c r="R1660" s="8"/>
      <c r="S1660" s="8"/>
      <c r="T1660" s="8"/>
    </row>
    <row r="1661" spans="2:20" ht="13">
      <c r="B1661" s="8"/>
      <c r="C1661" s="8"/>
      <c r="D1661" s="8"/>
      <c r="E1661" s="132"/>
      <c r="F1661" s="139"/>
      <c r="G1661" s="149"/>
      <c r="J1661" s="8"/>
      <c r="L1661" s="8"/>
      <c r="M1661" s="5"/>
      <c r="N1661" s="8"/>
      <c r="O1661" s="8"/>
      <c r="P1661" s="8"/>
      <c r="R1661" s="8"/>
      <c r="S1661" s="8"/>
      <c r="T1661" s="8"/>
    </row>
    <row r="1662" spans="2:20" ht="13">
      <c r="B1662" s="8"/>
      <c r="C1662" s="8"/>
      <c r="D1662" s="8"/>
      <c r="E1662" s="132"/>
      <c r="F1662" s="139"/>
      <c r="G1662" s="149"/>
      <c r="J1662" s="8"/>
      <c r="L1662" s="8"/>
      <c r="M1662" s="5"/>
      <c r="N1662" s="8"/>
      <c r="O1662" s="8"/>
      <c r="P1662" s="8"/>
      <c r="R1662" s="8"/>
      <c r="S1662" s="8"/>
      <c r="T1662" s="8"/>
    </row>
    <row r="1663" spans="2:20" ht="13">
      <c r="B1663" s="8"/>
      <c r="C1663" s="8"/>
      <c r="D1663" s="8"/>
      <c r="E1663" s="132"/>
      <c r="F1663" s="139"/>
      <c r="G1663" s="149"/>
      <c r="J1663" s="8"/>
      <c r="L1663" s="8"/>
      <c r="M1663" s="5"/>
      <c r="N1663" s="8"/>
      <c r="O1663" s="8"/>
      <c r="P1663" s="8"/>
      <c r="R1663" s="8"/>
      <c r="S1663" s="8"/>
      <c r="T1663" s="8"/>
    </row>
    <row r="1664" spans="2:20" ht="13">
      <c r="B1664" s="8"/>
      <c r="C1664" s="8"/>
      <c r="D1664" s="8"/>
      <c r="E1664" s="132"/>
      <c r="F1664" s="139"/>
      <c r="G1664" s="149"/>
      <c r="J1664" s="8"/>
      <c r="L1664" s="8"/>
      <c r="M1664" s="5"/>
      <c r="N1664" s="8"/>
      <c r="O1664" s="8"/>
      <c r="P1664" s="8"/>
      <c r="R1664" s="8"/>
      <c r="S1664" s="8"/>
      <c r="T1664" s="8"/>
    </row>
    <row r="1665" spans="2:20" ht="13">
      <c r="B1665" s="8"/>
      <c r="C1665" s="8"/>
      <c r="D1665" s="8"/>
      <c r="E1665" s="132"/>
      <c r="F1665" s="139"/>
      <c r="G1665" s="149"/>
      <c r="J1665" s="8"/>
      <c r="L1665" s="8"/>
      <c r="M1665" s="5"/>
      <c r="N1665" s="8"/>
      <c r="O1665" s="8"/>
      <c r="P1665" s="8"/>
      <c r="R1665" s="8"/>
      <c r="S1665" s="8"/>
      <c r="T1665" s="8"/>
    </row>
    <row r="1666" spans="2:20" ht="13">
      <c r="B1666" s="8"/>
      <c r="C1666" s="8"/>
      <c r="D1666" s="8"/>
      <c r="E1666" s="132"/>
      <c r="F1666" s="139"/>
      <c r="G1666" s="149"/>
      <c r="J1666" s="8"/>
      <c r="L1666" s="8"/>
      <c r="M1666" s="5"/>
      <c r="N1666" s="8"/>
      <c r="O1666" s="8"/>
      <c r="P1666" s="8"/>
      <c r="R1666" s="8"/>
      <c r="S1666" s="8"/>
      <c r="T1666" s="8"/>
    </row>
    <row r="1667" spans="2:20" ht="13">
      <c r="B1667" s="8"/>
      <c r="C1667" s="8"/>
      <c r="D1667" s="8"/>
      <c r="E1667" s="132"/>
      <c r="F1667" s="139"/>
      <c r="G1667" s="149"/>
      <c r="J1667" s="8"/>
      <c r="L1667" s="8"/>
      <c r="M1667" s="5"/>
      <c r="N1667" s="8"/>
      <c r="O1667" s="8"/>
      <c r="P1667" s="8"/>
      <c r="R1667" s="8"/>
      <c r="S1667" s="8"/>
      <c r="T1667" s="8"/>
    </row>
    <row r="1668" spans="2:20" ht="13">
      <c r="B1668" s="8"/>
      <c r="C1668" s="8"/>
      <c r="D1668" s="8"/>
      <c r="E1668" s="132"/>
      <c r="F1668" s="139"/>
      <c r="G1668" s="149"/>
      <c r="J1668" s="8"/>
      <c r="L1668" s="8"/>
      <c r="M1668" s="5"/>
      <c r="N1668" s="8"/>
      <c r="O1668" s="8"/>
      <c r="P1668" s="8"/>
      <c r="R1668" s="8"/>
      <c r="S1668" s="8"/>
      <c r="T1668" s="8"/>
    </row>
    <row r="1669" spans="2:20" ht="13">
      <c r="B1669" s="8"/>
      <c r="C1669" s="8"/>
      <c r="D1669" s="8"/>
      <c r="E1669" s="132"/>
      <c r="F1669" s="139"/>
      <c r="G1669" s="149"/>
      <c r="J1669" s="8"/>
      <c r="L1669" s="8"/>
      <c r="M1669" s="5"/>
      <c r="N1669" s="8"/>
      <c r="O1669" s="8"/>
      <c r="P1669" s="8"/>
      <c r="R1669" s="8"/>
      <c r="S1669" s="8"/>
      <c r="T1669" s="8"/>
    </row>
    <row r="1670" spans="2:20" ht="13">
      <c r="B1670" s="8"/>
      <c r="C1670" s="8"/>
      <c r="D1670" s="8"/>
      <c r="E1670" s="132"/>
      <c r="F1670" s="139"/>
      <c r="G1670" s="149"/>
      <c r="J1670" s="8"/>
      <c r="L1670" s="8"/>
      <c r="M1670" s="5"/>
      <c r="N1670" s="8"/>
      <c r="O1670" s="8"/>
      <c r="P1670" s="8"/>
      <c r="R1670" s="8"/>
      <c r="S1670" s="8"/>
      <c r="T1670" s="8"/>
    </row>
    <row r="1671" spans="2:20" ht="13">
      <c r="B1671" s="8"/>
      <c r="C1671" s="8"/>
      <c r="D1671" s="8"/>
      <c r="E1671" s="132"/>
      <c r="F1671" s="139"/>
      <c r="G1671" s="149"/>
      <c r="J1671" s="8"/>
      <c r="L1671" s="8"/>
      <c r="M1671" s="5"/>
      <c r="N1671" s="8"/>
      <c r="O1671" s="8"/>
      <c r="P1671" s="8"/>
      <c r="R1671" s="8"/>
      <c r="S1671" s="8"/>
      <c r="T1671" s="8"/>
    </row>
    <row r="1672" spans="2:20" ht="13">
      <c r="B1672" s="8"/>
      <c r="C1672" s="8"/>
      <c r="D1672" s="8"/>
      <c r="E1672" s="132"/>
      <c r="F1672" s="139"/>
      <c r="G1672" s="149"/>
      <c r="J1672" s="8"/>
      <c r="L1672" s="8"/>
      <c r="M1672" s="5"/>
      <c r="N1672" s="8"/>
      <c r="O1672" s="8"/>
      <c r="P1672" s="8"/>
      <c r="R1672" s="8"/>
      <c r="S1672" s="8"/>
      <c r="T1672" s="8"/>
    </row>
    <row r="1673" spans="2:20" ht="13">
      <c r="B1673" s="8"/>
      <c r="C1673" s="8"/>
      <c r="D1673" s="8"/>
      <c r="E1673" s="132"/>
      <c r="F1673" s="139"/>
      <c r="G1673" s="149"/>
      <c r="J1673" s="8"/>
      <c r="L1673" s="8"/>
      <c r="M1673" s="5"/>
      <c r="N1673" s="8"/>
      <c r="O1673" s="8"/>
      <c r="P1673" s="8"/>
      <c r="R1673" s="8"/>
      <c r="S1673" s="8"/>
      <c r="T1673" s="8"/>
    </row>
    <row r="1674" spans="2:20" ht="13">
      <c r="B1674" s="8"/>
      <c r="C1674" s="8"/>
      <c r="D1674" s="8"/>
      <c r="E1674" s="132"/>
      <c r="F1674" s="139"/>
      <c r="G1674" s="149"/>
      <c r="J1674" s="8"/>
      <c r="L1674" s="8"/>
      <c r="M1674" s="5"/>
      <c r="N1674" s="8"/>
      <c r="O1674" s="8"/>
      <c r="P1674" s="8"/>
      <c r="R1674" s="8"/>
      <c r="S1674" s="8"/>
      <c r="T1674" s="8"/>
    </row>
    <row r="1675" spans="2:20" ht="13">
      <c r="B1675" s="8"/>
      <c r="C1675" s="8"/>
      <c r="D1675" s="8"/>
      <c r="E1675" s="132"/>
      <c r="F1675" s="139"/>
      <c r="G1675" s="149"/>
      <c r="J1675" s="8"/>
      <c r="L1675" s="8"/>
      <c r="M1675" s="5"/>
      <c r="N1675" s="8"/>
      <c r="O1675" s="8"/>
      <c r="P1675" s="8"/>
      <c r="R1675" s="8"/>
      <c r="S1675" s="8"/>
      <c r="T1675" s="8"/>
    </row>
    <row r="1676" spans="2:20" ht="13">
      <c r="B1676" s="8"/>
      <c r="C1676" s="8"/>
      <c r="D1676" s="8"/>
      <c r="E1676" s="132"/>
      <c r="F1676" s="139"/>
      <c r="G1676" s="149"/>
      <c r="J1676" s="8"/>
      <c r="L1676" s="8"/>
      <c r="M1676" s="5"/>
      <c r="N1676" s="8"/>
      <c r="O1676" s="8"/>
      <c r="P1676" s="8"/>
      <c r="R1676" s="8"/>
      <c r="S1676" s="8"/>
      <c r="T1676" s="8"/>
    </row>
    <row r="1677" spans="2:20" ht="13">
      <c r="B1677" s="8"/>
      <c r="C1677" s="8"/>
      <c r="D1677" s="8"/>
      <c r="E1677" s="132"/>
      <c r="F1677" s="139"/>
      <c r="G1677" s="149"/>
      <c r="J1677" s="8"/>
      <c r="L1677" s="8"/>
      <c r="M1677" s="5"/>
      <c r="N1677" s="8"/>
      <c r="O1677" s="8"/>
      <c r="P1677" s="8"/>
      <c r="R1677" s="8"/>
      <c r="S1677" s="8"/>
      <c r="T1677" s="8"/>
    </row>
    <row r="1678" spans="2:20" ht="13">
      <c r="B1678" s="8"/>
      <c r="C1678" s="8"/>
      <c r="D1678" s="8"/>
      <c r="E1678" s="132"/>
      <c r="F1678" s="139"/>
      <c r="G1678" s="149"/>
      <c r="J1678" s="8"/>
      <c r="L1678" s="8"/>
      <c r="M1678" s="5"/>
      <c r="N1678" s="8"/>
      <c r="O1678" s="8"/>
      <c r="P1678" s="8"/>
      <c r="R1678" s="8"/>
      <c r="S1678" s="8"/>
      <c r="T1678" s="8"/>
    </row>
    <row r="1679" spans="2:20" ht="13">
      <c r="B1679" s="8"/>
      <c r="C1679" s="8"/>
      <c r="D1679" s="8"/>
      <c r="E1679" s="132"/>
      <c r="F1679" s="139"/>
      <c r="G1679" s="149"/>
      <c r="J1679" s="8"/>
      <c r="L1679" s="8"/>
      <c r="M1679" s="5"/>
      <c r="N1679" s="8"/>
      <c r="O1679" s="8"/>
      <c r="P1679" s="8"/>
      <c r="R1679" s="8"/>
      <c r="S1679" s="8"/>
      <c r="T1679" s="8"/>
    </row>
    <row r="1680" spans="2:20" ht="13">
      <c r="B1680" s="8"/>
      <c r="C1680" s="8"/>
      <c r="D1680" s="8"/>
      <c r="E1680" s="132"/>
      <c r="F1680" s="139"/>
      <c r="G1680" s="149"/>
      <c r="J1680" s="8"/>
      <c r="L1680" s="8"/>
      <c r="M1680" s="5"/>
      <c r="N1680" s="8"/>
      <c r="O1680" s="8"/>
      <c r="P1680" s="8"/>
      <c r="R1680" s="8"/>
      <c r="S1680" s="8"/>
      <c r="T1680" s="8"/>
    </row>
    <row r="1681" spans="2:20" ht="13">
      <c r="B1681" s="8"/>
      <c r="C1681" s="8"/>
      <c r="D1681" s="8"/>
      <c r="E1681" s="132"/>
      <c r="F1681" s="139"/>
      <c r="G1681" s="149"/>
      <c r="J1681" s="8"/>
      <c r="L1681" s="8"/>
      <c r="M1681" s="5"/>
      <c r="N1681" s="8"/>
      <c r="O1681" s="8"/>
      <c r="P1681" s="8"/>
      <c r="R1681" s="8"/>
      <c r="S1681" s="8"/>
      <c r="T1681" s="8"/>
    </row>
    <row r="1682" spans="2:20" ht="13">
      <c r="B1682" s="8"/>
      <c r="C1682" s="8"/>
      <c r="D1682" s="8"/>
      <c r="E1682" s="132"/>
      <c r="F1682" s="139"/>
      <c r="G1682" s="149"/>
      <c r="J1682" s="8"/>
      <c r="L1682" s="8"/>
      <c r="M1682" s="5"/>
      <c r="N1682" s="8"/>
      <c r="O1682" s="8"/>
      <c r="P1682" s="8"/>
      <c r="R1682" s="8"/>
      <c r="S1682" s="8"/>
      <c r="T1682" s="8"/>
    </row>
    <row r="1683" spans="2:20" ht="13">
      <c r="B1683" s="8"/>
      <c r="C1683" s="8"/>
      <c r="D1683" s="8"/>
      <c r="E1683" s="132"/>
      <c r="F1683" s="139"/>
      <c r="G1683" s="149"/>
      <c r="J1683" s="8"/>
      <c r="L1683" s="8"/>
      <c r="M1683" s="5"/>
      <c r="N1683" s="8"/>
      <c r="O1683" s="8"/>
      <c r="P1683" s="8"/>
      <c r="R1683" s="8"/>
      <c r="S1683" s="8"/>
      <c r="T1683" s="8"/>
    </row>
  </sheetData>
  <phoneticPr fontId="0" type="noConversion"/>
  <pageMargins left="0.78740157499999996" right="0.78740157499999996" top="0.984251969" bottom="0.984251969" header="0.4921259845" footer="0.4921259845"/>
  <pageSetup paperSize="9" orientation="portrait"/>
  <headerFooter alignWithMargins="0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Master_Chronostrat</vt:lpstr>
      <vt:lpstr>Geological stages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Bruno</dc:creator>
  <cp:keywords/>
  <dc:description/>
  <cp:lastModifiedBy>Microsoft Office User</cp:lastModifiedBy>
  <cp:revision/>
  <dcterms:created xsi:type="dcterms:W3CDTF">2005-06-09T08:35:08Z</dcterms:created>
  <dcterms:modified xsi:type="dcterms:W3CDTF">2025-11-07T03:18:53Z</dcterms:modified>
  <cp:category/>
  <cp:contentStatus/>
</cp:coreProperties>
</file>